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910" codeName="{7A2D7E96-6E34-419A-AE5F-296B3A7E7977}"/>
  <workbookPr codeName="ThisWorkbook" autoCompressPictures="0"/>
  <bookViews>
    <workbookView xWindow="0" yWindow="40" windowWidth="25520" windowHeight="1378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1" sheetId="18" r:id="rId8"/>
    <sheet name="P05" sheetId="17" r:id="rId9"/>
    <sheet name="P07" sheetId="16" r:id="rId10"/>
    <sheet name="S15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16" i="20" l="1"/>
  <c r="T19" i="20"/>
  <c r="S15" i="20"/>
  <c r="S14" i="20"/>
  <c r="H40" i="20"/>
  <c r="H39" i="20"/>
  <c r="S39" i="20"/>
  <c r="H38" i="20"/>
  <c r="H35" i="20"/>
  <c r="S42" i="20"/>
  <c r="H34" i="20"/>
  <c r="H33" i="20"/>
  <c r="S36" i="20"/>
  <c r="H30" i="20"/>
  <c r="H29" i="20"/>
  <c r="H28" i="20"/>
  <c r="S40" i="20"/>
  <c r="H27" i="20"/>
  <c r="S37" i="20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AZ42" i="17"/>
  <c r="AZ43" i="17"/>
  <c r="AZ53" i="17"/>
  <c r="AZ54" i="17"/>
  <c r="AZ42" i="18"/>
  <c r="AZ43" i="18"/>
  <c r="AZ53" i="18"/>
  <c r="AZ54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S10" i="2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/>
  <c r="AY181" i="14"/>
  <c r="AY179" i="14"/>
  <c r="AY177" i="14"/>
  <c r="AY175" i="14"/>
  <c r="AY14" i="14"/>
  <c r="AX259" i="14"/>
  <c r="AX181" i="14"/>
  <c r="AX260" i="14"/>
  <c r="AX179" i="14"/>
  <c r="AX177" i="14"/>
  <c r="AX175" i="14"/>
  <c r="AW259" i="14"/>
  <c r="AX14" i="14"/>
  <c r="AW181" i="14"/>
  <c r="AW179" i="14"/>
  <c r="AW260" i="14"/>
  <c r="AW177" i="14"/>
  <c r="AW175" i="14"/>
  <c r="AV259" i="14"/>
  <c r="AW14" i="14"/>
  <c r="AV181" i="14"/>
  <c r="AV179" i="14"/>
  <c r="AV177" i="14"/>
  <c r="AV175" i="14"/>
  <c r="AV14" i="14"/>
  <c r="AU259" i="14"/>
  <c r="AU181" i="14"/>
  <c r="AU179" i="14"/>
  <c r="AU177" i="14"/>
  <c r="AU175" i="14"/>
  <c r="AU14" i="14"/>
  <c r="AT259" i="14"/>
  <c r="AT181" i="14"/>
  <c r="AT260" i="14"/>
  <c r="AT179" i="14"/>
  <c r="AT177" i="14"/>
  <c r="AT175" i="14"/>
  <c r="AS259" i="14"/>
  <c r="AT14" i="14"/>
  <c r="AS181" i="14"/>
  <c r="AS179" i="14"/>
  <c r="AS260" i="14"/>
  <c r="AS177" i="14"/>
  <c r="AS175" i="14"/>
  <c r="AS14" i="14"/>
  <c r="AR259" i="14"/>
  <c r="AR181" i="14"/>
  <c r="AR179" i="14"/>
  <c r="AR177" i="14"/>
  <c r="AR175" i="14"/>
  <c r="AR260" i="14"/>
  <c r="AR14" i="14"/>
  <c r="AQ259" i="14"/>
  <c r="AQ181" i="14"/>
  <c r="AQ179" i="14"/>
  <c r="AQ177" i="14"/>
  <c r="AQ175" i="14"/>
  <c r="AQ14" i="14"/>
  <c r="AP259" i="14"/>
  <c r="AP181" i="14"/>
  <c r="AP260" i="14"/>
  <c r="AP179" i="14"/>
  <c r="AP177" i="14"/>
  <c r="AP175" i="14"/>
  <c r="AO259" i="14"/>
  <c r="AP14" i="14"/>
  <c r="AO181" i="14"/>
  <c r="AO179" i="14"/>
  <c r="AO260" i="14"/>
  <c r="AO177" i="14"/>
  <c r="AO175" i="14"/>
  <c r="AN259" i="14"/>
  <c r="AO14" i="14"/>
  <c r="AN181" i="14"/>
  <c r="AN179" i="14"/>
  <c r="AN177" i="14"/>
  <c r="AN175" i="14"/>
  <c r="AN14" i="14"/>
  <c r="AM259" i="14"/>
  <c r="AM181" i="14"/>
  <c r="AM179" i="14"/>
  <c r="AM177" i="14"/>
  <c r="AM175" i="14"/>
  <c r="AM14" i="14"/>
  <c r="AL259" i="14"/>
  <c r="AL181" i="14"/>
  <c r="AL260" i="14"/>
  <c r="AL179" i="14"/>
  <c r="AL177" i="14"/>
  <c r="AL175" i="14"/>
  <c r="AK259" i="14"/>
  <c r="AL14" i="14"/>
  <c r="AK181" i="14"/>
  <c r="AK179" i="14"/>
  <c r="AK260" i="14"/>
  <c r="AK177" i="14"/>
  <c r="AK175" i="14"/>
  <c r="AK14" i="14"/>
  <c r="AJ259" i="14"/>
  <c r="AJ181" i="14"/>
  <c r="AJ179" i="14"/>
  <c r="AJ177" i="14"/>
  <c r="AJ175" i="14"/>
  <c r="AJ260" i="14"/>
  <c r="AJ14" i="14"/>
  <c r="AI259" i="14"/>
  <c r="AI181" i="14"/>
  <c r="AI179" i="14"/>
  <c r="AI177" i="14"/>
  <c r="AI175" i="14"/>
  <c r="AI14" i="14"/>
  <c r="AH259" i="14"/>
  <c r="AH181" i="14"/>
  <c r="AH260" i="14"/>
  <c r="AH179" i="14"/>
  <c r="AH177" i="14"/>
  <c r="AH175" i="14"/>
  <c r="AG259" i="14"/>
  <c r="AH14" i="14"/>
  <c r="AG181" i="14"/>
  <c r="AG179" i="14"/>
  <c r="AG260" i="14"/>
  <c r="AG177" i="14"/>
  <c r="AG175" i="14"/>
  <c r="AF259" i="14"/>
  <c r="AG14" i="14"/>
  <c r="AF181" i="14"/>
  <c r="AF179" i="14"/>
  <c r="AF177" i="14"/>
  <c r="AF175" i="14"/>
  <c r="AF14" i="14"/>
  <c r="AE259" i="14"/>
  <c r="AE181" i="14"/>
  <c r="AE179" i="14"/>
  <c r="AE177" i="14"/>
  <c r="AE175" i="14"/>
  <c r="AE14" i="14"/>
  <c r="AD259" i="14"/>
  <c r="AD181" i="14"/>
  <c r="AD260" i="14"/>
  <c r="AD179" i="14"/>
  <c r="AD177" i="14"/>
  <c r="AD175" i="14"/>
  <c r="AC259" i="14"/>
  <c r="AD14" i="14"/>
  <c r="AC181" i="14"/>
  <c r="AC179" i="14"/>
  <c r="AC260" i="14"/>
  <c r="AC177" i="14"/>
  <c r="AC175" i="14"/>
  <c r="AC14" i="14"/>
  <c r="AB259" i="14"/>
  <c r="AB181" i="14"/>
  <c r="AB179" i="14"/>
  <c r="AB177" i="14"/>
  <c r="AB175" i="14"/>
  <c r="AB260" i="14"/>
  <c r="AB14" i="14"/>
  <c r="AA259" i="14"/>
  <c r="AA181" i="14"/>
  <c r="AA179" i="14"/>
  <c r="AA177" i="14"/>
  <c r="AA175" i="14"/>
  <c r="AA14" i="14"/>
  <c r="Z259" i="14"/>
  <c r="Z181" i="14"/>
  <c r="Z260" i="14"/>
  <c r="Z179" i="14"/>
  <c r="Z177" i="14"/>
  <c r="Z175" i="14"/>
  <c r="Y259" i="14"/>
  <c r="Z14" i="14"/>
  <c r="Y181" i="14"/>
  <c r="Y179" i="14"/>
  <c r="Y260" i="14"/>
  <c r="Y177" i="14"/>
  <c r="Y175" i="14"/>
  <c r="X259" i="14"/>
  <c r="Y14" i="14"/>
  <c r="X181" i="14"/>
  <c r="X179" i="14"/>
  <c r="X177" i="14"/>
  <c r="X175" i="14"/>
  <c r="X14" i="14"/>
  <c r="W259" i="14"/>
  <c r="W181" i="14"/>
  <c r="W179" i="14"/>
  <c r="W177" i="14"/>
  <c r="W175" i="14"/>
  <c r="W14" i="14"/>
  <c r="V259" i="14"/>
  <c r="V181" i="14"/>
  <c r="V260" i="14"/>
  <c r="V179" i="14"/>
  <c r="V177" i="14"/>
  <c r="V175" i="14"/>
  <c r="U259" i="14"/>
  <c r="V14" i="14"/>
  <c r="U181" i="14"/>
  <c r="U179" i="14"/>
  <c r="U260" i="14"/>
  <c r="U177" i="14"/>
  <c r="U175" i="14"/>
  <c r="U14" i="14"/>
  <c r="T259" i="14"/>
  <c r="T181" i="14"/>
  <c r="T179" i="14"/>
  <c r="T177" i="14"/>
  <c r="T175" i="14"/>
  <c r="T260" i="14"/>
  <c r="T14" i="14"/>
  <c r="S259" i="14"/>
  <c r="S181" i="14"/>
  <c r="S179" i="14"/>
  <c r="S177" i="14"/>
  <c r="S175" i="14"/>
  <c r="S14" i="14"/>
  <c r="R259" i="14"/>
  <c r="R181" i="14"/>
  <c r="R260" i="14"/>
  <c r="R179" i="14"/>
  <c r="R177" i="14"/>
  <c r="R175" i="14"/>
  <c r="Q259" i="14"/>
  <c r="R14" i="14"/>
  <c r="Q181" i="14"/>
  <c r="Q179" i="14"/>
  <c r="Q260" i="14"/>
  <c r="Q177" i="14"/>
  <c r="Q175" i="14"/>
  <c r="P259" i="14"/>
  <c r="Q14" i="14"/>
  <c r="P181" i="14"/>
  <c r="P179" i="14"/>
  <c r="P177" i="14"/>
  <c r="P175" i="14"/>
  <c r="P14" i="14"/>
  <c r="O259" i="14"/>
  <c r="O181" i="14"/>
  <c r="O179" i="14"/>
  <c r="O177" i="14"/>
  <c r="O175" i="14"/>
  <c r="O14" i="14"/>
  <c r="N259" i="14"/>
  <c r="N181" i="14"/>
  <c r="N260" i="14"/>
  <c r="N179" i="14"/>
  <c r="N177" i="14"/>
  <c r="N175" i="14"/>
  <c r="M259" i="14"/>
  <c r="N14" i="14"/>
  <c r="M181" i="14"/>
  <c r="M179" i="14"/>
  <c r="M260" i="14"/>
  <c r="M177" i="14"/>
  <c r="M175" i="14"/>
  <c r="M14" i="14"/>
  <c r="L259" i="14"/>
  <c r="L181" i="14"/>
  <c r="L179" i="14"/>
  <c r="L177" i="14"/>
  <c r="L175" i="14"/>
  <c r="L260" i="14"/>
  <c r="L14" i="14"/>
  <c r="K259" i="14"/>
  <c r="K181" i="14"/>
  <c r="K179" i="14"/>
  <c r="K177" i="14"/>
  <c r="K175" i="14"/>
  <c r="K14" i="14"/>
  <c r="J259" i="14"/>
  <c r="J181" i="14"/>
  <c r="J260" i="14"/>
  <c r="J179" i="14"/>
  <c r="J177" i="14"/>
  <c r="J175" i="14"/>
  <c r="I259" i="14"/>
  <c r="J14" i="14"/>
  <c r="I181" i="14"/>
  <c r="I179" i="14"/>
  <c r="I260" i="14"/>
  <c r="I177" i="14"/>
  <c r="I175" i="14"/>
  <c r="H259" i="14"/>
  <c r="I14" i="14"/>
  <c r="H181" i="14"/>
  <c r="H179" i="14"/>
  <c r="H177" i="14"/>
  <c r="H175" i="14"/>
  <c r="H14" i="14"/>
  <c r="G259" i="14"/>
  <c r="G181" i="14"/>
  <c r="G179" i="14"/>
  <c r="G177" i="14"/>
  <c r="G175" i="14"/>
  <c r="G14" i="14"/>
  <c r="F259" i="14"/>
  <c r="F181" i="14"/>
  <c r="F260" i="14"/>
  <c r="F179" i="14"/>
  <c r="F177" i="14"/>
  <c r="F175" i="14"/>
  <c r="E259" i="14"/>
  <c r="F14" i="14"/>
  <c r="E181" i="14"/>
  <c r="E179" i="14"/>
  <c r="E260" i="14"/>
  <c r="E177" i="14"/>
  <c r="E175" i="14"/>
  <c r="E14" i="14"/>
  <c r="D181" i="14"/>
  <c r="D179" i="14"/>
  <c r="D177" i="14"/>
  <c r="D175" i="14"/>
  <c r="D260" i="14"/>
  <c r="AZ14" i="15"/>
  <c r="AY259" i="15"/>
  <c r="AY181" i="15"/>
  <c r="AY179" i="15"/>
  <c r="AY177" i="15"/>
  <c r="AY175" i="15"/>
  <c r="AY14" i="15"/>
  <c r="AX259" i="15"/>
  <c r="AX181" i="15"/>
  <c r="AX260" i="15"/>
  <c r="AX179" i="15"/>
  <c r="AX177" i="15"/>
  <c r="AX175" i="15"/>
  <c r="AW259" i="15"/>
  <c r="AX14" i="15"/>
  <c r="AW181" i="15"/>
  <c r="AW179" i="15"/>
  <c r="AW260" i="15"/>
  <c r="AW177" i="15"/>
  <c r="AW175" i="15"/>
  <c r="AV259" i="15"/>
  <c r="AW14" i="15"/>
  <c r="AV181" i="15"/>
  <c r="AV179" i="15"/>
  <c r="AV177" i="15"/>
  <c r="AV175" i="15"/>
  <c r="AV14" i="15"/>
  <c r="AU259" i="15"/>
  <c r="AU181" i="15"/>
  <c r="AU179" i="15"/>
  <c r="AU177" i="15"/>
  <c r="AU175" i="15"/>
  <c r="AU14" i="15"/>
  <c r="AT259" i="15"/>
  <c r="AT181" i="15"/>
  <c r="AT260" i="15"/>
  <c r="AT179" i="15"/>
  <c r="AT177" i="15"/>
  <c r="AT175" i="15"/>
  <c r="AS259" i="15"/>
  <c r="AT14" i="15"/>
  <c r="AS181" i="15"/>
  <c r="AS179" i="15"/>
  <c r="AS260" i="15"/>
  <c r="AS177" i="15"/>
  <c r="AS175" i="15"/>
  <c r="AS14" i="15"/>
  <c r="AR259" i="15"/>
  <c r="AR181" i="15"/>
  <c r="AR179" i="15"/>
  <c r="AR177" i="15"/>
  <c r="AR175" i="15"/>
  <c r="AR260" i="15"/>
  <c r="AR14" i="15"/>
  <c r="AQ259" i="15"/>
  <c r="AQ181" i="15"/>
  <c r="AQ179" i="15"/>
  <c r="AQ177" i="15"/>
  <c r="AQ175" i="15"/>
  <c r="AQ14" i="15"/>
  <c r="AP259" i="15"/>
  <c r="AP181" i="15"/>
  <c r="AP260" i="15"/>
  <c r="AP179" i="15"/>
  <c r="AP177" i="15"/>
  <c r="AP175" i="15"/>
  <c r="AO259" i="15"/>
  <c r="AP14" i="15"/>
  <c r="AO181" i="15"/>
  <c r="AO179" i="15"/>
  <c r="AO260" i="15"/>
  <c r="AO177" i="15"/>
  <c r="AO175" i="15"/>
  <c r="AN259" i="15"/>
  <c r="AO14" i="15"/>
  <c r="AN181" i="15"/>
  <c r="AN179" i="15"/>
  <c r="AN177" i="15"/>
  <c r="AN175" i="15"/>
  <c r="AN14" i="15"/>
  <c r="AM259" i="15"/>
  <c r="AM181" i="15"/>
  <c r="AM179" i="15"/>
  <c r="AM177" i="15"/>
  <c r="AM175" i="15"/>
  <c r="AM14" i="15"/>
  <c r="AL259" i="15"/>
  <c r="AL181" i="15"/>
  <c r="AL260" i="15"/>
  <c r="AL179" i="15"/>
  <c r="AL177" i="15"/>
  <c r="AL175" i="15"/>
  <c r="AK259" i="15"/>
  <c r="AL14" i="15"/>
  <c r="AK181" i="15"/>
  <c r="AK179" i="15"/>
  <c r="AK260" i="15"/>
  <c r="AK177" i="15"/>
  <c r="AK175" i="15"/>
  <c r="AK14" i="15"/>
  <c r="AJ259" i="15"/>
  <c r="AJ181" i="15"/>
  <c r="AJ179" i="15"/>
  <c r="AJ177" i="15"/>
  <c r="AJ175" i="15"/>
  <c r="AJ260" i="15"/>
  <c r="AJ14" i="15"/>
  <c r="AI259" i="15"/>
  <c r="AI181" i="15"/>
  <c r="AI179" i="15"/>
  <c r="AI177" i="15"/>
  <c r="AI175" i="15"/>
  <c r="AI14" i="15"/>
  <c r="AH259" i="15"/>
  <c r="AH181" i="15"/>
  <c r="AH260" i="15"/>
  <c r="AH179" i="15"/>
  <c r="AH177" i="15"/>
  <c r="AH175" i="15"/>
  <c r="AG259" i="15"/>
  <c r="AH14" i="15"/>
  <c r="AG181" i="15"/>
  <c r="AG179" i="15"/>
  <c r="AG260" i="15"/>
  <c r="AG177" i="15"/>
  <c r="AG175" i="15"/>
  <c r="AF259" i="15"/>
  <c r="AG14" i="15"/>
  <c r="AF181" i="15"/>
  <c r="AF179" i="15"/>
  <c r="AF177" i="15"/>
  <c r="AF175" i="15"/>
  <c r="AF14" i="15"/>
  <c r="AE259" i="15"/>
  <c r="AE181" i="15"/>
  <c r="AE179" i="15"/>
  <c r="AE177" i="15"/>
  <c r="AE175" i="15"/>
  <c r="AE14" i="15"/>
  <c r="AD259" i="15"/>
  <c r="AD181" i="15"/>
  <c r="AD260" i="15"/>
  <c r="AD179" i="15"/>
  <c r="AD177" i="15"/>
  <c r="AD175" i="15"/>
  <c r="AC259" i="15"/>
  <c r="AD14" i="15"/>
  <c r="AC181" i="15"/>
  <c r="AC179" i="15"/>
  <c r="AC260" i="15"/>
  <c r="AC177" i="15"/>
  <c r="AC175" i="15"/>
  <c r="AC14" i="15"/>
  <c r="AB259" i="15"/>
  <c r="AB181" i="15"/>
  <c r="AB179" i="15"/>
  <c r="AB177" i="15"/>
  <c r="AB175" i="15"/>
  <c r="AB260" i="15"/>
  <c r="AB14" i="15"/>
  <c r="AA259" i="15"/>
  <c r="AA181" i="15"/>
  <c r="AA179" i="15"/>
  <c r="AA177" i="15"/>
  <c r="AA175" i="15"/>
  <c r="AA14" i="15"/>
  <c r="Z259" i="15"/>
  <c r="Z181" i="15"/>
  <c r="Z260" i="15"/>
  <c r="Z179" i="15"/>
  <c r="Z177" i="15"/>
  <c r="Z175" i="15"/>
  <c r="Y259" i="15"/>
  <c r="Z14" i="15"/>
  <c r="Y181" i="15"/>
  <c r="Y179" i="15"/>
  <c r="Y260" i="15"/>
  <c r="Y177" i="15"/>
  <c r="Y175" i="15"/>
  <c r="X259" i="15"/>
  <c r="Y14" i="15"/>
  <c r="X181" i="15"/>
  <c r="X179" i="15"/>
  <c r="X177" i="15"/>
  <c r="X175" i="15"/>
  <c r="X14" i="15"/>
  <c r="W259" i="15"/>
  <c r="W181" i="15"/>
  <c r="W179" i="15"/>
  <c r="W177" i="15"/>
  <c r="W175" i="15"/>
  <c r="W14" i="15"/>
  <c r="V259" i="15"/>
  <c r="V181" i="15"/>
  <c r="V260" i="15"/>
  <c r="V179" i="15"/>
  <c r="V177" i="15"/>
  <c r="V175" i="15"/>
  <c r="U259" i="15"/>
  <c r="V14" i="15"/>
  <c r="U181" i="15"/>
  <c r="U179" i="15"/>
  <c r="U260" i="15"/>
  <c r="U177" i="15"/>
  <c r="U175" i="15"/>
  <c r="U14" i="15"/>
  <c r="T259" i="15"/>
  <c r="T181" i="15"/>
  <c r="T179" i="15"/>
  <c r="T177" i="15"/>
  <c r="T175" i="15"/>
  <c r="T260" i="15"/>
  <c r="T14" i="15"/>
  <c r="S259" i="15"/>
  <c r="S181" i="15"/>
  <c r="S179" i="15"/>
  <c r="S177" i="15"/>
  <c r="S175" i="15"/>
  <c r="S14" i="15"/>
  <c r="R259" i="15"/>
  <c r="R181" i="15"/>
  <c r="R260" i="15"/>
  <c r="R179" i="15"/>
  <c r="R177" i="15"/>
  <c r="R175" i="15"/>
  <c r="Q259" i="15"/>
  <c r="R14" i="15"/>
  <c r="Q181" i="15"/>
  <c r="Q179" i="15"/>
  <c r="Q260" i="15"/>
  <c r="Q177" i="15"/>
  <c r="Q175" i="15"/>
  <c r="P259" i="15"/>
  <c r="Q14" i="15"/>
  <c r="P181" i="15"/>
  <c r="P179" i="15"/>
  <c r="P177" i="15"/>
  <c r="P175" i="15"/>
  <c r="P14" i="15"/>
  <c r="O259" i="15"/>
  <c r="O181" i="15"/>
  <c r="O179" i="15"/>
  <c r="O177" i="15"/>
  <c r="O175" i="15"/>
  <c r="O14" i="15"/>
  <c r="N259" i="15"/>
  <c r="N181" i="15"/>
  <c r="N260" i="15"/>
  <c r="N179" i="15"/>
  <c r="N177" i="15"/>
  <c r="N175" i="15"/>
  <c r="M259" i="15"/>
  <c r="N14" i="15"/>
  <c r="M181" i="15"/>
  <c r="M179" i="15"/>
  <c r="M260" i="15"/>
  <c r="M177" i="15"/>
  <c r="M175" i="15"/>
  <c r="M14" i="15"/>
  <c r="L259" i="15"/>
  <c r="L181" i="15"/>
  <c r="L179" i="15"/>
  <c r="L177" i="15"/>
  <c r="L175" i="15"/>
  <c r="L260" i="15"/>
  <c r="L14" i="15"/>
  <c r="K259" i="15"/>
  <c r="K181" i="15"/>
  <c r="K179" i="15"/>
  <c r="K177" i="15"/>
  <c r="K175" i="15"/>
  <c r="K14" i="15"/>
  <c r="J259" i="15"/>
  <c r="J181" i="15"/>
  <c r="J260" i="15"/>
  <c r="J179" i="15"/>
  <c r="J177" i="15"/>
  <c r="J175" i="15"/>
  <c r="I259" i="15"/>
  <c r="J14" i="15"/>
  <c r="I181" i="15"/>
  <c r="I179" i="15"/>
  <c r="I260" i="15"/>
  <c r="I177" i="15"/>
  <c r="I175" i="15"/>
  <c r="H259" i="15"/>
  <c r="I14" i="15"/>
  <c r="H181" i="15"/>
  <c r="H179" i="15"/>
  <c r="H177" i="15"/>
  <c r="H175" i="15"/>
  <c r="H14" i="15"/>
  <c r="G259" i="15"/>
  <c r="G181" i="15"/>
  <c r="G179" i="15"/>
  <c r="G177" i="15"/>
  <c r="G175" i="15"/>
  <c r="G14" i="15"/>
  <c r="F259" i="15"/>
  <c r="F181" i="15"/>
  <c r="F260" i="15"/>
  <c r="F179" i="15"/>
  <c r="F177" i="15"/>
  <c r="F175" i="15"/>
  <c r="E259" i="15"/>
  <c r="F14" i="15"/>
  <c r="E181" i="15"/>
  <c r="E179" i="15"/>
  <c r="E260" i="15"/>
  <c r="E177" i="15"/>
  <c r="E175" i="15"/>
  <c r="E14" i="15"/>
  <c r="D181" i="15"/>
  <c r="D179" i="15"/>
  <c r="D177" i="15"/>
  <c r="D175" i="15"/>
  <c r="D260" i="15"/>
  <c r="AY14" i="16"/>
  <c r="AY15" i="16"/>
  <c r="AY16" i="16"/>
  <c r="AY10" i="16"/>
  <c r="AY13" i="16"/>
  <c r="AY17" i="16"/>
  <c r="AY29" i="16"/>
  <c r="AX14" i="16"/>
  <c r="AX15" i="16"/>
  <c r="AX16" i="16"/>
  <c r="AX10" i="16"/>
  <c r="AX13" i="16"/>
  <c r="AX17" i="16"/>
  <c r="AX29" i="16"/>
  <c r="AW14" i="16"/>
  <c r="AW15" i="16"/>
  <c r="AW16" i="16"/>
  <c r="AW17" i="16"/>
  <c r="AW29" i="16"/>
  <c r="AV14" i="16"/>
  <c r="AV15" i="16"/>
  <c r="AV10" i="16"/>
  <c r="AV13" i="16"/>
  <c r="AV16" i="16"/>
  <c r="AV17" i="16"/>
  <c r="AV29" i="16"/>
  <c r="AU14" i="16"/>
  <c r="AU15" i="16"/>
  <c r="AU16" i="16"/>
  <c r="AU10" i="16"/>
  <c r="AU13" i="16"/>
  <c r="AU17" i="16"/>
  <c r="AU29" i="16"/>
  <c r="AT21" i="16"/>
  <c r="AT22" i="16"/>
  <c r="AT23" i="16"/>
  <c r="AT29" i="16"/>
  <c r="AT33" i="16"/>
  <c r="AT34" i="16"/>
  <c r="AT40" i="16"/>
  <c r="AT39" i="16"/>
  <c r="AT44" i="16"/>
  <c r="AT50" i="16"/>
  <c r="AS16" i="16"/>
  <c r="AT17" i="16"/>
  <c r="AS21" i="16"/>
  <c r="AS23" i="16"/>
  <c r="AS22" i="16"/>
  <c r="AS24" i="16"/>
  <c r="AS29" i="16"/>
  <c r="AS33" i="16"/>
  <c r="AS39" i="16"/>
  <c r="AS34" i="16"/>
  <c r="AS40" i="16"/>
  <c r="AS44" i="16"/>
  <c r="AS45" i="16"/>
  <c r="AS51" i="16"/>
  <c r="AS50" i="16"/>
  <c r="AR21" i="16"/>
  <c r="AR22" i="16"/>
  <c r="AR29" i="16"/>
  <c r="AR44" i="16"/>
  <c r="AQ14" i="16"/>
  <c r="AR15" i="16"/>
  <c r="AQ15" i="16"/>
  <c r="AQ16" i="16"/>
  <c r="AR17" i="16"/>
  <c r="AQ17" i="16"/>
  <c r="AQ29" i="16"/>
  <c r="AP14" i="16"/>
  <c r="AP15" i="16"/>
  <c r="AP16" i="16"/>
  <c r="AP17" i="16"/>
  <c r="AP29" i="16"/>
  <c r="AO14" i="16"/>
  <c r="AO15" i="16"/>
  <c r="AO16" i="16"/>
  <c r="AO10" i="16"/>
  <c r="AO13" i="16"/>
  <c r="AO17" i="16"/>
  <c r="AO29" i="16"/>
  <c r="AN14" i="16"/>
  <c r="AN10" i="16"/>
  <c r="AN15" i="16"/>
  <c r="AN16" i="16"/>
  <c r="AN13" i="16"/>
  <c r="AN17" i="16"/>
  <c r="AN29" i="16"/>
  <c r="AM14" i="16"/>
  <c r="AM15" i="16"/>
  <c r="AM10" i="16"/>
  <c r="AM13" i="16"/>
  <c r="AM16" i="16"/>
  <c r="AM17" i="16"/>
  <c r="AM29" i="16"/>
  <c r="AL15" i="16"/>
  <c r="AL17" i="16"/>
  <c r="AL21" i="16"/>
  <c r="AL22" i="16"/>
  <c r="AL23" i="16"/>
  <c r="AL24" i="16"/>
  <c r="AL29" i="16"/>
  <c r="AL33" i="16"/>
  <c r="AL34" i="16"/>
  <c r="AL40" i="16"/>
  <c r="AL44" i="16"/>
  <c r="AL45" i="16"/>
  <c r="AL51" i="16"/>
  <c r="AK14" i="16"/>
  <c r="AK15" i="16"/>
  <c r="AL16" i="16"/>
  <c r="AK16" i="16"/>
  <c r="AK10" i="16"/>
  <c r="AK13" i="16"/>
  <c r="AL14" i="16"/>
  <c r="AL10" i="16"/>
  <c r="AL13" i="16"/>
  <c r="AK17" i="16"/>
  <c r="AK29" i="16"/>
  <c r="AJ14" i="16"/>
  <c r="AJ15" i="16"/>
  <c r="AJ16" i="16"/>
  <c r="AJ10" i="16"/>
  <c r="AJ13" i="16"/>
  <c r="AK21" i="16"/>
  <c r="AJ17" i="16"/>
  <c r="AJ29" i="16"/>
  <c r="AI14" i="16"/>
  <c r="AI15" i="16"/>
  <c r="AI16" i="16"/>
  <c r="AI17" i="16"/>
  <c r="AI29" i="16"/>
  <c r="AH14" i="16"/>
  <c r="AH15" i="16"/>
  <c r="AH16" i="16"/>
  <c r="AH17" i="16"/>
  <c r="AH29" i="16"/>
  <c r="AG14" i="16"/>
  <c r="AG15" i="16"/>
  <c r="AG10" i="16"/>
  <c r="AG13" i="16"/>
  <c r="AG16" i="16"/>
  <c r="AG17" i="16"/>
  <c r="AG21" i="16"/>
  <c r="AG29" i="16"/>
  <c r="AF14" i="16"/>
  <c r="AF15" i="16"/>
  <c r="AF16" i="16"/>
  <c r="AF10" i="16"/>
  <c r="AF13" i="16"/>
  <c r="AF17" i="16"/>
  <c r="AF29" i="16"/>
  <c r="AE14" i="16"/>
  <c r="AE10" i="16"/>
  <c r="AE15" i="16"/>
  <c r="AE16" i="16"/>
  <c r="AE13" i="16"/>
  <c r="AE17" i="16"/>
  <c r="AE29" i="16"/>
  <c r="AD14" i="16"/>
  <c r="AD15" i="16"/>
  <c r="AD10" i="16"/>
  <c r="AD13" i="16"/>
  <c r="AD16" i="16"/>
  <c r="AD17" i="16"/>
  <c r="AD29" i="16"/>
  <c r="AC14" i="16"/>
  <c r="AC15" i="16"/>
  <c r="AC16" i="16"/>
  <c r="AC17" i="16"/>
  <c r="AC29" i="16"/>
  <c r="AB14" i="16"/>
  <c r="AB15" i="16"/>
  <c r="AB10" i="16"/>
  <c r="AB13" i="16"/>
  <c r="AB16" i="16"/>
  <c r="AB17" i="16"/>
  <c r="AB29" i="16"/>
  <c r="AA14" i="16"/>
  <c r="AA15" i="16"/>
  <c r="AA16" i="16"/>
  <c r="AA17" i="16"/>
  <c r="AA29" i="16"/>
  <c r="Z14" i="16"/>
  <c r="Z15" i="16"/>
  <c r="Z16" i="16"/>
  <c r="Z10" i="16"/>
  <c r="Z13" i="16"/>
  <c r="Z17" i="16"/>
  <c r="Z29" i="16"/>
  <c r="Y14" i="16"/>
  <c r="Y15" i="16"/>
  <c r="Y16" i="16"/>
  <c r="Y17" i="16"/>
  <c r="Y29" i="16"/>
  <c r="X14" i="16"/>
  <c r="X15" i="16"/>
  <c r="X16" i="16"/>
  <c r="X10" i="16"/>
  <c r="X13" i="16"/>
  <c r="X17" i="16"/>
  <c r="X29" i="16"/>
  <c r="W14" i="16"/>
  <c r="W10" i="16"/>
  <c r="W15" i="16"/>
  <c r="W16" i="16"/>
  <c r="W13" i="16"/>
  <c r="X21" i="16"/>
  <c r="W17" i="16"/>
  <c r="W29" i="16"/>
  <c r="V14" i="16"/>
  <c r="V15" i="16"/>
  <c r="V10" i="16"/>
  <c r="V13" i="16"/>
  <c r="V16" i="16"/>
  <c r="V17" i="16"/>
  <c r="V29" i="16"/>
  <c r="U14" i="16"/>
  <c r="U15" i="16"/>
  <c r="U16" i="16"/>
  <c r="U17" i="16"/>
  <c r="U29" i="16"/>
  <c r="T14" i="16"/>
  <c r="T15" i="16"/>
  <c r="T10" i="16"/>
  <c r="T13" i="16"/>
  <c r="T16" i="16"/>
  <c r="T17" i="16"/>
  <c r="T29" i="16"/>
  <c r="S14" i="16"/>
  <c r="S15" i="16"/>
  <c r="S16" i="16"/>
  <c r="S17" i="16"/>
  <c r="S29" i="16"/>
  <c r="R14" i="16"/>
  <c r="R15" i="16"/>
  <c r="R16" i="16"/>
  <c r="R10" i="16"/>
  <c r="R13" i="16"/>
  <c r="R17" i="16"/>
  <c r="R29" i="16"/>
  <c r="Q14" i="16"/>
  <c r="Q15" i="16"/>
  <c r="Q16" i="16"/>
  <c r="Q17" i="16"/>
  <c r="Q29" i="16"/>
  <c r="P14" i="16"/>
  <c r="P15" i="16"/>
  <c r="P16" i="16"/>
  <c r="P10" i="16"/>
  <c r="P13" i="16"/>
  <c r="P17" i="16"/>
  <c r="P29" i="16"/>
  <c r="O14" i="16"/>
  <c r="O10" i="16"/>
  <c r="O15" i="16"/>
  <c r="O16" i="16"/>
  <c r="O13" i="16"/>
  <c r="O17" i="16"/>
  <c r="O29" i="16"/>
  <c r="N14" i="16"/>
  <c r="N15" i="16"/>
  <c r="N10" i="16"/>
  <c r="N13" i="16"/>
  <c r="N16" i="16"/>
  <c r="N17" i="16"/>
  <c r="N29" i="16"/>
  <c r="M14" i="16"/>
  <c r="M15" i="16"/>
  <c r="M16" i="16"/>
  <c r="M17" i="16"/>
  <c r="M29" i="16"/>
  <c r="L14" i="16"/>
  <c r="L15" i="16"/>
  <c r="L10" i="16"/>
  <c r="L13" i="16"/>
  <c r="L16" i="16"/>
  <c r="L17" i="16"/>
  <c r="L29" i="16"/>
  <c r="K14" i="16"/>
  <c r="K15" i="16"/>
  <c r="K16" i="16"/>
  <c r="K17" i="16"/>
  <c r="K29" i="16"/>
  <c r="J14" i="16"/>
  <c r="J15" i="16"/>
  <c r="J16" i="16"/>
  <c r="J10" i="16"/>
  <c r="J13" i="16"/>
  <c r="J17" i="16"/>
  <c r="J29" i="16"/>
  <c r="I14" i="16"/>
  <c r="I15" i="16"/>
  <c r="I16" i="16"/>
  <c r="I10" i="16"/>
  <c r="I13" i="16"/>
  <c r="I17" i="16"/>
  <c r="I29" i="16"/>
  <c r="H14" i="16"/>
  <c r="H15" i="16"/>
  <c r="H16" i="16"/>
  <c r="H17" i="16"/>
  <c r="H29" i="16"/>
  <c r="G14" i="16"/>
  <c r="G15" i="16"/>
  <c r="G16" i="16"/>
  <c r="G10" i="16"/>
  <c r="G13" i="16"/>
  <c r="G17" i="16"/>
  <c r="G29" i="16"/>
  <c r="F14" i="16"/>
  <c r="F15" i="16"/>
  <c r="F16" i="16"/>
  <c r="F17" i="16"/>
  <c r="F29" i="16"/>
  <c r="E14" i="16"/>
  <c r="E15" i="16"/>
  <c r="E16" i="16"/>
  <c r="E10" i="16"/>
  <c r="E13" i="16"/>
  <c r="E17" i="16"/>
  <c r="E29" i="16"/>
  <c r="D14" i="16"/>
  <c r="D15" i="16"/>
  <c r="D16" i="16"/>
  <c r="D17" i="16"/>
  <c r="D27" i="16"/>
  <c r="E27" i="16"/>
  <c r="E30" i="16"/>
  <c r="D29" i="16"/>
  <c r="D30" i="16"/>
  <c r="AY14" i="17"/>
  <c r="AY15" i="17"/>
  <c r="AY16" i="17"/>
  <c r="AY10" i="17"/>
  <c r="AY13" i="17"/>
  <c r="AY17" i="17"/>
  <c r="AY29" i="17"/>
  <c r="AX14" i="17"/>
  <c r="AX15" i="17"/>
  <c r="AX16" i="17"/>
  <c r="AX17" i="17"/>
  <c r="AX29" i="17"/>
  <c r="AW14" i="17"/>
  <c r="AW15" i="17"/>
  <c r="AW16" i="17"/>
  <c r="AW10" i="17"/>
  <c r="AW13" i="17"/>
  <c r="AW17" i="17"/>
  <c r="AW29" i="17"/>
  <c r="AV14" i="17"/>
  <c r="AV15" i="17"/>
  <c r="AV16" i="17"/>
  <c r="AV17" i="17"/>
  <c r="AV29" i="17"/>
  <c r="AU14" i="17"/>
  <c r="AU15" i="17"/>
  <c r="AU16" i="17"/>
  <c r="AU10" i="17"/>
  <c r="AU13" i="17"/>
  <c r="AU17" i="17"/>
  <c r="AU29" i="17"/>
  <c r="AT14" i="17"/>
  <c r="AT15" i="17"/>
  <c r="AT16" i="17"/>
  <c r="AT17" i="17"/>
  <c r="AT29" i="17"/>
  <c r="AS14" i="17"/>
  <c r="AS15" i="17"/>
  <c r="AS16" i="17"/>
  <c r="AS17" i="17"/>
  <c r="AS29" i="17"/>
  <c r="AR14" i="17"/>
  <c r="AR10" i="17"/>
  <c r="AR13" i="17"/>
  <c r="AR15" i="17"/>
  <c r="AR16" i="17"/>
  <c r="AR17" i="17"/>
  <c r="AR29" i="17"/>
  <c r="AQ14" i="17"/>
  <c r="AQ15" i="17"/>
  <c r="AQ16" i="17"/>
  <c r="AQ17" i="17"/>
  <c r="AQ29" i="17"/>
  <c r="AP14" i="17"/>
  <c r="AP15" i="17"/>
  <c r="AP16" i="17"/>
  <c r="AP17" i="17"/>
  <c r="AP29" i="17"/>
  <c r="AO14" i="17"/>
  <c r="AO15" i="17"/>
  <c r="AO16" i="17"/>
  <c r="AO10" i="17"/>
  <c r="AO13" i="17"/>
  <c r="AO17" i="17"/>
  <c r="AO29" i="17"/>
  <c r="AN14" i="17"/>
  <c r="AN15" i="17"/>
  <c r="AN16" i="17"/>
  <c r="AN17" i="17"/>
  <c r="AN29" i="17"/>
  <c r="AM14" i="17"/>
  <c r="AM15" i="17"/>
  <c r="AM16" i="17"/>
  <c r="AM10" i="17"/>
  <c r="AM13" i="17"/>
  <c r="AM17" i="17"/>
  <c r="AM29" i="17"/>
  <c r="AL14" i="17"/>
  <c r="AL10" i="17"/>
  <c r="AL15" i="17"/>
  <c r="AL16" i="17"/>
  <c r="AL13" i="17"/>
  <c r="AL17" i="17"/>
  <c r="AL29" i="17"/>
  <c r="AK14" i="17"/>
  <c r="AK10" i="17"/>
  <c r="AK13" i="17"/>
  <c r="AK15" i="17"/>
  <c r="AK16" i="17"/>
  <c r="AK17" i="17"/>
  <c r="AK29" i="17"/>
  <c r="AJ14" i="17"/>
  <c r="AJ10" i="17"/>
  <c r="AJ13" i="17"/>
  <c r="AJ15" i="17"/>
  <c r="AJ16" i="17"/>
  <c r="AJ17" i="17"/>
  <c r="AJ29" i="17"/>
  <c r="AI14" i="17"/>
  <c r="AI15" i="17"/>
  <c r="AI10" i="17"/>
  <c r="AI13" i="17"/>
  <c r="AI16" i="17"/>
  <c r="AI17" i="17"/>
  <c r="AI29" i="17"/>
  <c r="AH14" i="17"/>
  <c r="AH15" i="17"/>
  <c r="AH16" i="17"/>
  <c r="AH10" i="17"/>
  <c r="AH13" i="17"/>
  <c r="AH17" i="17"/>
  <c r="AH29" i="17"/>
  <c r="AG14" i="17"/>
  <c r="AG15" i="17"/>
  <c r="AG16" i="17"/>
  <c r="AG10" i="17"/>
  <c r="AG13" i="17"/>
  <c r="AG17" i="17"/>
  <c r="AG29" i="17"/>
  <c r="AF15" i="17"/>
  <c r="AF16" i="17"/>
  <c r="AF21" i="17"/>
  <c r="AF22" i="17"/>
  <c r="AF24" i="17"/>
  <c r="AF29" i="17"/>
  <c r="AF34" i="17"/>
  <c r="AF40" i="17"/>
  <c r="AF45" i="17"/>
  <c r="AF51" i="17"/>
  <c r="AE14" i="17"/>
  <c r="AE15" i="17"/>
  <c r="AE10" i="17"/>
  <c r="AE13" i="17"/>
  <c r="AF14" i="17"/>
  <c r="AF10" i="17"/>
  <c r="AF13" i="17"/>
  <c r="AE16" i="17"/>
  <c r="AF17" i="17"/>
  <c r="AE17" i="17"/>
  <c r="AE29" i="17"/>
  <c r="AD14" i="17"/>
  <c r="AD15" i="17"/>
  <c r="AD16" i="17"/>
  <c r="AD10" i="17"/>
  <c r="AD13" i="17"/>
  <c r="AD17" i="17"/>
  <c r="AD29" i="17"/>
  <c r="AC14" i="17"/>
  <c r="AC15" i="17"/>
  <c r="AC16" i="17"/>
  <c r="AC10" i="17"/>
  <c r="AC13" i="17"/>
  <c r="AD21" i="17"/>
  <c r="AD44" i="17"/>
  <c r="AC17" i="17"/>
  <c r="AC29" i="17"/>
  <c r="AB14" i="17"/>
  <c r="AB15" i="17"/>
  <c r="AB16" i="17"/>
  <c r="AB17" i="17"/>
  <c r="AB29" i="17"/>
  <c r="AA14" i="17"/>
  <c r="AA15" i="17"/>
  <c r="AA16" i="17"/>
  <c r="AA10" i="17"/>
  <c r="AA13" i="17"/>
  <c r="AA17" i="17"/>
  <c r="AA29" i="17"/>
  <c r="Z14" i="17"/>
  <c r="Z10" i="17"/>
  <c r="Z13" i="17"/>
  <c r="AA21" i="17"/>
  <c r="Z15" i="17"/>
  <c r="Z16" i="17"/>
  <c r="Z17" i="17"/>
  <c r="Z29" i="17"/>
  <c r="Y14" i="17"/>
  <c r="Y15" i="17"/>
  <c r="Y16" i="17"/>
  <c r="Y17" i="17"/>
  <c r="Y29" i="17"/>
  <c r="X14" i="17"/>
  <c r="X10" i="17"/>
  <c r="X13" i="17"/>
  <c r="X15" i="17"/>
  <c r="X16" i="17"/>
  <c r="X17" i="17"/>
  <c r="X29" i="17"/>
  <c r="W14" i="17"/>
  <c r="W15" i="17"/>
  <c r="W10" i="17"/>
  <c r="W13" i="17"/>
  <c r="W16" i="17"/>
  <c r="W17" i="17"/>
  <c r="W21" i="17"/>
  <c r="W29" i="17"/>
  <c r="V14" i="17"/>
  <c r="V15" i="17"/>
  <c r="V16" i="17"/>
  <c r="V10" i="17"/>
  <c r="V13" i="17"/>
  <c r="V17" i="17"/>
  <c r="V29" i="17"/>
  <c r="U14" i="17"/>
  <c r="U10" i="17"/>
  <c r="U13" i="17"/>
  <c r="U15" i="17"/>
  <c r="U16" i="17"/>
  <c r="U17" i="17"/>
  <c r="U29" i="17"/>
  <c r="T14" i="17"/>
  <c r="T15" i="17"/>
  <c r="T16" i="17"/>
  <c r="T17" i="17"/>
  <c r="T29" i="17"/>
  <c r="S16" i="17"/>
  <c r="S21" i="17"/>
  <c r="S23" i="17"/>
  <c r="S22" i="17"/>
  <c r="S24" i="17"/>
  <c r="S29" i="17"/>
  <c r="S33" i="17"/>
  <c r="S39" i="17"/>
  <c r="S34" i="17"/>
  <c r="S40" i="17"/>
  <c r="S44" i="17"/>
  <c r="S45" i="17"/>
  <c r="S51" i="17"/>
  <c r="S50" i="17"/>
  <c r="R14" i="17"/>
  <c r="S15" i="17"/>
  <c r="R15" i="17"/>
  <c r="R16" i="17"/>
  <c r="S17" i="17"/>
  <c r="R17" i="17"/>
  <c r="R29" i="17"/>
  <c r="Q14" i="17"/>
  <c r="Q15" i="17"/>
  <c r="Q16" i="17"/>
  <c r="Q10" i="17"/>
  <c r="Q13" i="17"/>
  <c r="Q17" i="17"/>
  <c r="Q29" i="17"/>
  <c r="P14" i="17"/>
  <c r="P15" i="17"/>
  <c r="P16" i="17"/>
  <c r="P17" i="17"/>
  <c r="P29" i="17"/>
  <c r="O14" i="17"/>
  <c r="O15" i="17"/>
  <c r="O10" i="17"/>
  <c r="O13" i="17"/>
  <c r="O16" i="17"/>
  <c r="O17" i="17"/>
  <c r="O29" i="17"/>
  <c r="N14" i="17"/>
  <c r="N10" i="17"/>
  <c r="N13" i="17"/>
  <c r="N15" i="17"/>
  <c r="N16" i="17"/>
  <c r="N17" i="17"/>
  <c r="N29" i="17"/>
  <c r="M14" i="17"/>
  <c r="M15" i="17"/>
  <c r="M16" i="17"/>
  <c r="M10" i="17"/>
  <c r="M13" i="17"/>
  <c r="M17" i="17"/>
  <c r="M29" i="17"/>
  <c r="L14" i="17"/>
  <c r="L15" i="17"/>
  <c r="L16" i="17"/>
  <c r="L17" i="17"/>
  <c r="L29" i="17"/>
  <c r="K14" i="17"/>
  <c r="K15" i="17"/>
  <c r="K16" i="17"/>
  <c r="K10" i="17"/>
  <c r="K13" i="17"/>
  <c r="K17" i="17"/>
  <c r="K29" i="17"/>
  <c r="J16" i="17"/>
  <c r="J21" i="17"/>
  <c r="J44" i="17"/>
  <c r="J22" i="17"/>
  <c r="J29" i="17"/>
  <c r="I14" i="17"/>
  <c r="J15" i="17"/>
  <c r="I15" i="17"/>
  <c r="I16" i="17"/>
  <c r="J17" i="17"/>
  <c r="I17" i="17"/>
  <c r="I29" i="17"/>
  <c r="H14" i="17"/>
  <c r="H15" i="17"/>
  <c r="H16" i="17"/>
  <c r="H17" i="17"/>
  <c r="H21" i="17"/>
  <c r="H23" i="17"/>
  <c r="H29" i="17"/>
  <c r="G14" i="17"/>
  <c r="G15" i="17"/>
  <c r="G16" i="17"/>
  <c r="G10" i="17"/>
  <c r="G13" i="17"/>
  <c r="G17" i="17"/>
  <c r="G29" i="17"/>
  <c r="F14" i="17"/>
  <c r="F10" i="17"/>
  <c r="F13" i="17"/>
  <c r="F15" i="17"/>
  <c r="F16" i="17"/>
  <c r="F17" i="17"/>
  <c r="F29" i="17"/>
  <c r="E14" i="17"/>
  <c r="E10" i="17"/>
  <c r="E13" i="17"/>
  <c r="E15" i="17"/>
  <c r="E16" i="17"/>
  <c r="E17" i="17"/>
  <c r="E29" i="17"/>
  <c r="D14" i="17"/>
  <c r="D10" i="17"/>
  <c r="D13" i="17"/>
  <c r="D15" i="17"/>
  <c r="D16" i="17"/>
  <c r="D17" i="17"/>
  <c r="D27" i="17"/>
  <c r="D29" i="17"/>
  <c r="AY14" i="18"/>
  <c r="AY15" i="18"/>
  <c r="AY10" i="18"/>
  <c r="AY13" i="18"/>
  <c r="AY16" i="18"/>
  <c r="AY17" i="18"/>
  <c r="AY29" i="18"/>
  <c r="AX14" i="18"/>
  <c r="AX15" i="18"/>
  <c r="AX16" i="18"/>
  <c r="AX10" i="18"/>
  <c r="AX13" i="18"/>
  <c r="AX17" i="18"/>
  <c r="AX29" i="18"/>
  <c r="AW14" i="18"/>
  <c r="AW15" i="18"/>
  <c r="AW16" i="18"/>
  <c r="AW10" i="18"/>
  <c r="AW13" i="18"/>
  <c r="AW17" i="18"/>
  <c r="AW29" i="18"/>
  <c r="AV14" i="18"/>
  <c r="AV15" i="18"/>
  <c r="AV16" i="18"/>
  <c r="AV17" i="18"/>
  <c r="AV29" i="18"/>
  <c r="AU14" i="18"/>
  <c r="AU15" i="18"/>
  <c r="AU16" i="18"/>
  <c r="AU10" i="18"/>
  <c r="AU13" i="18"/>
  <c r="AU17" i="18"/>
  <c r="AU29" i="18"/>
  <c r="AT14" i="18"/>
  <c r="AT10" i="18"/>
  <c r="AT13" i="18"/>
  <c r="AT15" i="18"/>
  <c r="AT16" i="18"/>
  <c r="AT17" i="18"/>
  <c r="AT29" i="18"/>
  <c r="AS14" i="18"/>
  <c r="AS15" i="18"/>
  <c r="AS16" i="18"/>
  <c r="AS17" i="18"/>
  <c r="AS29" i="18"/>
  <c r="AR14" i="18"/>
  <c r="AR10" i="18"/>
  <c r="AR13" i="18"/>
  <c r="AR15" i="18"/>
  <c r="AR16" i="18"/>
  <c r="AR17" i="18"/>
  <c r="AR29" i="18"/>
  <c r="AQ14" i="18"/>
  <c r="AQ15" i="18"/>
  <c r="AQ10" i="18"/>
  <c r="AQ13" i="18"/>
  <c r="AQ16" i="18"/>
  <c r="AQ17" i="18"/>
  <c r="AQ21" i="18"/>
  <c r="AQ29" i="18"/>
  <c r="AP14" i="18"/>
  <c r="AP15" i="18"/>
  <c r="AP16" i="18"/>
  <c r="AP10" i="18"/>
  <c r="AP13" i="18"/>
  <c r="AP17" i="18"/>
  <c r="AP29" i="18"/>
  <c r="AO14" i="18"/>
  <c r="AO10" i="18"/>
  <c r="AO13" i="18"/>
  <c r="AO15" i="18"/>
  <c r="AO16" i="18"/>
  <c r="AO17" i="18"/>
  <c r="AO29" i="18"/>
  <c r="AN14" i="18"/>
  <c r="AN15" i="18"/>
  <c r="AN16" i="18"/>
  <c r="AN17" i="18"/>
  <c r="AN21" i="18"/>
  <c r="AN29" i="18"/>
  <c r="AM14" i="18"/>
  <c r="AM15" i="18"/>
  <c r="AM16" i="18"/>
  <c r="AM10" i="18"/>
  <c r="AM13" i="18"/>
  <c r="AM17" i="18"/>
  <c r="AM29" i="18"/>
  <c r="AL14" i="18"/>
  <c r="AL10" i="18"/>
  <c r="AL13" i="18"/>
  <c r="AL15" i="18"/>
  <c r="AL16" i="18"/>
  <c r="AL17" i="18"/>
  <c r="AL29" i="18"/>
  <c r="AK14" i="18"/>
  <c r="AK10" i="18"/>
  <c r="AK13" i="18"/>
  <c r="AK15" i="18"/>
  <c r="AK16" i="18"/>
  <c r="AK17" i="18"/>
  <c r="AK29" i="18"/>
  <c r="AJ14" i="18"/>
  <c r="AJ10" i="18"/>
  <c r="AJ13" i="18"/>
  <c r="AJ15" i="18"/>
  <c r="AJ16" i="18"/>
  <c r="AJ17" i="18"/>
  <c r="AJ29" i="18"/>
  <c r="AI14" i="18"/>
  <c r="AI15" i="18"/>
  <c r="AI10" i="18"/>
  <c r="AI13" i="18"/>
  <c r="AI16" i="18"/>
  <c r="AI17" i="18"/>
  <c r="AI29" i="18"/>
  <c r="AH14" i="18"/>
  <c r="AH15" i="18"/>
  <c r="AH16" i="18"/>
  <c r="AH10" i="18"/>
  <c r="AH13" i="18"/>
  <c r="AH17" i="18"/>
  <c r="AH29" i="18"/>
  <c r="AG14" i="18"/>
  <c r="AG10" i="18"/>
  <c r="AG13" i="18"/>
  <c r="AG15" i="18"/>
  <c r="AG16" i="18"/>
  <c r="AG17" i="18"/>
  <c r="AG29" i="18"/>
  <c r="AF14" i="18"/>
  <c r="AF15" i="18"/>
  <c r="AF16" i="18"/>
  <c r="AF17" i="18"/>
  <c r="AF29" i="18"/>
  <c r="AE14" i="18"/>
  <c r="AE15" i="18"/>
  <c r="AE10" i="18"/>
  <c r="AE13" i="18"/>
  <c r="AE16" i="18"/>
  <c r="AE17" i="18"/>
  <c r="AE29" i="18"/>
  <c r="AD14" i="18"/>
  <c r="AD15" i="18"/>
  <c r="AD16" i="18"/>
  <c r="AD10" i="18"/>
  <c r="AD13" i="18"/>
  <c r="AD17" i="18"/>
  <c r="AD29" i="18"/>
  <c r="AC14" i="18"/>
  <c r="AC10" i="18"/>
  <c r="AC13" i="18"/>
  <c r="AC15" i="18"/>
  <c r="AC16" i="18"/>
  <c r="AC17" i="18"/>
  <c r="AC29" i="18"/>
  <c r="AB14" i="18"/>
  <c r="AB15" i="18"/>
  <c r="AB16" i="18"/>
  <c r="AB17" i="18"/>
  <c r="AB29" i="18"/>
  <c r="AA14" i="18"/>
  <c r="AA15" i="18"/>
  <c r="AA10" i="18"/>
  <c r="AA13" i="18"/>
  <c r="AA16" i="18"/>
  <c r="AA17" i="18"/>
  <c r="AA29" i="18"/>
  <c r="Z14" i="18"/>
  <c r="Z15" i="18"/>
  <c r="Z16" i="18"/>
  <c r="Z10" i="18"/>
  <c r="Z13" i="18"/>
  <c r="AA21" i="18"/>
  <c r="Z17" i="18"/>
  <c r="Z29" i="18"/>
  <c r="Y14" i="18"/>
  <c r="Y10" i="18"/>
  <c r="Y13" i="18"/>
  <c r="Y15" i="18"/>
  <c r="Y16" i="18"/>
  <c r="Y17" i="18"/>
  <c r="Y29" i="18"/>
  <c r="X14" i="18"/>
  <c r="X15" i="18"/>
  <c r="X16" i="18"/>
  <c r="X17" i="18"/>
  <c r="X29" i="18"/>
  <c r="W14" i="18"/>
  <c r="W15" i="18"/>
  <c r="W10" i="18"/>
  <c r="W13" i="18"/>
  <c r="W16" i="18"/>
  <c r="W17" i="18"/>
  <c r="W29" i="18"/>
  <c r="V14" i="18"/>
  <c r="V15" i="18"/>
  <c r="V16" i="18"/>
  <c r="V10" i="18"/>
  <c r="V13" i="18"/>
  <c r="V17" i="18"/>
  <c r="V29" i="18"/>
  <c r="U14" i="18"/>
  <c r="U10" i="18"/>
  <c r="U13" i="18"/>
  <c r="U15" i="18"/>
  <c r="U16" i="18"/>
  <c r="U17" i="18"/>
  <c r="U29" i="18"/>
  <c r="T14" i="18"/>
  <c r="T15" i="18"/>
  <c r="T16" i="18"/>
  <c r="T17" i="18"/>
  <c r="T29" i="18"/>
  <c r="S14" i="18"/>
  <c r="S15" i="18"/>
  <c r="S10" i="18"/>
  <c r="S13" i="18"/>
  <c r="S16" i="18"/>
  <c r="S17" i="18"/>
  <c r="S29" i="18"/>
  <c r="R14" i="18"/>
  <c r="R15" i="18"/>
  <c r="R16" i="18"/>
  <c r="R10" i="18"/>
  <c r="R13" i="18"/>
  <c r="R17" i="18"/>
  <c r="R29" i="18"/>
  <c r="Q14" i="18"/>
  <c r="Q10" i="18"/>
  <c r="Q13" i="18"/>
  <c r="Q15" i="18"/>
  <c r="Q16" i="18"/>
  <c r="Q17" i="18"/>
  <c r="Q29" i="18"/>
  <c r="P14" i="18"/>
  <c r="P10" i="18"/>
  <c r="P15" i="18"/>
  <c r="P16" i="18"/>
  <c r="P13" i="18"/>
  <c r="Q21" i="18"/>
  <c r="P17" i="18"/>
  <c r="P29" i="18"/>
  <c r="O14" i="18"/>
  <c r="O15" i="18"/>
  <c r="O10" i="18"/>
  <c r="O13" i="18"/>
  <c r="O16" i="18"/>
  <c r="O17" i="18"/>
  <c r="O29" i="18"/>
  <c r="N14" i="18"/>
  <c r="N15" i="18"/>
  <c r="N16" i="18"/>
  <c r="N10" i="18"/>
  <c r="N13" i="18"/>
  <c r="O21" i="18"/>
  <c r="N17" i="18"/>
  <c r="N29" i="18"/>
  <c r="M14" i="18"/>
  <c r="M10" i="18"/>
  <c r="M13" i="18"/>
  <c r="M15" i="18"/>
  <c r="M16" i="18"/>
  <c r="M17" i="18"/>
  <c r="M29" i="18"/>
  <c r="L14" i="18"/>
  <c r="L10" i="18"/>
  <c r="L15" i="18"/>
  <c r="L16" i="18"/>
  <c r="L13" i="18"/>
  <c r="M21" i="18"/>
  <c r="L17" i="18"/>
  <c r="L29" i="18"/>
  <c r="K14" i="18"/>
  <c r="K15" i="18"/>
  <c r="K10" i="18"/>
  <c r="K13" i="18"/>
  <c r="K16" i="18"/>
  <c r="K17" i="18"/>
  <c r="K29" i="18"/>
  <c r="J14" i="18"/>
  <c r="J15" i="18"/>
  <c r="J16" i="18"/>
  <c r="J10" i="18"/>
  <c r="J13" i="18"/>
  <c r="J17" i="18"/>
  <c r="J29" i="18"/>
  <c r="I14" i="18"/>
  <c r="I10" i="18"/>
  <c r="I13" i="18"/>
  <c r="I15" i="18"/>
  <c r="I16" i="18"/>
  <c r="I17" i="18"/>
  <c r="I29" i="18"/>
  <c r="H14" i="18"/>
  <c r="H10" i="18"/>
  <c r="H15" i="18"/>
  <c r="H16" i="18"/>
  <c r="H13" i="18"/>
  <c r="I21" i="18"/>
  <c r="H17" i="18"/>
  <c r="H29" i="18"/>
  <c r="G14" i="18"/>
  <c r="G15" i="18"/>
  <c r="G10" i="18"/>
  <c r="G13" i="18"/>
  <c r="G16" i="18"/>
  <c r="G17" i="18"/>
  <c r="G29" i="18"/>
  <c r="F14" i="18"/>
  <c r="F15" i="18"/>
  <c r="F16" i="18"/>
  <c r="F10" i="18"/>
  <c r="F13" i="18"/>
  <c r="G21" i="18"/>
  <c r="F17" i="18"/>
  <c r="F29" i="18"/>
  <c r="E21" i="18"/>
  <c r="E22" i="18"/>
  <c r="E23" i="18"/>
  <c r="E29" i="18"/>
  <c r="E33" i="18"/>
  <c r="E39" i="18"/>
  <c r="E44" i="18"/>
  <c r="E50" i="18"/>
  <c r="E45" i="18"/>
  <c r="E51" i="18"/>
  <c r="E46" i="18"/>
  <c r="D14" i="18"/>
  <c r="D15" i="18"/>
  <c r="E16" i="18"/>
  <c r="D16" i="18"/>
  <c r="E17" i="18"/>
  <c r="D17" i="18"/>
  <c r="D27" i="18"/>
  <c r="E27" i="18"/>
  <c r="E30" i="18"/>
  <c r="D29" i="18"/>
  <c r="D30" i="18"/>
  <c r="B21" i="16"/>
  <c r="D21" i="16"/>
  <c r="B21" i="17"/>
  <c r="B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/>
  <c r="D19" i="19"/>
  <c r="D28" i="19"/>
  <c r="E19" i="19"/>
  <c r="E28" i="19"/>
  <c r="F19" i="19"/>
  <c r="F28" i="19"/>
  <c r="G19" i="19"/>
  <c r="G28" i="19"/>
  <c r="H19" i="19"/>
  <c r="H28" i="19"/>
  <c r="I19" i="19"/>
  <c r="I28" i="19"/>
  <c r="J19" i="19"/>
  <c r="J28" i="19"/>
  <c r="K19" i="19"/>
  <c r="K28" i="19"/>
  <c r="L19" i="19"/>
  <c r="L28" i="19"/>
  <c r="M19" i="19"/>
  <c r="M28" i="19"/>
  <c r="N19" i="19"/>
  <c r="N28" i="19"/>
  <c r="C20" i="19"/>
  <c r="C29" i="19"/>
  <c r="D20" i="19"/>
  <c r="D29" i="19"/>
  <c r="E20" i="19"/>
  <c r="E29" i="19"/>
  <c r="F20" i="19"/>
  <c r="F29" i="19"/>
  <c r="G20" i="19"/>
  <c r="G29" i="19"/>
  <c r="H20" i="19"/>
  <c r="H29" i="19"/>
  <c r="I20" i="19"/>
  <c r="I29" i="19"/>
  <c r="J20" i="19"/>
  <c r="J29" i="19"/>
  <c r="K20" i="19"/>
  <c r="K29" i="19"/>
  <c r="L20" i="19"/>
  <c r="L29" i="19"/>
  <c r="M20" i="19"/>
  <c r="M29" i="19"/>
  <c r="N20" i="19"/>
  <c r="N29" i="19"/>
  <c r="C21" i="19"/>
  <c r="C30" i="19"/>
  <c r="D21" i="19"/>
  <c r="D30" i="19"/>
  <c r="E21" i="19"/>
  <c r="E30" i="19"/>
  <c r="F21" i="19"/>
  <c r="F30" i="19"/>
  <c r="G21" i="19"/>
  <c r="G30" i="19"/>
  <c r="H21" i="19"/>
  <c r="H30" i="19"/>
  <c r="I21" i="19"/>
  <c r="I30" i="19"/>
  <c r="J21" i="19"/>
  <c r="J30" i="19"/>
  <c r="K21" i="19"/>
  <c r="K30" i="19"/>
  <c r="L21" i="19"/>
  <c r="L30" i="19"/>
  <c r="M21" i="19"/>
  <c r="M30" i="19"/>
  <c r="N21" i="19"/>
  <c r="N30" i="19"/>
  <c r="C22" i="19"/>
  <c r="C31" i="19"/>
  <c r="D22" i="19"/>
  <c r="D31" i="19"/>
  <c r="E22" i="19"/>
  <c r="E31" i="19"/>
  <c r="F22" i="19"/>
  <c r="F31" i="19"/>
  <c r="G22" i="19"/>
  <c r="G31" i="19"/>
  <c r="H22" i="19"/>
  <c r="H31" i="19"/>
  <c r="I22" i="19"/>
  <c r="I31" i="19"/>
  <c r="J22" i="19"/>
  <c r="J31" i="19"/>
  <c r="K22" i="19"/>
  <c r="K31" i="19"/>
  <c r="L22" i="19"/>
  <c r="L31" i="19"/>
  <c r="M22" i="19"/>
  <c r="M31" i="19"/>
  <c r="N22" i="19"/>
  <c r="N31" i="19"/>
  <c r="C23" i="19"/>
  <c r="C32" i="19"/>
  <c r="D23" i="19"/>
  <c r="D32" i="19"/>
  <c r="E23" i="19"/>
  <c r="E32" i="19"/>
  <c r="F23" i="19"/>
  <c r="F32" i="19"/>
  <c r="G23" i="19"/>
  <c r="G32" i="19"/>
  <c r="H23" i="19"/>
  <c r="H32" i="19"/>
  <c r="I23" i="19"/>
  <c r="I32" i="19"/>
  <c r="J23" i="19"/>
  <c r="J32" i="19"/>
  <c r="K23" i="19"/>
  <c r="K32" i="19"/>
  <c r="L23" i="19"/>
  <c r="L32" i="19"/>
  <c r="M23" i="19"/>
  <c r="M32" i="19"/>
  <c r="N23" i="19"/>
  <c r="N32" i="19"/>
  <c r="C24" i="19"/>
  <c r="C33" i="19"/>
  <c r="D24" i="19"/>
  <c r="D33" i="19"/>
  <c r="E24" i="19"/>
  <c r="E33" i="19"/>
  <c r="F24" i="19"/>
  <c r="F33" i="19"/>
  <c r="G24" i="19"/>
  <c r="G33" i="19"/>
  <c r="H24" i="19"/>
  <c r="H33" i="19"/>
  <c r="I24" i="19"/>
  <c r="I33" i="19"/>
  <c r="J24" i="19"/>
  <c r="J33" i="19"/>
  <c r="K24" i="19"/>
  <c r="K33" i="19"/>
  <c r="L24" i="19"/>
  <c r="L33" i="19"/>
  <c r="M24" i="19"/>
  <c r="M33" i="19"/>
  <c r="N24" i="19"/>
  <c r="N33" i="19"/>
  <c r="AD21" i="18"/>
  <c r="AD22" i="18"/>
  <c r="AX21" i="18"/>
  <c r="N21" i="17"/>
  <c r="AD50" i="17"/>
  <c r="R21" i="18"/>
  <c r="R22" i="18"/>
  <c r="AK21" i="18"/>
  <c r="Y21" i="17"/>
  <c r="Y22" i="17"/>
  <c r="N21" i="18"/>
  <c r="Z21" i="18"/>
  <c r="Z22" i="18"/>
  <c r="AM21" i="18"/>
  <c r="AU21" i="18"/>
  <c r="AU22" i="18"/>
  <c r="AP21" i="18"/>
  <c r="E21" i="17"/>
  <c r="E22" i="17"/>
  <c r="O22" i="17"/>
  <c r="O21" i="17"/>
  <c r="AI21" i="17"/>
  <c r="J21" i="18"/>
  <c r="AH21" i="18"/>
  <c r="AH22" i="18"/>
  <c r="AS21" i="18"/>
  <c r="V21" i="17"/>
  <c r="G23" i="18"/>
  <c r="G44" i="18"/>
  <c r="G33" i="18"/>
  <c r="O23" i="18"/>
  <c r="O44" i="18"/>
  <c r="O33" i="18"/>
  <c r="V21" i="18"/>
  <c r="V22" i="18"/>
  <c r="AA23" i="18"/>
  <c r="AA44" i="18"/>
  <c r="AA33" i="18"/>
  <c r="AV22" i="18"/>
  <c r="AV21" i="18"/>
  <c r="G21" i="17"/>
  <c r="J50" i="17"/>
  <c r="J46" i="17"/>
  <c r="L21" i="17"/>
  <c r="AS22" i="17"/>
  <c r="AS21" i="17"/>
  <c r="D33" i="16"/>
  <c r="D44" i="16"/>
  <c r="D23" i="16"/>
  <c r="F27" i="18"/>
  <c r="H21" i="18"/>
  <c r="K22" i="18"/>
  <c r="M44" i="18"/>
  <c r="M33" i="18"/>
  <c r="Q44" i="18"/>
  <c r="Q33" i="18"/>
  <c r="AB22" i="18"/>
  <c r="AB21" i="18"/>
  <c r="AL22" i="18"/>
  <c r="AL21" i="18"/>
  <c r="AN33" i="18"/>
  <c r="AN44" i="18"/>
  <c r="AQ23" i="18"/>
  <c r="AQ33" i="18"/>
  <c r="AQ44" i="18"/>
  <c r="E27" i="17"/>
  <c r="D30" i="17"/>
  <c r="W23" i="17"/>
  <c r="W33" i="17"/>
  <c r="W44" i="17"/>
  <c r="AA23" i="17"/>
  <c r="AA33" i="17"/>
  <c r="AM21" i="17"/>
  <c r="F22" i="16"/>
  <c r="F21" i="16"/>
  <c r="P21" i="16"/>
  <c r="E34" i="18"/>
  <c r="E24" i="18"/>
  <c r="W21" i="18"/>
  <c r="AJ21" i="18"/>
  <c r="H22" i="17"/>
  <c r="AA44" i="17"/>
  <c r="AF33" i="17"/>
  <c r="AF44" i="17"/>
  <c r="AF23" i="17"/>
  <c r="AJ21" i="17"/>
  <c r="AA22" i="16"/>
  <c r="AA21" i="16"/>
  <c r="D21" i="17"/>
  <c r="B22" i="17"/>
  <c r="L22" i="17"/>
  <c r="AZ17" i="18"/>
  <c r="D10" i="18"/>
  <c r="E15" i="18"/>
  <c r="M22" i="18"/>
  <c r="Q22" i="18"/>
  <c r="T10" i="18"/>
  <c r="T13" i="18"/>
  <c r="X10" i="18"/>
  <c r="X13" i="18"/>
  <c r="AB10" i="18"/>
  <c r="AB13" i="18"/>
  <c r="AF10" i="18"/>
  <c r="AF13" i="18"/>
  <c r="AN23" i="18"/>
  <c r="AR21" i="18"/>
  <c r="J24" i="17"/>
  <c r="J34" i="17"/>
  <c r="J40" i="17"/>
  <c r="J45" i="17"/>
  <c r="J51" i="17"/>
  <c r="AB22" i="17"/>
  <c r="AB21" i="17"/>
  <c r="AD22" i="17"/>
  <c r="AG21" i="17"/>
  <c r="AG22" i="17"/>
  <c r="AK21" i="17"/>
  <c r="AK22" i="17"/>
  <c r="AL22" i="17"/>
  <c r="AL21" i="17"/>
  <c r="AV22" i="17"/>
  <c r="AV21" i="17"/>
  <c r="W21" i="16"/>
  <c r="G22" i="18"/>
  <c r="I44" i="18"/>
  <c r="I33" i="18"/>
  <c r="L22" i="18"/>
  <c r="L21" i="18"/>
  <c r="P21" i="18"/>
  <c r="T22" i="18"/>
  <c r="T21" i="18"/>
  <c r="X21" i="18"/>
  <c r="AA22" i="18"/>
  <c r="AF21" i="18"/>
  <c r="AY22" i="18"/>
  <c r="F22" i="17"/>
  <c r="F21" i="17"/>
  <c r="H33" i="17"/>
  <c r="H44" i="17"/>
  <c r="J33" i="17"/>
  <c r="J23" i="17"/>
  <c r="AD33" i="17"/>
  <c r="AD23" i="17"/>
  <c r="K21" i="18"/>
  <c r="S21" i="18"/>
  <c r="AE21" i="18"/>
  <c r="AN22" i="18"/>
  <c r="AA22" i="17"/>
  <c r="AE22" i="17"/>
  <c r="AE21" i="17"/>
  <c r="AN22" i="16"/>
  <c r="AN21" i="16"/>
  <c r="B22" i="18"/>
  <c r="D22" i="18"/>
  <c r="D21" i="18"/>
  <c r="I23" i="18"/>
  <c r="M23" i="18"/>
  <c r="Q23" i="18"/>
  <c r="AI21" i="18"/>
  <c r="AQ22" i="18"/>
  <c r="AS10" i="18"/>
  <c r="AS13" i="18"/>
  <c r="AY21" i="18"/>
  <c r="AZ17" i="17"/>
  <c r="I10" i="17"/>
  <c r="I13" i="17"/>
  <c r="J14" i="17"/>
  <c r="J10" i="17"/>
  <c r="J13" i="17"/>
  <c r="R22" i="17"/>
  <c r="R21" i="17"/>
  <c r="W22" i="17"/>
  <c r="AH21" i="17"/>
  <c r="AP22" i="17"/>
  <c r="AP21" i="17"/>
  <c r="AH21" i="16"/>
  <c r="AE22" i="16"/>
  <c r="AE21" i="16"/>
  <c r="AG23" i="16"/>
  <c r="AG33" i="16"/>
  <c r="AG44" i="16"/>
  <c r="P22" i="17"/>
  <c r="P21" i="17"/>
  <c r="P10" i="17"/>
  <c r="P13" i="17"/>
  <c r="X22" i="17"/>
  <c r="X21" i="17"/>
  <c r="AQ10" i="17"/>
  <c r="AQ13" i="17"/>
  <c r="O21" i="16"/>
  <c r="S22" i="16"/>
  <c r="S21" i="16"/>
  <c r="AC21" i="16"/>
  <c r="AK22" i="16"/>
  <c r="M21" i="16"/>
  <c r="X23" i="16"/>
  <c r="X44" i="16"/>
  <c r="X33" i="16"/>
  <c r="AK23" i="16"/>
  <c r="AK33" i="16"/>
  <c r="AK44" i="16"/>
  <c r="AN10" i="18"/>
  <c r="AN13" i="18"/>
  <c r="AV10" i="18"/>
  <c r="AV13" i="18"/>
  <c r="H10" i="17"/>
  <c r="H13" i="17"/>
  <c r="L10" i="17"/>
  <c r="L13" i="17"/>
  <c r="S35" i="17"/>
  <c r="Y10" i="17"/>
  <c r="Y13" i="17"/>
  <c r="AN22" i="17"/>
  <c r="AN21" i="17"/>
  <c r="K21" i="16"/>
  <c r="U22" i="16"/>
  <c r="U21" i="16"/>
  <c r="AF21" i="16"/>
  <c r="AL46" i="16"/>
  <c r="AL50" i="16"/>
  <c r="AR16" i="16"/>
  <c r="AS17" i="16"/>
  <c r="AZ17" i="16"/>
  <c r="AQ10" i="16"/>
  <c r="AQ13" i="16"/>
  <c r="AR14" i="16"/>
  <c r="R10" i="17"/>
  <c r="R13" i="17"/>
  <c r="S14" i="17"/>
  <c r="S10" i="17"/>
  <c r="S13" i="17"/>
  <c r="AN10" i="17"/>
  <c r="AN13" i="17"/>
  <c r="AX22" i="17"/>
  <c r="AX21" i="17"/>
  <c r="F27" i="16"/>
  <c r="J21" i="16"/>
  <c r="J22" i="16"/>
  <c r="AM21" i="16"/>
  <c r="AL35" i="16"/>
  <c r="AL39" i="16"/>
  <c r="AO21" i="16"/>
  <c r="AP22" i="16"/>
  <c r="AP21" i="16"/>
  <c r="AW21" i="16"/>
  <c r="AY21" i="16"/>
  <c r="AY22" i="16"/>
  <c r="S46" i="17"/>
  <c r="T10" i="17"/>
  <c r="T13" i="17"/>
  <c r="AB10" i="17"/>
  <c r="AB13" i="17"/>
  <c r="AS10" i="17"/>
  <c r="AS13" i="17"/>
  <c r="AT10" i="17"/>
  <c r="AT13" i="17"/>
  <c r="H21" i="16"/>
  <c r="Q22" i="16"/>
  <c r="Q21" i="16"/>
  <c r="Y21" i="16"/>
  <c r="AG22" i="16"/>
  <c r="AR50" i="16"/>
  <c r="BA14" i="15"/>
  <c r="D259" i="15"/>
  <c r="AZ259" i="15"/>
  <c r="AP10" i="17"/>
  <c r="AP13" i="17"/>
  <c r="AV10" i="17"/>
  <c r="AV13" i="17"/>
  <c r="AX10" i="17"/>
  <c r="AX13" i="17"/>
  <c r="D10" i="16"/>
  <c r="F10" i="16"/>
  <c r="F13" i="16"/>
  <c r="H10" i="16"/>
  <c r="H13" i="16"/>
  <c r="K10" i="16"/>
  <c r="K13" i="16"/>
  <c r="S10" i="16"/>
  <c r="S13" i="16"/>
  <c r="AA10" i="16"/>
  <c r="AA13" i="16"/>
  <c r="AR24" i="16"/>
  <c r="AR34" i="16"/>
  <c r="AR40" i="16"/>
  <c r="AR45" i="16"/>
  <c r="AR51" i="16"/>
  <c r="AV22" i="16"/>
  <c r="AV21" i="16"/>
  <c r="BA14" i="14"/>
  <c r="D259" i="14"/>
  <c r="AZ259" i="14"/>
  <c r="S9" i="20"/>
  <c r="H9" i="20"/>
  <c r="Q10" i="16"/>
  <c r="Q13" i="16"/>
  <c r="Y10" i="16"/>
  <c r="Y13" i="16"/>
  <c r="AH10" i="16"/>
  <c r="AH13" i="16"/>
  <c r="AS35" i="16"/>
  <c r="P260" i="15"/>
  <c r="AV260" i="15"/>
  <c r="AF260" i="14"/>
  <c r="M10" i="16"/>
  <c r="M13" i="16"/>
  <c r="U10" i="16"/>
  <c r="U13" i="16"/>
  <c r="AC10" i="16"/>
  <c r="AC13" i="16"/>
  <c r="AI10" i="16"/>
  <c r="AI13" i="16"/>
  <c r="AR33" i="16"/>
  <c r="AR23" i="16"/>
  <c r="AF260" i="15"/>
  <c r="P260" i="14"/>
  <c r="AV260" i="14"/>
  <c r="S31" i="20"/>
  <c r="T32" i="20"/>
  <c r="AS46" i="16"/>
  <c r="H260" i="15"/>
  <c r="AZ260" i="15"/>
  <c r="X260" i="15"/>
  <c r="AN260" i="15"/>
  <c r="H260" i="14"/>
  <c r="X260" i="14"/>
  <c r="AN260" i="14"/>
  <c r="H8" i="20"/>
  <c r="AP10" i="16"/>
  <c r="AP13" i="16"/>
  <c r="AT35" i="16"/>
  <c r="AT24" i="16"/>
  <c r="AT45" i="16"/>
  <c r="T43" i="20"/>
  <c r="AW10" i="16"/>
  <c r="AW13" i="16"/>
  <c r="G260" i="15"/>
  <c r="K260" i="15"/>
  <c r="O260" i="15"/>
  <c r="S260" i="15"/>
  <c r="W260" i="15"/>
  <c r="AA260" i="15"/>
  <c r="AE260" i="15"/>
  <c r="AI260" i="15"/>
  <c r="AM260" i="15"/>
  <c r="AQ260" i="15"/>
  <c r="AU260" i="15"/>
  <c r="AY260" i="15"/>
  <c r="G260" i="14"/>
  <c r="AZ260" i="14"/>
  <c r="K260" i="14"/>
  <c r="O260" i="14"/>
  <c r="S260" i="14"/>
  <c r="W260" i="14"/>
  <c r="AA260" i="14"/>
  <c r="AE260" i="14"/>
  <c r="AI260" i="14"/>
  <c r="AM260" i="14"/>
  <c r="AQ260" i="14"/>
  <c r="AU260" i="14"/>
  <c r="AY260" i="14"/>
  <c r="S7" i="20"/>
  <c r="H7" i="20"/>
  <c r="S8" i="20"/>
  <c r="H10" i="20"/>
  <c r="B22" i="16"/>
  <c r="H28" i="7"/>
  <c r="I29" i="7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/>
  <c r="G9" i="5"/>
  <c r="H9" i="5"/>
  <c r="D16" i="5"/>
  <c r="P36" i="6"/>
  <c r="P30" i="6"/>
  <c r="G21" i="5"/>
  <c r="G6" i="5"/>
  <c r="H6" i="5"/>
  <c r="G7" i="5"/>
  <c r="H7" i="5"/>
  <c r="G8" i="5"/>
  <c r="H8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L45" i="17"/>
  <c r="L51" i="17"/>
  <c r="L34" i="17"/>
  <c r="L40" i="17"/>
  <c r="L24" i="17"/>
  <c r="AX21" i="16"/>
  <c r="AX22" i="16"/>
  <c r="AI21" i="16"/>
  <c r="AI22" i="16"/>
  <c r="AV23" i="16"/>
  <c r="AV44" i="16"/>
  <c r="AV33" i="16"/>
  <c r="AW21" i="17"/>
  <c r="AW22" i="17"/>
  <c r="AG24" i="16"/>
  <c r="AG45" i="16"/>
  <c r="AG51" i="16"/>
  <c r="AG34" i="16"/>
  <c r="AG40" i="16"/>
  <c r="Q45" i="16"/>
  <c r="Q51" i="16"/>
  <c r="Q34" i="16"/>
  <c r="Q40" i="16"/>
  <c r="Q24" i="16"/>
  <c r="AY24" i="16"/>
  <c r="AY45" i="16"/>
  <c r="AY51" i="16"/>
  <c r="AY34" i="16"/>
  <c r="AY40" i="16"/>
  <c r="J34" i="16"/>
  <c r="J40" i="16"/>
  <c r="J24" i="16"/>
  <c r="J45" i="16"/>
  <c r="J51" i="16"/>
  <c r="AX24" i="17"/>
  <c r="AX45" i="17"/>
  <c r="AX51" i="17"/>
  <c r="AX34" i="17"/>
  <c r="AX40" i="17"/>
  <c r="U23" i="16"/>
  <c r="U44" i="16"/>
  <c r="U33" i="16"/>
  <c r="AN33" i="17"/>
  <c r="AN44" i="17"/>
  <c r="AN23" i="17"/>
  <c r="AK46" i="16"/>
  <c r="AK50" i="16"/>
  <c r="AK24" i="16"/>
  <c r="AK45" i="16"/>
  <c r="AK51" i="16"/>
  <c r="AK34" i="16"/>
  <c r="AK40" i="16"/>
  <c r="X23" i="17"/>
  <c r="X44" i="17"/>
  <c r="X33" i="17"/>
  <c r="AE33" i="16"/>
  <c r="AE44" i="16"/>
  <c r="AE23" i="16"/>
  <c r="W24" i="17"/>
  <c r="W34" i="17"/>
  <c r="W40" i="17"/>
  <c r="W45" i="17"/>
  <c r="W51" i="17"/>
  <c r="AQ24" i="18"/>
  <c r="AQ34" i="18"/>
  <c r="AQ40" i="18"/>
  <c r="AQ45" i="18"/>
  <c r="AQ51" i="18"/>
  <c r="AA45" i="17"/>
  <c r="AA51" i="17"/>
  <c r="AA34" i="17"/>
  <c r="AA40" i="17"/>
  <c r="AA24" i="17"/>
  <c r="F24" i="17"/>
  <c r="F45" i="17"/>
  <c r="F51" i="17"/>
  <c r="F34" i="17"/>
  <c r="F40" i="17"/>
  <c r="T45" i="18"/>
  <c r="T51" i="18"/>
  <c r="T34" i="18"/>
  <c r="T40" i="18"/>
  <c r="T24" i="18"/>
  <c r="L44" i="18"/>
  <c r="L23" i="18"/>
  <c r="L33" i="18"/>
  <c r="AV24" i="17"/>
  <c r="AV45" i="17"/>
  <c r="AV51" i="17"/>
  <c r="AV34" i="17"/>
  <c r="AV40" i="17"/>
  <c r="AB33" i="17"/>
  <c r="AB44" i="17"/>
  <c r="AB23" i="17"/>
  <c r="Q34" i="18"/>
  <c r="Q40" i="18"/>
  <c r="Q24" i="18"/>
  <c r="Q45" i="18"/>
  <c r="Q51" i="18"/>
  <c r="AA33" i="16"/>
  <c r="AA44" i="16"/>
  <c r="AA23" i="16"/>
  <c r="F33" i="16"/>
  <c r="F44" i="16"/>
  <c r="F23" i="16"/>
  <c r="AL33" i="18"/>
  <c r="AL44" i="18"/>
  <c r="AL23" i="18"/>
  <c r="Q39" i="18"/>
  <c r="Q35" i="18"/>
  <c r="O50" i="18"/>
  <c r="O24" i="17"/>
  <c r="O34" i="17"/>
  <c r="O40" i="17"/>
  <c r="O45" i="17"/>
  <c r="O51" i="17"/>
  <c r="AM23" i="18"/>
  <c r="AM44" i="18"/>
  <c r="AM33" i="18"/>
  <c r="AK44" i="18"/>
  <c r="AK23" i="18"/>
  <c r="AK33" i="18"/>
  <c r="AD21" i="16"/>
  <c r="AD22" i="16"/>
  <c r="AB21" i="16"/>
  <c r="AB22" i="16"/>
  <c r="AQ21" i="17"/>
  <c r="AQ22" i="17"/>
  <c r="Y23" i="16"/>
  <c r="Y44" i="16"/>
  <c r="Y33" i="16"/>
  <c r="H33" i="16"/>
  <c r="H44" i="16"/>
  <c r="H23" i="16"/>
  <c r="AY33" i="16"/>
  <c r="AY23" i="16"/>
  <c r="AY44" i="16"/>
  <c r="J44" i="16"/>
  <c r="J23" i="16"/>
  <c r="J33" i="16"/>
  <c r="I21" i="17"/>
  <c r="I22" i="17"/>
  <c r="AC23" i="16"/>
  <c r="AC44" i="16"/>
  <c r="AC33" i="16"/>
  <c r="X45" i="17"/>
  <c r="X51" i="17"/>
  <c r="X24" i="17"/>
  <c r="X34" i="17"/>
  <c r="X40" i="17"/>
  <c r="AG50" i="16"/>
  <c r="AP33" i="17"/>
  <c r="AP44" i="17"/>
  <c r="AP23" i="17"/>
  <c r="R33" i="17"/>
  <c r="R23" i="17"/>
  <c r="R44" i="17"/>
  <c r="AI23" i="18"/>
  <c r="AI33" i="18"/>
  <c r="AI44" i="18"/>
  <c r="AN24" i="16"/>
  <c r="AN45" i="16"/>
  <c r="AN51" i="16"/>
  <c r="AN34" i="16"/>
  <c r="AN40" i="16"/>
  <c r="H50" i="17"/>
  <c r="P44" i="18"/>
  <c r="P23" i="18"/>
  <c r="P33" i="18"/>
  <c r="W33" i="16"/>
  <c r="W44" i="16"/>
  <c r="W23" i="16"/>
  <c r="AG34" i="17"/>
  <c r="AG40" i="17"/>
  <c r="AG45" i="17"/>
  <c r="AG51" i="17"/>
  <c r="AG24" i="17"/>
  <c r="AB45" i="17"/>
  <c r="AB51" i="17"/>
  <c r="AB34" i="17"/>
  <c r="AB40" i="17"/>
  <c r="AB24" i="17"/>
  <c r="AR23" i="18"/>
  <c r="AR44" i="18"/>
  <c r="AR33" i="18"/>
  <c r="AF50" i="17"/>
  <c r="AF46" i="17"/>
  <c r="E40" i="18"/>
  <c r="E35" i="18"/>
  <c r="AL24" i="18"/>
  <c r="AL45" i="18"/>
  <c r="AL51" i="18"/>
  <c r="AL34" i="18"/>
  <c r="AL40" i="18"/>
  <c r="Q50" i="18"/>
  <c r="Q46" i="18"/>
  <c r="H44" i="18"/>
  <c r="H23" i="18"/>
  <c r="H33" i="18"/>
  <c r="AS24" i="17"/>
  <c r="AS34" i="17"/>
  <c r="AS40" i="17"/>
  <c r="AS45" i="17"/>
  <c r="AS51" i="17"/>
  <c r="AV45" i="18"/>
  <c r="AV51" i="18"/>
  <c r="AV34" i="18"/>
  <c r="AV40" i="18"/>
  <c r="AV24" i="18"/>
  <c r="AH24" i="18"/>
  <c r="AH34" i="18"/>
  <c r="AH40" i="18"/>
  <c r="AH45" i="18"/>
  <c r="AH51" i="18"/>
  <c r="E34" i="17"/>
  <c r="E40" i="17"/>
  <c r="E24" i="17"/>
  <c r="E45" i="17"/>
  <c r="E51" i="17"/>
  <c r="Z24" i="18"/>
  <c r="Z34" i="18"/>
  <c r="Z40" i="18"/>
  <c r="Z45" i="18"/>
  <c r="Z51" i="18"/>
  <c r="R24" i="18"/>
  <c r="R34" i="18"/>
  <c r="R40" i="18"/>
  <c r="R45" i="18"/>
  <c r="R51" i="18"/>
  <c r="AD24" i="18"/>
  <c r="AD34" i="18"/>
  <c r="AD40" i="18"/>
  <c r="AD45" i="18"/>
  <c r="AD51" i="18"/>
  <c r="D22" i="16"/>
  <c r="AF22" i="16"/>
  <c r="X22" i="16"/>
  <c r="T11" i="20"/>
  <c r="T45" i="20"/>
  <c r="AR35" i="16"/>
  <c r="AR39" i="16"/>
  <c r="N21" i="16"/>
  <c r="N22" i="16"/>
  <c r="L21" i="16"/>
  <c r="L22" i="16"/>
  <c r="AY21" i="17"/>
  <c r="AY22" i="17"/>
  <c r="Q23" i="16"/>
  <c r="Q44" i="16"/>
  <c r="Q33" i="16"/>
  <c r="AU21" i="17"/>
  <c r="AU22" i="17"/>
  <c r="AW22" i="16"/>
  <c r="AO23" i="16"/>
  <c r="AO33" i="16"/>
  <c r="AO44" i="16"/>
  <c r="AM44" i="16"/>
  <c r="AM33" i="16"/>
  <c r="AM23" i="16"/>
  <c r="AX33" i="17"/>
  <c r="AX44" i="17"/>
  <c r="AX23" i="17"/>
  <c r="AS15" i="16"/>
  <c r="AT16" i="16"/>
  <c r="AR10" i="16"/>
  <c r="AR13" i="16"/>
  <c r="AS14" i="16"/>
  <c r="AF23" i="16"/>
  <c r="AF44" i="16"/>
  <c r="AF33" i="16"/>
  <c r="K22" i="16"/>
  <c r="AO21" i="18"/>
  <c r="AO22" i="18"/>
  <c r="X39" i="16"/>
  <c r="M22" i="16"/>
  <c r="S33" i="16"/>
  <c r="S44" i="16"/>
  <c r="S23" i="16"/>
  <c r="AR22" i="17"/>
  <c r="AR21" i="17"/>
  <c r="P33" i="17"/>
  <c r="P44" i="17"/>
  <c r="P23" i="17"/>
  <c r="AH22" i="16"/>
  <c r="AH33" i="17"/>
  <c r="AH23" i="17"/>
  <c r="AH44" i="17"/>
  <c r="K21" i="17"/>
  <c r="K22" i="17"/>
  <c r="AT22" i="18"/>
  <c r="AT21" i="18"/>
  <c r="D45" i="18"/>
  <c r="D51" i="18"/>
  <c r="D34" i="18"/>
  <c r="D40" i="18"/>
  <c r="D24" i="18"/>
  <c r="AE24" i="17"/>
  <c r="AE34" i="17"/>
  <c r="AE40" i="17"/>
  <c r="AE45" i="17"/>
  <c r="AE51" i="17"/>
  <c r="S23" i="18"/>
  <c r="S44" i="18"/>
  <c r="S33" i="18"/>
  <c r="F33" i="17"/>
  <c r="F44" i="17"/>
  <c r="F23" i="17"/>
  <c r="AF22" i="18"/>
  <c r="T44" i="18"/>
  <c r="T23" i="18"/>
  <c r="T33" i="18"/>
  <c r="O22" i="18"/>
  <c r="I50" i="18"/>
  <c r="AV33" i="17"/>
  <c r="AV44" i="17"/>
  <c r="AV23" i="17"/>
  <c r="AK34" i="17"/>
  <c r="AK40" i="17"/>
  <c r="AK24" i="17"/>
  <c r="AK45" i="17"/>
  <c r="AK51" i="17"/>
  <c r="AD24" i="17"/>
  <c r="AD34" i="17"/>
  <c r="AD40" i="17"/>
  <c r="AD45" i="17"/>
  <c r="U21" i="18"/>
  <c r="U22" i="18"/>
  <c r="D23" i="17"/>
  <c r="D33" i="17"/>
  <c r="D44" i="17"/>
  <c r="AJ22" i="17"/>
  <c r="AA46" i="17"/>
  <c r="AA50" i="17"/>
  <c r="W23" i="18"/>
  <c r="W44" i="18"/>
  <c r="W33" i="18"/>
  <c r="P23" i="16"/>
  <c r="P44" i="16"/>
  <c r="P33" i="16"/>
  <c r="AM44" i="17"/>
  <c r="AM23" i="17"/>
  <c r="AM33" i="17"/>
  <c r="W39" i="17"/>
  <c r="W35" i="17"/>
  <c r="AQ50" i="18"/>
  <c r="AN39" i="18"/>
  <c r="AE22" i="18"/>
  <c r="S22" i="18"/>
  <c r="M50" i="18"/>
  <c r="F30" i="18"/>
  <c r="G27" i="18"/>
  <c r="G23" i="17"/>
  <c r="G44" i="17"/>
  <c r="G33" i="17"/>
  <c r="AA50" i="18"/>
  <c r="O39" i="18"/>
  <c r="G46" i="18"/>
  <c r="G50" i="18"/>
  <c r="AS22" i="18"/>
  <c r="J22" i="18"/>
  <c r="O23" i="17"/>
  <c r="O44" i="17"/>
  <c r="O33" i="17"/>
  <c r="AP22" i="18"/>
  <c r="AM22" i="18"/>
  <c r="N22" i="18"/>
  <c r="AK22" i="18"/>
  <c r="AX22" i="18"/>
  <c r="AJ21" i="16"/>
  <c r="AJ22" i="16"/>
  <c r="I21" i="16"/>
  <c r="I22" i="16"/>
  <c r="AT22" i="17"/>
  <c r="AT21" i="17"/>
  <c r="AP44" i="16"/>
  <c r="AP23" i="16"/>
  <c r="AP33" i="16"/>
  <c r="M21" i="17"/>
  <c r="M22" i="17"/>
  <c r="X50" i="16"/>
  <c r="S24" i="16"/>
  <c r="S34" i="16"/>
  <c r="S40" i="16"/>
  <c r="S45" i="16"/>
  <c r="S51" i="16"/>
  <c r="P45" i="17"/>
  <c r="P51" i="17"/>
  <c r="P24" i="17"/>
  <c r="P34" i="17"/>
  <c r="P40" i="17"/>
  <c r="AZ10" i="17"/>
  <c r="AN33" i="16"/>
  <c r="AN44" i="16"/>
  <c r="AN23" i="16"/>
  <c r="K23" i="18"/>
  <c r="K44" i="18"/>
  <c r="K33" i="18"/>
  <c r="J35" i="17"/>
  <c r="J39" i="17"/>
  <c r="AA45" i="18"/>
  <c r="AA51" i="18"/>
  <c r="AA24" i="18"/>
  <c r="AA34" i="18"/>
  <c r="AA40" i="18"/>
  <c r="G45" i="18"/>
  <c r="G51" i="18"/>
  <c r="G24" i="18"/>
  <c r="G34" i="18"/>
  <c r="G40" i="18"/>
  <c r="AK44" i="17"/>
  <c r="AK23" i="17"/>
  <c r="AK33" i="17"/>
  <c r="AG21" i="18"/>
  <c r="AG22" i="18"/>
  <c r="D13" i="18"/>
  <c r="E14" i="18"/>
  <c r="E10" i="18"/>
  <c r="E13" i="18"/>
  <c r="H45" i="17"/>
  <c r="H51" i="17"/>
  <c r="H34" i="17"/>
  <c r="H40" i="17"/>
  <c r="H24" i="17"/>
  <c r="AA39" i="17"/>
  <c r="AQ39" i="18"/>
  <c r="AQ35" i="18"/>
  <c r="AB44" i="18"/>
  <c r="AB23" i="18"/>
  <c r="AB33" i="18"/>
  <c r="K45" i="18"/>
  <c r="K51" i="18"/>
  <c r="K24" i="18"/>
  <c r="K34" i="18"/>
  <c r="K40" i="18"/>
  <c r="AS23" i="17"/>
  <c r="AS33" i="17"/>
  <c r="AS44" i="17"/>
  <c r="AV33" i="18"/>
  <c r="AV44" i="18"/>
  <c r="AV23" i="18"/>
  <c r="AS44" i="18"/>
  <c r="AS23" i="18"/>
  <c r="AS33" i="18"/>
  <c r="J33" i="18"/>
  <c r="J23" i="18"/>
  <c r="J44" i="18"/>
  <c r="AP33" i="18"/>
  <c r="AP23" i="18"/>
  <c r="AP44" i="18"/>
  <c r="N33" i="18"/>
  <c r="N23" i="18"/>
  <c r="N44" i="18"/>
  <c r="AX33" i="18"/>
  <c r="AX23" i="18"/>
  <c r="AX44" i="18"/>
  <c r="AQ21" i="16"/>
  <c r="AQ22" i="16"/>
  <c r="Z21" i="16"/>
  <c r="Z22" i="16"/>
  <c r="AV45" i="16"/>
  <c r="AV51" i="16"/>
  <c r="AV34" i="16"/>
  <c r="AV40" i="16"/>
  <c r="AV24" i="16"/>
  <c r="G21" i="16"/>
  <c r="G22" i="16"/>
  <c r="AC21" i="17"/>
  <c r="AC22" i="17"/>
  <c r="AP45" i="16"/>
  <c r="AP51" i="16"/>
  <c r="AP34" i="16"/>
  <c r="AP40" i="16"/>
  <c r="AP24" i="16"/>
  <c r="AO21" i="17"/>
  <c r="AO22" i="17"/>
  <c r="U45" i="16"/>
  <c r="U51" i="16"/>
  <c r="U34" i="16"/>
  <c r="U40" i="16"/>
  <c r="U24" i="16"/>
  <c r="AN24" i="17"/>
  <c r="AN34" i="17"/>
  <c r="AN40" i="17"/>
  <c r="AN45" i="17"/>
  <c r="AN51" i="17"/>
  <c r="AK39" i="16"/>
  <c r="AK35" i="16"/>
  <c r="O33" i="16"/>
  <c r="O44" i="16"/>
  <c r="O23" i="16"/>
  <c r="AE24" i="16"/>
  <c r="AE45" i="16"/>
  <c r="AE51" i="16"/>
  <c r="AE34" i="16"/>
  <c r="AE40" i="16"/>
  <c r="AN45" i="18"/>
  <c r="AN51" i="18"/>
  <c r="AN34" i="18"/>
  <c r="AN40" i="18"/>
  <c r="AN24" i="18"/>
  <c r="AY24" i="18"/>
  <c r="AY34" i="18"/>
  <c r="AY40" i="18"/>
  <c r="AY45" i="18"/>
  <c r="AY51" i="18"/>
  <c r="X44" i="18"/>
  <c r="X23" i="18"/>
  <c r="X33" i="18"/>
  <c r="L45" i="18"/>
  <c r="L51" i="18"/>
  <c r="L34" i="18"/>
  <c r="L40" i="18"/>
  <c r="L24" i="18"/>
  <c r="AL33" i="17"/>
  <c r="AL44" i="17"/>
  <c r="AL23" i="17"/>
  <c r="AC21" i="18"/>
  <c r="AC22" i="18"/>
  <c r="M34" i="18"/>
  <c r="M40" i="18"/>
  <c r="M24" i="18"/>
  <c r="M45" i="18"/>
  <c r="M51" i="18"/>
  <c r="AA24" i="16"/>
  <c r="AA34" i="16"/>
  <c r="AA40" i="16"/>
  <c r="AA45" i="16"/>
  <c r="AA51" i="16"/>
  <c r="AJ23" i="18"/>
  <c r="AJ33" i="18"/>
  <c r="AJ44" i="18"/>
  <c r="F24" i="16"/>
  <c r="F45" i="16"/>
  <c r="F51" i="16"/>
  <c r="F34" i="16"/>
  <c r="F40" i="16"/>
  <c r="AB45" i="18"/>
  <c r="AB51" i="18"/>
  <c r="AB34" i="18"/>
  <c r="AB40" i="18"/>
  <c r="AB24" i="18"/>
  <c r="D50" i="16"/>
  <c r="V24" i="18"/>
  <c r="V34" i="18"/>
  <c r="V40" i="18"/>
  <c r="V45" i="18"/>
  <c r="V51" i="18"/>
  <c r="V33" i="17"/>
  <c r="V23" i="17"/>
  <c r="V44" i="17"/>
  <c r="AI23" i="17"/>
  <c r="AI33" i="17"/>
  <c r="AI44" i="17"/>
  <c r="AU24" i="18"/>
  <c r="AU45" i="18"/>
  <c r="AU51" i="18"/>
  <c r="AU34" i="18"/>
  <c r="AU40" i="18"/>
  <c r="Y34" i="17"/>
  <c r="Y40" i="17"/>
  <c r="Y24" i="17"/>
  <c r="Y45" i="17"/>
  <c r="Y51" i="17"/>
  <c r="N33" i="17"/>
  <c r="N23" i="17"/>
  <c r="N44" i="17"/>
  <c r="AT51" i="16"/>
  <c r="AT46" i="16"/>
  <c r="V21" i="16"/>
  <c r="V22" i="16"/>
  <c r="R21" i="16"/>
  <c r="R22" i="16"/>
  <c r="T21" i="16"/>
  <c r="T22" i="16"/>
  <c r="D13" i="16"/>
  <c r="AR46" i="16"/>
  <c r="Y22" i="16"/>
  <c r="H22" i="16"/>
  <c r="U21" i="17"/>
  <c r="U22" i="17"/>
  <c r="AW44" i="16"/>
  <c r="AW33" i="16"/>
  <c r="AW23" i="16"/>
  <c r="AO22" i="16"/>
  <c r="AM22" i="16"/>
  <c r="G27" i="16"/>
  <c r="F30" i="16"/>
  <c r="T22" i="17"/>
  <c r="T21" i="17"/>
  <c r="K33" i="16"/>
  <c r="K44" i="16"/>
  <c r="K23" i="16"/>
  <c r="Z22" i="17"/>
  <c r="Z21" i="17"/>
  <c r="AW21" i="18"/>
  <c r="AW22" i="18"/>
  <c r="M23" i="16"/>
  <c r="M44" i="16"/>
  <c r="M33" i="16"/>
  <c r="AC22" i="16"/>
  <c r="O22" i="16"/>
  <c r="Q21" i="17"/>
  <c r="Q22" i="17"/>
  <c r="AG39" i="16"/>
  <c r="AG35" i="16"/>
  <c r="AH33" i="16"/>
  <c r="AH44" i="16"/>
  <c r="AH23" i="16"/>
  <c r="AP45" i="17"/>
  <c r="AP51" i="17"/>
  <c r="AP34" i="17"/>
  <c r="AP40" i="17"/>
  <c r="AP24" i="17"/>
  <c r="R24" i="17"/>
  <c r="R34" i="17"/>
  <c r="R40" i="17"/>
  <c r="R45" i="17"/>
  <c r="R51" i="17"/>
  <c r="AY23" i="18"/>
  <c r="AY33" i="18"/>
  <c r="AY44" i="18"/>
  <c r="D44" i="18"/>
  <c r="D23" i="18"/>
  <c r="D33" i="18"/>
  <c r="AE23" i="17"/>
  <c r="AE33" i="17"/>
  <c r="AE44" i="17"/>
  <c r="AE23" i="18"/>
  <c r="AE44" i="18"/>
  <c r="AE33" i="18"/>
  <c r="AD35" i="17"/>
  <c r="AD39" i="17"/>
  <c r="H39" i="17"/>
  <c r="AF44" i="18"/>
  <c r="AF23" i="18"/>
  <c r="AF33" i="18"/>
  <c r="X22" i="18"/>
  <c r="P22" i="18"/>
  <c r="I39" i="18"/>
  <c r="W22" i="16"/>
  <c r="AL24" i="17"/>
  <c r="AL45" i="17"/>
  <c r="AL51" i="17"/>
  <c r="AL34" i="17"/>
  <c r="AL40" i="17"/>
  <c r="AG44" i="17"/>
  <c r="AG33" i="17"/>
  <c r="AG23" i="17"/>
  <c r="AR22" i="18"/>
  <c r="Y21" i="18"/>
  <c r="Y22" i="18"/>
  <c r="I22" i="18"/>
  <c r="D22" i="17"/>
  <c r="AH22" i="17"/>
  <c r="AJ23" i="17"/>
  <c r="AJ33" i="17"/>
  <c r="AJ44" i="17"/>
  <c r="AF35" i="17"/>
  <c r="AF39" i="17"/>
  <c r="AJ22" i="18"/>
  <c r="P22" i="16"/>
  <c r="AM22" i="17"/>
  <c r="W46" i="17"/>
  <c r="W50" i="17"/>
  <c r="F27" i="17"/>
  <c r="E30" i="17"/>
  <c r="AN46" i="18"/>
  <c r="AN50" i="18"/>
  <c r="AI22" i="18"/>
  <c r="W22" i="18"/>
  <c r="M39" i="18"/>
  <c r="M35" i="18"/>
  <c r="H22" i="18"/>
  <c r="D39" i="16"/>
  <c r="L33" i="17"/>
  <c r="L44" i="17"/>
  <c r="L23" i="17"/>
  <c r="G22" i="17"/>
  <c r="AA39" i="18"/>
  <c r="V33" i="18"/>
  <c r="V23" i="18"/>
  <c r="V44" i="18"/>
  <c r="G39" i="18"/>
  <c r="G35" i="18"/>
  <c r="V22" i="17"/>
  <c r="AH33" i="18"/>
  <c r="AH23" i="18"/>
  <c r="AH44" i="18"/>
  <c r="AI22" i="17"/>
  <c r="E44" i="17"/>
  <c r="E23" i="17"/>
  <c r="E33" i="17"/>
  <c r="AU23" i="18"/>
  <c r="AU33" i="18"/>
  <c r="AU44" i="18"/>
  <c r="Z33" i="18"/>
  <c r="Z23" i="18"/>
  <c r="Z44" i="18"/>
  <c r="Y44" i="17"/>
  <c r="Y23" i="17"/>
  <c r="Y33" i="17"/>
  <c r="R33" i="18"/>
  <c r="R23" i="18"/>
  <c r="R44" i="18"/>
  <c r="N22" i="17"/>
  <c r="AD33" i="18"/>
  <c r="AD23" i="18"/>
  <c r="AD44" i="18"/>
  <c r="G107" i="5"/>
  <c r="G16" i="5"/>
  <c r="AD50" i="18"/>
  <c r="AD46" i="18"/>
  <c r="R50" i="18"/>
  <c r="R46" i="18"/>
  <c r="Z39" i="18"/>
  <c r="Z35" i="18"/>
  <c r="E35" i="17"/>
  <c r="E39" i="17"/>
  <c r="AH50" i="18"/>
  <c r="AH46" i="18"/>
  <c r="V39" i="18"/>
  <c r="V35" i="18"/>
  <c r="W45" i="18"/>
  <c r="W51" i="18"/>
  <c r="W24" i="18"/>
  <c r="W34" i="18"/>
  <c r="W40" i="18"/>
  <c r="AM34" i="17"/>
  <c r="AM40" i="17"/>
  <c r="AM24" i="17"/>
  <c r="AM45" i="17"/>
  <c r="AM51" i="17"/>
  <c r="AH24" i="17"/>
  <c r="AH34" i="17"/>
  <c r="AH40" i="17"/>
  <c r="AH45" i="17"/>
  <c r="AH51" i="17"/>
  <c r="Y44" i="18"/>
  <c r="Y33" i="18"/>
  <c r="Y23" i="18"/>
  <c r="AG50" i="17"/>
  <c r="AG46" i="17"/>
  <c r="W24" i="16"/>
  <c r="W45" i="16"/>
  <c r="W51" i="16"/>
  <c r="W34" i="16"/>
  <c r="W40" i="16"/>
  <c r="X45" i="18"/>
  <c r="X51" i="18"/>
  <c r="X34" i="18"/>
  <c r="X40" i="18"/>
  <c r="X24" i="18"/>
  <c r="AE39" i="18"/>
  <c r="AE35" i="18"/>
  <c r="AE39" i="17"/>
  <c r="AE35" i="17"/>
  <c r="D46" i="18"/>
  <c r="D50" i="18"/>
  <c r="AH50" i="16"/>
  <c r="Q34" i="17"/>
  <c r="Q40" i="17"/>
  <c r="Q24" i="17"/>
  <c r="Q45" i="17"/>
  <c r="Q51" i="17"/>
  <c r="M39" i="16"/>
  <c r="AW44" i="18"/>
  <c r="AW33" i="18"/>
  <c r="AW23" i="18"/>
  <c r="K50" i="16"/>
  <c r="K46" i="16"/>
  <c r="U44" i="17"/>
  <c r="U23" i="17"/>
  <c r="U33" i="17"/>
  <c r="E21" i="16"/>
  <c r="E22" i="16"/>
  <c r="R34" i="16"/>
  <c r="R40" i="16"/>
  <c r="R24" i="16"/>
  <c r="R45" i="16"/>
  <c r="R51" i="16"/>
  <c r="N39" i="17"/>
  <c r="AI39" i="17"/>
  <c r="V39" i="17"/>
  <c r="AJ50" i="18"/>
  <c r="AL50" i="17"/>
  <c r="AL46" i="17"/>
  <c r="AO24" i="17"/>
  <c r="AO45" i="17"/>
  <c r="AO51" i="17"/>
  <c r="AO34" i="17"/>
  <c r="AO40" i="17"/>
  <c r="G23" i="16"/>
  <c r="G44" i="16"/>
  <c r="G33" i="16"/>
  <c r="Z34" i="16"/>
  <c r="Z40" i="16"/>
  <c r="Z24" i="16"/>
  <c r="Z45" i="16"/>
  <c r="Z51" i="16"/>
  <c r="AX50" i="18"/>
  <c r="AP35" i="18"/>
  <c r="AP39" i="18"/>
  <c r="AS39" i="18"/>
  <c r="AV46" i="18"/>
  <c r="AV50" i="18"/>
  <c r="AB35" i="18"/>
  <c r="AB39" i="18"/>
  <c r="AG34" i="18"/>
  <c r="AG40" i="18"/>
  <c r="AG24" i="18"/>
  <c r="AG45" i="18"/>
  <c r="AG51" i="18"/>
  <c r="AK46" i="17"/>
  <c r="AK50" i="17"/>
  <c r="M34" i="17"/>
  <c r="M40" i="17"/>
  <c r="M24" i="17"/>
  <c r="M45" i="17"/>
  <c r="M51" i="17"/>
  <c r="AP46" i="16"/>
  <c r="AP50" i="16"/>
  <c r="I44" i="16"/>
  <c r="I23" i="16"/>
  <c r="I33" i="16"/>
  <c r="AK34" i="18"/>
  <c r="AK40" i="18"/>
  <c r="AK24" i="18"/>
  <c r="AK45" i="18"/>
  <c r="AK51" i="18"/>
  <c r="O39" i="17"/>
  <c r="O35" i="17"/>
  <c r="AS34" i="18"/>
  <c r="AS40" i="18"/>
  <c r="AS24" i="18"/>
  <c r="AS45" i="18"/>
  <c r="AS51" i="18"/>
  <c r="G46" i="17"/>
  <c r="G50" i="17"/>
  <c r="M46" i="18"/>
  <c r="AM50" i="17"/>
  <c r="W39" i="18"/>
  <c r="W35" i="18"/>
  <c r="AD51" i="17"/>
  <c r="AD46" i="17"/>
  <c r="AV35" i="17"/>
  <c r="AV39" i="17"/>
  <c r="T35" i="18"/>
  <c r="T39" i="18"/>
  <c r="S50" i="18"/>
  <c r="K23" i="17"/>
  <c r="AZ23" i="17"/>
  <c r="K33" i="17"/>
  <c r="K44" i="17"/>
  <c r="AH45" i="16"/>
  <c r="AH51" i="16"/>
  <c r="AH24" i="16"/>
  <c r="AH34" i="16"/>
  <c r="AH40" i="16"/>
  <c r="AR33" i="17"/>
  <c r="AR23" i="17"/>
  <c r="AR44" i="17"/>
  <c r="S35" i="16"/>
  <c r="S39" i="16"/>
  <c r="AO34" i="18"/>
  <c r="AO40" i="18"/>
  <c r="AO24" i="18"/>
  <c r="AO45" i="18"/>
  <c r="AO51" i="18"/>
  <c r="AF50" i="16"/>
  <c r="AM35" i="16"/>
  <c r="AM39" i="16"/>
  <c r="Q35" i="16"/>
  <c r="Q39" i="16"/>
  <c r="AY23" i="17"/>
  <c r="AY44" i="17"/>
  <c r="AY33" i="17"/>
  <c r="N44" i="16"/>
  <c r="N33" i="16"/>
  <c r="N23" i="16"/>
  <c r="X24" i="16"/>
  <c r="X34" i="16"/>
  <c r="X45" i="16"/>
  <c r="H39" i="18"/>
  <c r="W35" i="16"/>
  <c r="W39" i="16"/>
  <c r="R50" i="17"/>
  <c r="R46" i="17"/>
  <c r="AP46" i="17"/>
  <c r="AP50" i="17"/>
  <c r="AC50" i="16"/>
  <c r="J35" i="16"/>
  <c r="J39" i="16"/>
  <c r="H39" i="16"/>
  <c r="AQ34" i="17"/>
  <c r="AQ40" i="17"/>
  <c r="AQ24" i="17"/>
  <c r="AQ45" i="17"/>
  <c r="AQ51" i="17"/>
  <c r="AD34" i="16"/>
  <c r="AD40" i="16"/>
  <c r="AD24" i="16"/>
  <c r="AD45" i="16"/>
  <c r="AD51" i="16"/>
  <c r="AK46" i="18"/>
  <c r="AK50" i="18"/>
  <c r="F50" i="16"/>
  <c r="F46" i="16"/>
  <c r="AA35" i="16"/>
  <c r="AA39" i="16"/>
  <c r="L50" i="18"/>
  <c r="L46" i="18"/>
  <c r="X50" i="17"/>
  <c r="X46" i="17"/>
  <c r="AN50" i="17"/>
  <c r="AN46" i="17"/>
  <c r="AW34" i="17"/>
  <c r="AW40" i="17"/>
  <c r="AW24" i="17"/>
  <c r="AW45" i="17"/>
  <c r="AW51" i="17"/>
  <c r="AX44" i="16"/>
  <c r="AX33" i="16"/>
  <c r="AX23" i="16"/>
  <c r="Y46" i="17"/>
  <c r="Y50" i="17"/>
  <c r="AU46" i="18"/>
  <c r="AU50" i="18"/>
  <c r="AA35" i="18"/>
  <c r="L46" i="17"/>
  <c r="L50" i="17"/>
  <c r="H45" i="18"/>
  <c r="H51" i="18"/>
  <c r="H34" i="18"/>
  <c r="H40" i="18"/>
  <c r="H24" i="18"/>
  <c r="AI24" i="18"/>
  <c r="AI34" i="18"/>
  <c r="AI40" i="18"/>
  <c r="AI45" i="18"/>
  <c r="AI51" i="18"/>
  <c r="F30" i="17"/>
  <c r="G27" i="17"/>
  <c r="P24" i="16"/>
  <c r="P34" i="16"/>
  <c r="P40" i="16"/>
  <c r="P45" i="16"/>
  <c r="P51" i="16"/>
  <c r="AJ50" i="17"/>
  <c r="AZ22" i="17"/>
  <c r="D45" i="17"/>
  <c r="D51" i="17"/>
  <c r="D24" i="17"/>
  <c r="D34" i="17"/>
  <c r="D40" i="17"/>
  <c r="AR45" i="18"/>
  <c r="AR51" i="18"/>
  <c r="AR24" i="18"/>
  <c r="AR34" i="18"/>
  <c r="AR40" i="18"/>
  <c r="AF39" i="18"/>
  <c r="H35" i="17"/>
  <c r="AE50" i="18"/>
  <c r="AH35" i="16"/>
  <c r="AH39" i="16"/>
  <c r="Q44" i="17"/>
  <c r="Q33" i="17"/>
  <c r="Q23" i="17"/>
  <c r="M50" i="16"/>
  <c r="Z33" i="17"/>
  <c r="Z44" i="17"/>
  <c r="Z23" i="17"/>
  <c r="K39" i="16"/>
  <c r="G30" i="16"/>
  <c r="H27" i="16"/>
  <c r="AW39" i="16"/>
  <c r="H45" i="16"/>
  <c r="H51" i="16"/>
  <c r="H24" i="16"/>
  <c r="H34" i="16"/>
  <c r="H40" i="16"/>
  <c r="R44" i="16"/>
  <c r="R23" i="16"/>
  <c r="R33" i="16"/>
  <c r="AJ39" i="18"/>
  <c r="AC34" i="18"/>
  <c r="AC40" i="18"/>
  <c r="AC24" i="18"/>
  <c r="AC45" i="18"/>
  <c r="AC51" i="18"/>
  <c r="AL39" i="17"/>
  <c r="AL35" i="17"/>
  <c r="X35" i="18"/>
  <c r="X39" i="18"/>
  <c r="AO23" i="17"/>
  <c r="AO44" i="17"/>
  <c r="AO33" i="17"/>
  <c r="AC34" i="17"/>
  <c r="AC40" i="17"/>
  <c r="AC45" i="17"/>
  <c r="AC51" i="17"/>
  <c r="AC24" i="17"/>
  <c r="Z44" i="16"/>
  <c r="Z23" i="16"/>
  <c r="Z33" i="16"/>
  <c r="N39" i="18"/>
  <c r="J50" i="18"/>
  <c r="J46" i="18"/>
  <c r="AV35" i="18"/>
  <c r="AV39" i="18"/>
  <c r="AA35" i="17"/>
  <c r="AG44" i="18"/>
  <c r="AG33" i="18"/>
  <c r="AG23" i="18"/>
  <c r="K39" i="18"/>
  <c r="K35" i="18"/>
  <c r="AN50" i="16"/>
  <c r="AN46" i="16"/>
  <c r="M44" i="17"/>
  <c r="M33" i="17"/>
  <c r="M23" i="17"/>
  <c r="AT23" i="17"/>
  <c r="AT44" i="17"/>
  <c r="AT33" i="17"/>
  <c r="AJ24" i="16"/>
  <c r="AJ45" i="16"/>
  <c r="AJ51" i="16"/>
  <c r="AJ34" i="16"/>
  <c r="AJ40" i="16"/>
  <c r="N24" i="18"/>
  <c r="N34" i="18"/>
  <c r="N40" i="18"/>
  <c r="N45" i="18"/>
  <c r="N51" i="18"/>
  <c r="O46" i="17"/>
  <c r="O50" i="17"/>
  <c r="AN35" i="18"/>
  <c r="P39" i="16"/>
  <c r="W46" i="18"/>
  <c r="W50" i="18"/>
  <c r="AJ45" i="17"/>
  <c r="AJ51" i="17"/>
  <c r="AJ24" i="17"/>
  <c r="AJ34" i="17"/>
  <c r="AJ40" i="17"/>
  <c r="AZ21" i="17"/>
  <c r="F50" i="17"/>
  <c r="F46" i="17"/>
  <c r="AT33" i="18"/>
  <c r="AT44" i="18"/>
  <c r="AT23" i="18"/>
  <c r="AH50" i="17"/>
  <c r="AH46" i="17"/>
  <c r="AR24" i="17"/>
  <c r="AR34" i="17"/>
  <c r="AR40" i="17"/>
  <c r="AR45" i="17"/>
  <c r="AR51" i="17"/>
  <c r="M45" i="16"/>
  <c r="M51" i="16"/>
  <c r="M34" i="16"/>
  <c r="M40" i="16"/>
  <c r="M24" i="16"/>
  <c r="AO44" i="18"/>
  <c r="AO33" i="18"/>
  <c r="AO23" i="18"/>
  <c r="AX50" i="17"/>
  <c r="AX46" i="17"/>
  <c r="AM46" i="16"/>
  <c r="AM50" i="16"/>
  <c r="AW45" i="16"/>
  <c r="AW51" i="16"/>
  <c r="AW34" i="16"/>
  <c r="AW40" i="16"/>
  <c r="AW24" i="16"/>
  <c r="Q46" i="16"/>
  <c r="Q50" i="16"/>
  <c r="L24" i="16"/>
  <c r="L34" i="16"/>
  <c r="L40" i="16"/>
  <c r="L45" i="16"/>
  <c r="L51" i="16"/>
  <c r="AF24" i="16"/>
  <c r="AF34" i="16"/>
  <c r="AF40" i="16"/>
  <c r="AF45" i="16"/>
  <c r="AF51" i="16"/>
  <c r="AR35" i="18"/>
  <c r="AR39" i="18"/>
  <c r="P35" i="18"/>
  <c r="P39" i="18"/>
  <c r="H46" i="17"/>
  <c r="AI50" i="18"/>
  <c r="AP35" i="17"/>
  <c r="AP39" i="17"/>
  <c r="AY39" i="16"/>
  <c r="AY35" i="16"/>
  <c r="Y35" i="16"/>
  <c r="Y39" i="16"/>
  <c r="AQ44" i="17"/>
  <c r="AQ23" i="17"/>
  <c r="AQ33" i="17"/>
  <c r="AD44" i="16"/>
  <c r="AD33" i="16"/>
  <c r="AD23" i="16"/>
  <c r="AM39" i="18"/>
  <c r="AL50" i="18"/>
  <c r="AL46" i="18"/>
  <c r="F35" i="16"/>
  <c r="F39" i="16"/>
  <c r="AB46" i="17"/>
  <c r="AB50" i="17"/>
  <c r="AE50" i="16"/>
  <c r="AE46" i="16"/>
  <c r="AN39" i="17"/>
  <c r="AN35" i="17"/>
  <c r="AW44" i="17"/>
  <c r="AW23" i="17"/>
  <c r="AW33" i="17"/>
  <c r="AI34" i="16"/>
  <c r="AI40" i="16"/>
  <c r="AI45" i="16"/>
  <c r="AI51" i="16"/>
  <c r="AI24" i="16"/>
  <c r="AD39" i="18"/>
  <c r="AD35" i="18"/>
  <c r="R39" i="18"/>
  <c r="R35" i="18"/>
  <c r="Z50" i="18"/>
  <c r="Z46" i="18"/>
  <c r="AU39" i="18"/>
  <c r="AU35" i="18"/>
  <c r="E46" i="17"/>
  <c r="E50" i="17"/>
  <c r="AH39" i="18"/>
  <c r="AH35" i="18"/>
  <c r="V50" i="18"/>
  <c r="V46" i="18"/>
  <c r="L35" i="17"/>
  <c r="L39" i="17"/>
  <c r="AJ45" i="18"/>
  <c r="AJ51" i="18"/>
  <c r="AJ34" i="18"/>
  <c r="AJ40" i="18"/>
  <c r="AJ24" i="18"/>
  <c r="AJ39" i="17"/>
  <c r="I34" i="18"/>
  <c r="I24" i="18"/>
  <c r="I45" i="18"/>
  <c r="D35" i="18"/>
  <c r="D39" i="18"/>
  <c r="AY46" i="18"/>
  <c r="AY50" i="18"/>
  <c r="O24" i="16"/>
  <c r="O45" i="16"/>
  <c r="O51" i="16"/>
  <c r="O34" i="16"/>
  <c r="O40" i="16"/>
  <c r="Z24" i="17"/>
  <c r="Z34" i="17"/>
  <c r="Z40" i="17"/>
  <c r="Z45" i="17"/>
  <c r="Z51" i="17"/>
  <c r="T33" i="17"/>
  <c r="T44" i="17"/>
  <c r="T23" i="17"/>
  <c r="AM34" i="16"/>
  <c r="AM40" i="16"/>
  <c r="AM24" i="16"/>
  <c r="AM45" i="16"/>
  <c r="AM51" i="16"/>
  <c r="AW46" i="16"/>
  <c r="AW50" i="16"/>
  <c r="Y45" i="16"/>
  <c r="Y51" i="16"/>
  <c r="Y34" i="16"/>
  <c r="Y40" i="16"/>
  <c r="Y24" i="16"/>
  <c r="T24" i="16"/>
  <c r="T34" i="16"/>
  <c r="T40" i="16"/>
  <c r="T45" i="16"/>
  <c r="T51" i="16"/>
  <c r="V34" i="16"/>
  <c r="V40" i="16"/>
  <c r="V24" i="16"/>
  <c r="V45" i="16"/>
  <c r="V51" i="16"/>
  <c r="N50" i="17"/>
  <c r="V50" i="17"/>
  <c r="V46" i="17"/>
  <c r="AC44" i="18"/>
  <c r="AC33" i="18"/>
  <c r="AC23" i="18"/>
  <c r="O50" i="16"/>
  <c r="AC44" i="17"/>
  <c r="AC33" i="17"/>
  <c r="AC23" i="17"/>
  <c r="AQ34" i="16"/>
  <c r="AQ40" i="16"/>
  <c r="AQ45" i="16"/>
  <c r="AQ51" i="16"/>
  <c r="AQ24" i="16"/>
  <c r="AX35" i="18"/>
  <c r="AX39" i="18"/>
  <c r="AP50" i="18"/>
  <c r="AP46" i="18"/>
  <c r="AS46" i="18"/>
  <c r="AS50" i="18"/>
  <c r="AS46" i="17"/>
  <c r="AS50" i="17"/>
  <c r="AB50" i="18"/>
  <c r="AB46" i="18"/>
  <c r="F21" i="18"/>
  <c r="F22" i="18"/>
  <c r="AK35" i="17"/>
  <c r="AK39" i="17"/>
  <c r="K46" i="18"/>
  <c r="K50" i="18"/>
  <c r="AN35" i="16"/>
  <c r="AN39" i="16"/>
  <c r="AP35" i="16"/>
  <c r="AP39" i="16"/>
  <c r="AT45" i="17"/>
  <c r="AT51" i="17"/>
  <c r="AT24" i="17"/>
  <c r="AT34" i="17"/>
  <c r="AT40" i="17"/>
  <c r="AJ33" i="16"/>
  <c r="AJ44" i="16"/>
  <c r="AJ23" i="16"/>
  <c r="AM24" i="18"/>
  <c r="AM34" i="18"/>
  <c r="AM40" i="18"/>
  <c r="AM45" i="18"/>
  <c r="AM51" i="18"/>
  <c r="AA46" i="18"/>
  <c r="G30" i="18"/>
  <c r="H27" i="18"/>
  <c r="S45" i="18"/>
  <c r="S51" i="18"/>
  <c r="S24" i="18"/>
  <c r="S34" i="18"/>
  <c r="S40" i="18"/>
  <c r="AM35" i="17"/>
  <c r="AM39" i="17"/>
  <c r="P50" i="16"/>
  <c r="D50" i="17"/>
  <c r="D46" i="17"/>
  <c r="U34" i="18"/>
  <c r="U40" i="18"/>
  <c r="U24" i="18"/>
  <c r="U45" i="18"/>
  <c r="U51" i="18"/>
  <c r="T50" i="18"/>
  <c r="T46" i="18"/>
  <c r="F39" i="17"/>
  <c r="F35" i="17"/>
  <c r="AT24" i="18"/>
  <c r="AT34" i="18"/>
  <c r="AT40" i="18"/>
  <c r="AT45" i="18"/>
  <c r="AT51" i="18"/>
  <c r="P46" i="17"/>
  <c r="P50" i="17"/>
  <c r="K24" i="16"/>
  <c r="K34" i="16"/>
  <c r="K40" i="16"/>
  <c r="K45" i="16"/>
  <c r="K51" i="16"/>
  <c r="AT15" i="16"/>
  <c r="AS10" i="16"/>
  <c r="AS13" i="16"/>
  <c r="AT14" i="16"/>
  <c r="AX35" i="17"/>
  <c r="AX39" i="17"/>
  <c r="AO46" i="16"/>
  <c r="AO50" i="16"/>
  <c r="AU34" i="17"/>
  <c r="AU40" i="17"/>
  <c r="AU24" i="17"/>
  <c r="AU45" i="17"/>
  <c r="AU51" i="17"/>
  <c r="L23" i="16"/>
  <c r="L33" i="16"/>
  <c r="L44" i="16"/>
  <c r="D45" i="16"/>
  <c r="D24" i="16"/>
  <c r="D34" i="16"/>
  <c r="H50" i="18"/>
  <c r="H46" i="18"/>
  <c r="AR50" i="18"/>
  <c r="AR46" i="18"/>
  <c r="AI39" i="18"/>
  <c r="AI35" i="18"/>
  <c r="R39" i="17"/>
  <c r="R35" i="17"/>
  <c r="I34" i="17"/>
  <c r="I40" i="17"/>
  <c r="I24" i="17"/>
  <c r="I45" i="17"/>
  <c r="I51" i="17"/>
  <c r="J46" i="16"/>
  <c r="J50" i="16"/>
  <c r="Y50" i="16"/>
  <c r="AB24" i="16"/>
  <c r="AB34" i="16"/>
  <c r="AB40" i="16"/>
  <c r="AB45" i="16"/>
  <c r="AB51" i="16"/>
  <c r="AK39" i="18"/>
  <c r="AM46" i="18"/>
  <c r="AM50" i="18"/>
  <c r="AL39" i="18"/>
  <c r="AL35" i="18"/>
  <c r="AB35" i="17"/>
  <c r="AB39" i="17"/>
  <c r="L35" i="18"/>
  <c r="L39" i="18"/>
  <c r="AE35" i="16"/>
  <c r="AE39" i="16"/>
  <c r="U35" i="16"/>
  <c r="U39" i="16"/>
  <c r="AV39" i="16"/>
  <c r="AV35" i="16"/>
  <c r="AI44" i="16"/>
  <c r="AI23" i="16"/>
  <c r="AI33" i="16"/>
  <c r="N24" i="17"/>
  <c r="N34" i="17"/>
  <c r="N40" i="17"/>
  <c r="N45" i="17"/>
  <c r="N51" i="17"/>
  <c r="Y35" i="17"/>
  <c r="Y39" i="17"/>
  <c r="AI24" i="17"/>
  <c r="AI34" i="17"/>
  <c r="AI40" i="17"/>
  <c r="AI45" i="17"/>
  <c r="AI51" i="17"/>
  <c r="V24" i="17"/>
  <c r="V34" i="17"/>
  <c r="V40" i="17"/>
  <c r="V45" i="17"/>
  <c r="V51" i="17"/>
  <c r="G24" i="17"/>
  <c r="G45" i="17"/>
  <c r="G51" i="17"/>
  <c r="G34" i="17"/>
  <c r="G40" i="17"/>
  <c r="Y34" i="18"/>
  <c r="Y40" i="18"/>
  <c r="Y24" i="18"/>
  <c r="Y45" i="18"/>
  <c r="Y51" i="18"/>
  <c r="AG39" i="17"/>
  <c r="AG35" i="17"/>
  <c r="P45" i="18"/>
  <c r="P51" i="18"/>
  <c r="P34" i="18"/>
  <c r="P40" i="18"/>
  <c r="P24" i="18"/>
  <c r="AF50" i="18"/>
  <c r="AF46" i="18"/>
  <c r="AE46" i="17"/>
  <c r="AE50" i="17"/>
  <c r="AY39" i="18"/>
  <c r="AY35" i="18"/>
  <c r="AC45" i="16"/>
  <c r="AC51" i="16"/>
  <c r="AC34" i="16"/>
  <c r="AC40" i="16"/>
  <c r="AC24" i="16"/>
  <c r="AW34" i="18"/>
  <c r="AW40" i="18"/>
  <c r="AW24" i="18"/>
  <c r="AW45" i="18"/>
  <c r="AW51" i="18"/>
  <c r="T45" i="17"/>
  <c r="T51" i="17"/>
  <c r="T34" i="17"/>
  <c r="T40" i="17"/>
  <c r="T24" i="17"/>
  <c r="AO45" i="16"/>
  <c r="AO51" i="16"/>
  <c r="AO34" i="16"/>
  <c r="AO40" i="16"/>
  <c r="AO24" i="16"/>
  <c r="U34" i="17"/>
  <c r="U40" i="17"/>
  <c r="U24" i="17"/>
  <c r="U45" i="17"/>
  <c r="U51" i="17"/>
  <c r="T23" i="16"/>
  <c r="T33" i="16"/>
  <c r="T44" i="16"/>
  <c r="V44" i="16"/>
  <c r="V33" i="16"/>
  <c r="V23" i="16"/>
  <c r="AI50" i="17"/>
  <c r="X50" i="18"/>
  <c r="O39" i="16"/>
  <c r="G34" i="16"/>
  <c r="G40" i="16"/>
  <c r="G45" i="16"/>
  <c r="G51" i="16"/>
  <c r="G24" i="16"/>
  <c r="AQ44" i="16"/>
  <c r="AQ33" i="16"/>
  <c r="AQ23" i="16"/>
  <c r="N50" i="18"/>
  <c r="N46" i="18"/>
  <c r="J39" i="18"/>
  <c r="AS39" i="17"/>
  <c r="AS35" i="17"/>
  <c r="AZ10" i="18"/>
  <c r="I34" i="16"/>
  <c r="I40" i="16"/>
  <c r="I45" i="16"/>
  <c r="I51" i="16"/>
  <c r="I24" i="16"/>
  <c r="AX24" i="18"/>
  <c r="AX34" i="18"/>
  <c r="AX40" i="18"/>
  <c r="AX45" i="18"/>
  <c r="AX51" i="18"/>
  <c r="AP24" i="18"/>
  <c r="AP34" i="18"/>
  <c r="AP40" i="18"/>
  <c r="AP45" i="18"/>
  <c r="AP51" i="18"/>
  <c r="J24" i="18"/>
  <c r="J34" i="18"/>
  <c r="J40" i="18"/>
  <c r="J45" i="18"/>
  <c r="J51" i="18"/>
  <c r="G39" i="17"/>
  <c r="G35" i="17"/>
  <c r="AE45" i="18"/>
  <c r="AE51" i="18"/>
  <c r="AE24" i="18"/>
  <c r="AE34" i="18"/>
  <c r="AE40" i="18"/>
  <c r="AQ46" i="18"/>
  <c r="D35" i="17"/>
  <c r="D39" i="17"/>
  <c r="U44" i="18"/>
  <c r="U33" i="18"/>
  <c r="U23" i="18"/>
  <c r="AV50" i="17"/>
  <c r="AV46" i="17"/>
  <c r="O45" i="18"/>
  <c r="O24" i="18"/>
  <c r="O34" i="18"/>
  <c r="AF45" i="18"/>
  <c r="AF51" i="18"/>
  <c r="AF34" i="18"/>
  <c r="AF40" i="18"/>
  <c r="AF24" i="18"/>
  <c r="S39" i="18"/>
  <c r="S35" i="18"/>
  <c r="K24" i="17"/>
  <c r="K45" i="17"/>
  <c r="K51" i="17"/>
  <c r="K34" i="17"/>
  <c r="K40" i="17"/>
  <c r="AH35" i="17"/>
  <c r="AH39" i="17"/>
  <c r="P35" i="17"/>
  <c r="P39" i="17"/>
  <c r="S50" i="16"/>
  <c r="S46" i="16"/>
  <c r="AF39" i="16"/>
  <c r="AO39" i="16"/>
  <c r="AO35" i="16"/>
  <c r="AU44" i="17"/>
  <c r="AU23" i="17"/>
  <c r="AU33" i="17"/>
  <c r="AY34" i="17"/>
  <c r="AY40" i="17"/>
  <c r="AY24" i="17"/>
  <c r="AY45" i="17"/>
  <c r="AY51" i="17"/>
  <c r="N34" i="16"/>
  <c r="N40" i="16"/>
  <c r="N24" i="16"/>
  <c r="N45" i="16"/>
  <c r="N51" i="16"/>
  <c r="W50" i="16"/>
  <c r="W46" i="16"/>
  <c r="P50" i="18"/>
  <c r="AG46" i="16"/>
  <c r="AC35" i="16"/>
  <c r="AC39" i="16"/>
  <c r="I44" i="17"/>
  <c r="I23" i="17"/>
  <c r="I33" i="17"/>
  <c r="AY50" i="16"/>
  <c r="AY46" i="16"/>
  <c r="H50" i="16"/>
  <c r="H46" i="16"/>
  <c r="AB23" i="16"/>
  <c r="AB33" i="16"/>
  <c r="AB44" i="16"/>
  <c r="AA50" i="16"/>
  <c r="AA46" i="16"/>
  <c r="X35" i="17"/>
  <c r="X39" i="17"/>
  <c r="U46" i="16"/>
  <c r="U50" i="16"/>
  <c r="AV46" i="16"/>
  <c r="AV50" i="16"/>
  <c r="AX34" i="16"/>
  <c r="AX40" i="16"/>
  <c r="AX24" i="16"/>
  <c r="AX45" i="16"/>
  <c r="AX51" i="16"/>
  <c r="O51" i="18"/>
  <c r="O46" i="18"/>
  <c r="AW46" i="17"/>
  <c r="AW50" i="17"/>
  <c r="AQ39" i="17"/>
  <c r="AQ35" i="17"/>
  <c r="AT39" i="18"/>
  <c r="AT35" i="18"/>
  <c r="AG39" i="18"/>
  <c r="AG35" i="18"/>
  <c r="AO46" i="17"/>
  <c r="AO50" i="17"/>
  <c r="M46" i="16"/>
  <c r="AX50" i="16"/>
  <c r="AX46" i="16"/>
  <c r="N35" i="16"/>
  <c r="N39" i="16"/>
  <c r="U39" i="17"/>
  <c r="U35" i="17"/>
  <c r="AW50" i="18"/>
  <c r="AW46" i="18"/>
  <c r="Y50" i="18"/>
  <c r="Y46" i="18"/>
  <c r="U50" i="18"/>
  <c r="U46" i="18"/>
  <c r="AI46" i="17"/>
  <c r="L46" i="16"/>
  <c r="L50" i="16"/>
  <c r="F24" i="18"/>
  <c r="AZ24" i="18"/>
  <c r="F34" i="18"/>
  <c r="F40" i="18"/>
  <c r="F45" i="18"/>
  <c r="F51" i="18"/>
  <c r="AZ22" i="18"/>
  <c r="AO50" i="18"/>
  <c r="AO46" i="18"/>
  <c r="AT35" i="17"/>
  <c r="AT39" i="17"/>
  <c r="Z35" i="16"/>
  <c r="Z39" i="16"/>
  <c r="R46" i="16"/>
  <c r="R50" i="16"/>
  <c r="N46" i="16"/>
  <c r="N50" i="16"/>
  <c r="AM46" i="17"/>
  <c r="AB39" i="16"/>
  <c r="AB35" i="16"/>
  <c r="I50" i="17"/>
  <c r="I46" i="17"/>
  <c r="P46" i="18"/>
  <c r="AU46" i="17"/>
  <c r="AU50" i="17"/>
  <c r="AQ39" i="16"/>
  <c r="AQ35" i="16"/>
  <c r="V35" i="16"/>
  <c r="V39" i="16"/>
  <c r="Y46" i="16"/>
  <c r="D51" i="16"/>
  <c r="D46" i="16"/>
  <c r="AT10" i="16"/>
  <c r="AT13" i="16"/>
  <c r="P46" i="16"/>
  <c r="O46" i="16"/>
  <c r="AC50" i="18"/>
  <c r="AC46" i="18"/>
  <c r="T46" i="17"/>
  <c r="T50" i="17"/>
  <c r="I51" i="18"/>
  <c r="I46" i="18"/>
  <c r="AJ35" i="17"/>
  <c r="AM35" i="18"/>
  <c r="AD46" i="16"/>
  <c r="AD50" i="16"/>
  <c r="AT50" i="18"/>
  <c r="AT46" i="18"/>
  <c r="N35" i="18"/>
  <c r="Z46" i="16"/>
  <c r="Z50" i="16"/>
  <c r="AO39" i="17"/>
  <c r="AO35" i="17"/>
  <c r="R35" i="16"/>
  <c r="R39" i="16"/>
  <c r="AW35" i="16"/>
  <c r="K35" i="16"/>
  <c r="Q50" i="17"/>
  <c r="Q46" i="17"/>
  <c r="AE46" i="18"/>
  <c r="AZ24" i="17"/>
  <c r="G30" i="17"/>
  <c r="H27" i="17"/>
  <c r="AX35" i="16"/>
  <c r="AX39" i="16"/>
  <c r="H35" i="16"/>
  <c r="AC46" i="16"/>
  <c r="H35" i="18"/>
  <c r="AY46" i="17"/>
  <c r="AY50" i="17"/>
  <c r="K39" i="17"/>
  <c r="K35" i="17"/>
  <c r="I46" i="16"/>
  <c r="I50" i="16"/>
  <c r="AS35" i="18"/>
  <c r="G39" i="16"/>
  <c r="G35" i="16"/>
  <c r="AJ46" i="18"/>
  <c r="AI35" i="17"/>
  <c r="E44" i="16"/>
  <c r="E23" i="16"/>
  <c r="E33" i="16"/>
  <c r="AW39" i="18"/>
  <c r="AW35" i="18"/>
  <c r="Y39" i="18"/>
  <c r="Y35" i="18"/>
  <c r="U39" i="18"/>
  <c r="U35" i="18"/>
  <c r="AQ50" i="16"/>
  <c r="AQ46" i="16"/>
  <c r="V46" i="16"/>
  <c r="V50" i="16"/>
  <c r="AI39" i="16"/>
  <c r="AI35" i="16"/>
  <c r="AJ50" i="16"/>
  <c r="AJ46" i="16"/>
  <c r="T35" i="17"/>
  <c r="T39" i="17"/>
  <c r="AO39" i="18"/>
  <c r="AO35" i="18"/>
  <c r="I27" i="16"/>
  <c r="H30" i="16"/>
  <c r="X51" i="16"/>
  <c r="X46" i="16"/>
  <c r="AR50" i="17"/>
  <c r="AR46" i="17"/>
  <c r="G46" i="16"/>
  <c r="G50" i="16"/>
  <c r="I39" i="17"/>
  <c r="I35" i="17"/>
  <c r="AU35" i="17"/>
  <c r="AU39" i="17"/>
  <c r="O35" i="16"/>
  <c r="T46" i="16"/>
  <c r="T50" i="16"/>
  <c r="D40" i="16"/>
  <c r="D35" i="16"/>
  <c r="I27" i="18"/>
  <c r="H30" i="18"/>
  <c r="AJ39" i="16"/>
  <c r="AJ35" i="16"/>
  <c r="AC39" i="17"/>
  <c r="AC35" i="17"/>
  <c r="I40" i="18"/>
  <c r="I35" i="18"/>
  <c r="M39" i="17"/>
  <c r="M35" i="17"/>
  <c r="AG50" i="18"/>
  <c r="AG46" i="18"/>
  <c r="Z50" i="17"/>
  <c r="Z46" i="17"/>
  <c r="X40" i="16"/>
  <c r="X35" i="16"/>
  <c r="I39" i="16"/>
  <c r="I35" i="16"/>
  <c r="AB46" i="16"/>
  <c r="AB50" i="16"/>
  <c r="AF35" i="16"/>
  <c r="O40" i="18"/>
  <c r="O35" i="18"/>
  <c r="J35" i="18"/>
  <c r="X46" i="18"/>
  <c r="T39" i="16"/>
  <c r="T35" i="16"/>
  <c r="AI46" i="16"/>
  <c r="AI50" i="16"/>
  <c r="AK35" i="18"/>
  <c r="L39" i="16"/>
  <c r="L35" i="16"/>
  <c r="F33" i="18"/>
  <c r="F23" i="18"/>
  <c r="AZ23" i="18"/>
  <c r="F44" i="18"/>
  <c r="AZ21" i="18"/>
  <c r="AC50" i="17"/>
  <c r="AC46" i="17"/>
  <c r="AC39" i="18"/>
  <c r="AC35" i="18"/>
  <c r="N46" i="17"/>
  <c r="AW39" i="17"/>
  <c r="AW35" i="17"/>
  <c r="AD35" i="16"/>
  <c r="AD39" i="16"/>
  <c r="AQ50" i="17"/>
  <c r="AQ46" i="17"/>
  <c r="AI46" i="18"/>
  <c r="P35" i="16"/>
  <c r="AT46" i="17"/>
  <c r="AT50" i="17"/>
  <c r="M50" i="17"/>
  <c r="M46" i="17"/>
  <c r="AJ35" i="18"/>
  <c r="AZ10" i="16"/>
  <c r="Z39" i="17"/>
  <c r="Z35" i="17"/>
  <c r="Q39" i="17"/>
  <c r="Q35" i="17"/>
  <c r="AF35" i="18"/>
  <c r="AJ46" i="17"/>
  <c r="AY39" i="17"/>
  <c r="AY35" i="17"/>
  <c r="AF46" i="16"/>
  <c r="AR35" i="17"/>
  <c r="AR39" i="17"/>
  <c r="K46" i="17"/>
  <c r="K50" i="17"/>
  <c r="S46" i="18"/>
  <c r="AX46" i="18"/>
  <c r="V35" i="17"/>
  <c r="N35" i="17"/>
  <c r="E34" i="16"/>
  <c r="E40" i="16"/>
  <c r="E24" i="16"/>
  <c r="E45" i="16"/>
  <c r="E51" i="16"/>
  <c r="U50" i="17"/>
  <c r="U46" i="17"/>
  <c r="M35" i="16"/>
  <c r="AH46" i="16"/>
  <c r="E46" i="16"/>
  <c r="E50" i="16"/>
  <c r="F50" i="18"/>
  <c r="F46" i="18"/>
  <c r="J27" i="16"/>
  <c r="I30" i="16"/>
  <c r="E39" i="16"/>
  <c r="E35" i="16"/>
  <c r="AU22" i="16"/>
  <c r="AU21" i="16"/>
  <c r="F39" i="18"/>
  <c r="F35" i="18"/>
  <c r="J27" i="18"/>
  <c r="I30" i="18"/>
  <c r="I27" i="17"/>
  <c r="H30" i="17"/>
  <c r="J30" i="18"/>
  <c r="K27" i="18"/>
  <c r="AU33" i="16"/>
  <c r="AU23" i="16"/>
  <c r="AZ23" i="16"/>
  <c r="AU44" i="16"/>
  <c r="AZ21" i="16"/>
  <c r="J27" i="17"/>
  <c r="I30" i="17"/>
  <c r="AU24" i="16"/>
  <c r="AZ24" i="16"/>
  <c r="AU45" i="16"/>
  <c r="AU51" i="16"/>
  <c r="AU34" i="16"/>
  <c r="AU40" i="16"/>
  <c r="AZ22" i="16"/>
  <c r="K27" i="16"/>
  <c r="J30" i="16"/>
  <c r="K27" i="17"/>
  <c r="J30" i="17"/>
  <c r="AU39" i="16"/>
  <c r="AU35" i="16"/>
  <c r="K30" i="18"/>
  <c r="L27" i="18"/>
  <c r="K30" i="16"/>
  <c r="L27" i="16"/>
  <c r="AU50" i="16"/>
  <c r="AU46" i="16"/>
  <c r="L30" i="16"/>
  <c r="M27" i="16"/>
  <c r="M27" i="18"/>
  <c r="L30" i="18"/>
  <c r="K30" i="17"/>
  <c r="L27" i="17"/>
  <c r="N27" i="18"/>
  <c r="M30" i="18"/>
  <c r="M27" i="17"/>
  <c r="L30" i="17"/>
  <c r="N27" i="16"/>
  <c r="M30" i="16"/>
  <c r="N27" i="17"/>
  <c r="M30" i="17"/>
  <c r="O27" i="16"/>
  <c r="N30" i="16"/>
  <c r="N30" i="18"/>
  <c r="O27" i="18"/>
  <c r="O30" i="16"/>
  <c r="P27" i="16"/>
  <c r="O30" i="18"/>
  <c r="P27" i="18"/>
  <c r="O27" i="17"/>
  <c r="N30" i="17"/>
  <c r="Q27" i="18"/>
  <c r="P30" i="18"/>
  <c r="P30" i="16"/>
  <c r="Q27" i="16"/>
  <c r="O30" i="17"/>
  <c r="P27" i="17"/>
  <c r="R27" i="16"/>
  <c r="Q30" i="16"/>
  <c r="Q27" i="17"/>
  <c r="P30" i="17"/>
  <c r="R27" i="18"/>
  <c r="Q30" i="18"/>
  <c r="Q30" i="17"/>
  <c r="R27" i="17"/>
  <c r="R30" i="18"/>
  <c r="S27" i="18"/>
  <c r="S27" i="16"/>
  <c r="R30" i="16"/>
  <c r="S30" i="18"/>
  <c r="T27" i="18"/>
  <c r="R30" i="17"/>
  <c r="S27" i="17"/>
  <c r="S30" i="16"/>
  <c r="T27" i="16"/>
  <c r="S30" i="17"/>
  <c r="T27" i="17"/>
  <c r="T30" i="16"/>
  <c r="U27" i="16"/>
  <c r="U27" i="18"/>
  <c r="T30" i="18"/>
  <c r="V27" i="16"/>
  <c r="U30" i="16"/>
  <c r="U27" i="17"/>
  <c r="T30" i="17"/>
  <c r="V27" i="18"/>
  <c r="U30" i="18"/>
  <c r="V27" i="17"/>
  <c r="U30" i="17"/>
  <c r="V30" i="18"/>
  <c r="W27" i="18"/>
  <c r="W27" i="16"/>
  <c r="V30" i="16"/>
  <c r="W30" i="18"/>
  <c r="X27" i="18"/>
  <c r="W30" i="16"/>
  <c r="X27" i="16"/>
  <c r="W27" i="17"/>
  <c r="V30" i="17"/>
  <c r="X30" i="16"/>
  <c r="Y27" i="16"/>
  <c r="Y27" i="18"/>
  <c r="X30" i="18"/>
  <c r="W30" i="17"/>
  <c r="X27" i="17"/>
  <c r="Z27" i="18"/>
  <c r="Y30" i="18"/>
  <c r="Y27" i="17"/>
  <c r="X30" i="17"/>
  <c r="Z27" i="16"/>
  <c r="Y30" i="16"/>
  <c r="Y30" i="17"/>
  <c r="Z27" i="17"/>
  <c r="AA27" i="16"/>
  <c r="Z30" i="16"/>
  <c r="Z30" i="18"/>
  <c r="AA27" i="18"/>
  <c r="AA30" i="16"/>
  <c r="AB27" i="16"/>
  <c r="AA30" i="18"/>
  <c r="AB27" i="18"/>
  <c r="Z30" i="17"/>
  <c r="AA27" i="17"/>
  <c r="AC27" i="18"/>
  <c r="AB30" i="18"/>
  <c r="AA30" i="17"/>
  <c r="AB27" i="17"/>
  <c r="AB30" i="16"/>
  <c r="AC27" i="16"/>
  <c r="AC27" i="17"/>
  <c r="AB30" i="17"/>
  <c r="AD27" i="16"/>
  <c r="AC30" i="16"/>
  <c r="AD27" i="18"/>
  <c r="AC30" i="18"/>
  <c r="AE27" i="16"/>
  <c r="AD30" i="16"/>
  <c r="AD30" i="18"/>
  <c r="AE27" i="18"/>
  <c r="AD27" i="17"/>
  <c r="AC30" i="17"/>
  <c r="AE30" i="18"/>
  <c r="AF27" i="18"/>
  <c r="AD30" i="17"/>
  <c r="AE27" i="17"/>
  <c r="AE30" i="16"/>
  <c r="AF27" i="16"/>
  <c r="AE30" i="17"/>
  <c r="AF27" i="17"/>
  <c r="AF30" i="16"/>
  <c r="AG27" i="16"/>
  <c r="AG27" i="18"/>
  <c r="AF30" i="18"/>
  <c r="AG30" i="16"/>
  <c r="AH27" i="16"/>
  <c r="AG27" i="17"/>
  <c r="AF30" i="17"/>
  <c r="AH27" i="18"/>
  <c r="AG30" i="18"/>
  <c r="AH27" i="17"/>
  <c r="AG30" i="17"/>
  <c r="AI27" i="16"/>
  <c r="AH30" i="16"/>
  <c r="AH30" i="18"/>
  <c r="AI27" i="18"/>
  <c r="AJ27" i="16"/>
  <c r="AI30" i="16"/>
  <c r="AI30" i="18"/>
  <c r="AJ27" i="18"/>
  <c r="AH30" i="17"/>
  <c r="AI27" i="17"/>
  <c r="AK27" i="18"/>
  <c r="AJ30" i="18"/>
  <c r="AI30" i="17"/>
  <c r="AJ27" i="17"/>
  <c r="AK27" i="16"/>
  <c r="AJ30" i="16"/>
  <c r="AK27" i="17"/>
  <c r="AJ30" i="17"/>
  <c r="AK30" i="16"/>
  <c r="AL27" i="16"/>
  <c r="AL27" i="18"/>
  <c r="AK30" i="18"/>
  <c r="AM27" i="16"/>
  <c r="AL30" i="16"/>
  <c r="AL30" i="18"/>
  <c r="AM27" i="18"/>
  <c r="AL27" i="17"/>
  <c r="AK30" i="17"/>
  <c r="AM30" i="18"/>
  <c r="AN27" i="18"/>
  <c r="AM27" i="17"/>
  <c r="AL30" i="17"/>
  <c r="AN27" i="16"/>
  <c r="AM30" i="16"/>
  <c r="AN27" i="17"/>
  <c r="AM30" i="17"/>
  <c r="AO27" i="18"/>
  <c r="AN30" i="18"/>
  <c r="AN30" i="16"/>
  <c r="AO27" i="16"/>
  <c r="AP27" i="18"/>
  <c r="AO30" i="18"/>
  <c r="AO30" i="16"/>
  <c r="AP27" i="16"/>
  <c r="AN30" i="17"/>
  <c r="AO27" i="17"/>
  <c r="AQ27" i="16"/>
  <c r="AP30" i="16"/>
  <c r="AO30" i="17"/>
  <c r="AP27" i="17"/>
  <c r="AP30" i="18"/>
  <c r="AQ27" i="18"/>
  <c r="AQ27" i="17"/>
  <c r="AP30" i="17"/>
  <c r="AQ30" i="18"/>
  <c r="AR27" i="18"/>
  <c r="AR27" i="16"/>
  <c r="AQ30" i="16"/>
  <c r="AS27" i="18"/>
  <c r="AR30" i="18"/>
  <c r="AS27" i="16"/>
  <c r="AR30" i="16"/>
  <c r="AR27" i="17"/>
  <c r="AQ30" i="17"/>
  <c r="AT27" i="16"/>
  <c r="AS30" i="16"/>
  <c r="AR30" i="17"/>
  <c r="AS27" i="17"/>
  <c r="AT27" i="18"/>
  <c r="AS30" i="18"/>
  <c r="AS30" i="17"/>
  <c r="AT27" i="17"/>
  <c r="AT30" i="18"/>
  <c r="AU27" i="18"/>
  <c r="AT30" i="16"/>
  <c r="AU27" i="16"/>
  <c r="AU30" i="18"/>
  <c r="AV27" i="18"/>
  <c r="AU30" i="16"/>
  <c r="AV27" i="16"/>
  <c r="AU27" i="17"/>
  <c r="AT30" i="17"/>
  <c r="AV30" i="16"/>
  <c r="AW27" i="16"/>
  <c r="AW27" i="18"/>
  <c r="AV30" i="18"/>
  <c r="AU30" i="17"/>
  <c r="AV27" i="17"/>
  <c r="AX27" i="18"/>
  <c r="AW30" i="18"/>
  <c r="AW27" i="17"/>
  <c r="AV30" i="17"/>
  <c r="AX27" i="16"/>
  <c r="AW30" i="16"/>
  <c r="AW30" i="17"/>
  <c r="AX27" i="17"/>
  <c r="AX30" i="16"/>
  <c r="AY27" i="16"/>
  <c r="AY30" i="16"/>
  <c r="AZ30" i="16"/>
  <c r="AX30" i="18"/>
  <c r="AY27" i="18"/>
  <c r="AY30" i="18"/>
  <c r="AZ30" i="18"/>
  <c r="AY27" i="17"/>
  <c r="AY30" i="17"/>
  <c r="AX30" i="17"/>
  <c r="AZ30" i="17"/>
</calcChain>
</file>

<file path=xl/sharedStrings.xml><?xml version="1.0" encoding="utf-8"?>
<sst xmlns="http://schemas.openxmlformats.org/spreadsheetml/2006/main" count="2450" uniqueCount="413">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</sst>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52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4" fillId="0" borderId="0"/>
  </cellStyleXfs>
  <cellXfs count="207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51" applyFill="1"/>
    <xf numFmtId="0" fontId="4" fillId="0" borderId="0" xfId="51"/>
    <xf numFmtId="0" fontId="4" fillId="0" borderId="0" xfId="51" applyFill="1"/>
    <xf numFmtId="0" fontId="1" fillId="0" borderId="0" xfId="51" applyFont="1"/>
    <xf numFmtId="0" fontId="2" fillId="0" borderId="0" xfId="51" applyFont="1"/>
    <xf numFmtId="0" fontId="2" fillId="0" borderId="0" xfId="51" applyFont="1" applyFill="1"/>
    <xf numFmtId="0" fontId="4" fillId="6" borderId="0" xfId="51" applyFill="1"/>
    <xf numFmtId="0" fontId="4" fillId="0" borderId="0" xfId="51" applyFill="1" applyBorder="1"/>
    <xf numFmtId="0" fontId="4" fillId="0" borderId="5" xfId="51" applyBorder="1"/>
    <xf numFmtId="0" fontId="4" fillId="0" borderId="11" xfId="51" applyBorder="1"/>
    <xf numFmtId="0" fontId="4" fillId="0" borderId="6" xfId="51" applyBorder="1"/>
    <xf numFmtId="0" fontId="4" fillId="0" borderId="0" xfId="51" applyBorder="1"/>
    <xf numFmtId="0" fontId="4" fillId="0" borderId="0" xfId="51" applyAlignment="1"/>
    <xf numFmtId="0" fontId="4" fillId="0" borderId="0" xfId="51" applyAlignment="1">
      <alignment horizontal="center"/>
    </xf>
    <xf numFmtId="0" fontId="4" fillId="0" borderId="0" xfId="51" applyBorder="1" applyAlignment="1">
      <alignment horizontal="right"/>
    </xf>
    <xf numFmtId="0" fontId="4" fillId="0" borderId="8" xfId="51" applyFill="1" applyBorder="1"/>
    <xf numFmtId="0" fontId="4" fillId="5" borderId="13" xfId="51" applyFill="1" applyBorder="1" applyAlignment="1">
      <alignment horizontal="right"/>
    </xf>
    <xf numFmtId="0" fontId="4" fillId="7" borderId="8" xfId="51" applyFill="1" applyBorder="1"/>
    <xf numFmtId="0" fontId="4" fillId="0" borderId="13" xfId="51" applyBorder="1"/>
    <xf numFmtId="0" fontId="4" fillId="5" borderId="0" xfId="51" applyFill="1" applyAlignment="1">
      <alignment horizontal="right"/>
    </xf>
    <xf numFmtId="0" fontId="4" fillId="7" borderId="0" xfId="51" applyFill="1" applyBorder="1"/>
    <xf numFmtId="0" fontId="4" fillId="2" borderId="0" xfId="51" applyFill="1" applyBorder="1"/>
    <xf numFmtId="0" fontId="4" fillId="7" borderId="13" xfId="51" applyFill="1" applyBorder="1"/>
    <xf numFmtId="0" fontId="4" fillId="5" borderId="9" xfId="51" applyFill="1" applyBorder="1" applyAlignment="1">
      <alignment horizontal="right"/>
    </xf>
    <xf numFmtId="0" fontId="4" fillId="7" borderId="9" xfId="51" applyFill="1" applyBorder="1"/>
    <xf numFmtId="0" fontId="4" fillId="0" borderId="9" xfId="51" applyBorder="1"/>
    <xf numFmtId="0" fontId="4" fillId="0" borderId="8" xfId="51" applyBorder="1"/>
    <xf numFmtId="0" fontId="4" fillId="5" borderId="1" xfId="51" applyFill="1" applyBorder="1" applyAlignment="1">
      <alignment horizontal="right"/>
    </xf>
    <xf numFmtId="0" fontId="4" fillId="3" borderId="0" xfId="51" applyFill="1" applyBorder="1"/>
    <xf numFmtId="0" fontId="4" fillId="0" borderId="3" xfId="51" applyBorder="1"/>
    <xf numFmtId="0" fontId="4" fillId="8" borderId="8" xfId="51" applyFill="1" applyBorder="1"/>
    <xf numFmtId="0" fontId="4" fillId="8" borderId="0" xfId="51" applyFill="1" applyBorder="1"/>
    <xf numFmtId="0" fontId="4" fillId="5" borderId="6" xfId="51" applyFill="1" applyBorder="1" applyAlignment="1">
      <alignment horizontal="right"/>
    </xf>
    <xf numFmtId="0" fontId="4" fillId="9" borderId="8" xfId="51" applyFill="1" applyBorder="1" applyAlignment="1">
      <alignment horizontal="right"/>
    </xf>
    <xf numFmtId="0" fontId="4" fillId="5" borderId="13" xfId="51" applyFill="1" applyBorder="1"/>
    <xf numFmtId="10" fontId="4" fillId="0" borderId="13" xfId="51" applyNumberFormat="1" applyBorder="1"/>
    <xf numFmtId="0" fontId="4" fillId="5" borderId="9" xfId="51" applyFill="1" applyBorder="1"/>
    <xf numFmtId="0" fontId="4" fillId="5" borderId="8" xfId="51" applyFill="1" applyBorder="1"/>
    <xf numFmtId="0" fontId="4" fillId="6" borderId="9" xfId="51" applyFill="1" applyBorder="1"/>
    <xf numFmtId="0" fontId="4" fillId="0" borderId="9" xfId="51" applyFill="1" applyBorder="1"/>
    <xf numFmtId="0" fontId="4" fillId="0" borderId="10" xfId="51" applyFill="1" applyBorder="1"/>
    <xf numFmtId="0" fontId="4" fillId="6" borderId="8" xfId="51" applyFill="1" applyBorder="1"/>
    <xf numFmtId="0" fontId="4" fillId="0" borderId="15" xfId="51" applyFill="1" applyBorder="1"/>
    <xf numFmtId="0" fontId="4" fillId="0" borderId="0" xfId="51" applyFill="1" applyBorder="1" applyAlignment="1">
      <alignment horizontal="left"/>
    </xf>
    <xf numFmtId="0" fontId="4" fillId="7" borderId="13" xfId="51" applyFill="1" applyBorder="1" applyAlignment="1">
      <alignment horizontal="right"/>
    </xf>
    <xf numFmtId="0" fontId="4" fillId="0" borderId="13" xfId="51" applyFill="1" applyBorder="1"/>
    <xf numFmtId="0" fontId="4" fillId="0" borderId="9" xfId="51" applyFont="1" applyFill="1" applyBorder="1"/>
    <xf numFmtId="0" fontId="4" fillId="0" borderId="0" xfId="51" applyFont="1" applyFill="1" applyBorder="1" applyAlignment="1">
      <alignment horizontal="right"/>
    </xf>
    <xf numFmtId="0" fontId="4" fillId="0" borderId="0" xfId="51" applyFont="1" applyFill="1" applyBorder="1"/>
    <xf numFmtId="0" fontId="4" fillId="0" borderId="0" xfId="51" applyFont="1" applyFill="1" applyBorder="1" applyAlignment="1"/>
    <xf numFmtId="0" fontId="4" fillId="5" borderId="13" xfId="51" applyFont="1" applyFill="1" applyBorder="1" applyAlignment="1">
      <alignment horizontal="right"/>
    </xf>
    <xf numFmtId="0" fontId="4" fillId="7" borderId="13" xfId="51" applyFont="1" applyFill="1" applyBorder="1" applyAlignment="1"/>
    <xf numFmtId="0" fontId="4" fillId="0" borderId="5" xfId="51" applyFill="1" applyBorder="1"/>
    <xf numFmtId="0" fontId="1" fillId="0" borderId="0" xfId="51" applyFont="1" applyBorder="1"/>
    <xf numFmtId="0" fontId="4" fillId="0" borderId="9" xfId="51" applyFill="1" applyBorder="1" applyAlignment="1">
      <alignment horizontal="right"/>
    </xf>
    <xf numFmtId="10" fontId="4" fillId="5" borderId="13" xfId="51" applyNumberFormat="1" applyFill="1" applyBorder="1"/>
    <xf numFmtId="0" fontId="4" fillId="5" borderId="0" xfId="51" applyFill="1" applyBorder="1" applyAlignment="1">
      <alignment horizontal="right"/>
    </xf>
    <xf numFmtId="10" fontId="4" fillId="0" borderId="0" xfId="51" applyNumberFormat="1" applyFill="1" applyBorder="1"/>
    <xf numFmtId="0" fontId="4" fillId="0" borderId="12" xfId="51" applyFill="1" applyBorder="1"/>
    <xf numFmtId="0" fontId="4" fillId="5" borderId="8" xfId="51" applyFill="1" applyBorder="1" applyAlignment="1">
      <alignment horizontal="right"/>
    </xf>
    <xf numFmtId="10" fontId="4" fillId="0" borderId="8" xfId="51" applyNumberFormat="1" applyFill="1" applyBorder="1"/>
    <xf numFmtId="0" fontId="4" fillId="6" borderId="9" xfId="51" applyFill="1" applyBorder="1" applyAlignment="1">
      <alignment horizontal="right"/>
    </xf>
    <xf numFmtId="0" fontId="4" fillId="6" borderId="8" xfId="51" applyFill="1" applyBorder="1" applyAlignment="1">
      <alignment horizontal="right"/>
    </xf>
    <xf numFmtId="0" fontId="4" fillId="0" borderId="8" xfId="51" applyNumberFormat="1" applyFill="1" applyBorder="1"/>
    <xf numFmtId="0" fontId="1" fillId="0" borderId="0" xfId="51" applyFont="1" applyFill="1" applyBorder="1" applyAlignment="1"/>
    <xf numFmtId="0" fontId="4" fillId="0" borderId="2" xfId="51" applyBorder="1"/>
    <xf numFmtId="0" fontId="4" fillId="5" borderId="0" xfId="51" applyFill="1" applyBorder="1"/>
    <xf numFmtId="0" fontId="4" fillId="0" borderId="7" xfId="51" applyBorder="1"/>
    <xf numFmtId="0" fontId="4" fillId="0" borderId="4" xfId="51" applyBorder="1"/>
    <xf numFmtId="0" fontId="4" fillId="0" borderId="3" xfId="51" applyFill="1" applyBorder="1"/>
    <xf numFmtId="0" fontId="4" fillId="6" borderId="13" xfId="51" applyFill="1" applyBorder="1" applyAlignment="1">
      <alignment horizontal="right"/>
    </xf>
    <xf numFmtId="0" fontId="4" fillId="10" borderId="0" xfId="51" applyFill="1"/>
    <xf numFmtId="0" fontId="4" fillId="10" borderId="0" xfId="51" applyFont="1" applyFill="1"/>
    <xf numFmtId="0" fontId="4" fillId="0" borderId="0" xfId="51" applyFont="1" applyFill="1"/>
    <xf numFmtId="0" fontId="4" fillId="5" borderId="0" xfId="51" applyFont="1" applyFill="1"/>
    <xf numFmtId="0" fontId="2" fillId="0" borderId="0" xfId="51" applyNumberFormat="1" applyFont="1" applyFill="1" applyAlignment="1"/>
    <xf numFmtId="0" fontId="4" fillId="0" borderId="0" xfId="51" applyNumberFormat="1" applyAlignment="1"/>
    <xf numFmtId="0" fontId="4" fillId="6" borderId="0" xfId="51" applyNumberFormat="1" applyFill="1" applyAlignment="1"/>
    <xf numFmtId="0" fontId="4" fillId="0" borderId="0" xfId="51" applyAlignment="1">
      <alignment horizontal="right"/>
    </xf>
    <xf numFmtId="0" fontId="4" fillId="6" borderId="0" xfId="51" applyFill="1" applyBorder="1"/>
    <xf numFmtId="0" fontId="4" fillId="0" borderId="0" xfId="51" applyNumberFormat="1"/>
    <xf numFmtId="0" fontId="9" fillId="0" borderId="0" xfId="51" applyFont="1"/>
    <xf numFmtId="0" fontId="10" fillId="0" borderId="0" xfId="51" applyFont="1"/>
    <xf numFmtId="0" fontId="11" fillId="0" borderId="0" xfId="51" applyFont="1"/>
    <xf numFmtId="0" fontId="12" fillId="0" borderId="0" xfId="51" applyFont="1"/>
    <xf numFmtId="0" fontId="13" fillId="0" borderId="0" xfId="51" applyFont="1"/>
    <xf numFmtId="0" fontId="14" fillId="0" borderId="0" xfId="51" applyNumberFormat="1" applyFont="1" applyAlignment="1">
      <alignment horizontal="left"/>
    </xf>
    <xf numFmtId="1" fontId="4" fillId="0" borderId="10" xfId="51" applyNumberFormat="1" applyBorder="1"/>
    <xf numFmtId="164" fontId="4" fillId="0" borderId="10" xfId="51" applyNumberFormat="1" applyBorder="1"/>
    <xf numFmtId="1" fontId="4" fillId="0" borderId="12" xfId="51" applyNumberFormat="1" applyBorder="1"/>
    <xf numFmtId="164" fontId="4" fillId="0" borderId="12" xfId="51" applyNumberFormat="1" applyBorder="1"/>
    <xf numFmtId="1" fontId="4" fillId="0" borderId="15" xfId="51" applyNumberFormat="1" applyBorder="1"/>
    <xf numFmtId="164" fontId="4" fillId="0" borderId="15" xfId="51" applyNumberFormat="1" applyBorder="1"/>
    <xf numFmtId="164" fontId="4" fillId="0" borderId="13" xfId="51" applyNumberFormat="1" applyBorder="1"/>
    <xf numFmtId="1" fontId="4" fillId="0" borderId="5" xfId="51" applyNumberFormat="1" applyBorder="1"/>
    <xf numFmtId="1" fontId="4" fillId="0" borderId="10" xfId="51" applyNumberFormat="1" applyFill="1" applyBorder="1"/>
    <xf numFmtId="1" fontId="4" fillId="0" borderId="12" xfId="51" applyNumberFormat="1" applyFill="1" applyBorder="1"/>
    <xf numFmtId="1" fontId="4" fillId="0" borderId="15" xfId="51" applyNumberFormat="1" applyFill="1" applyBorder="1"/>
    <xf numFmtId="0" fontId="4" fillId="0" borderId="9" xfId="51" applyBorder="1" applyAlignment="1">
      <alignment horizontal="right"/>
    </xf>
    <xf numFmtId="164" fontId="4" fillId="0" borderId="0" xfId="51" applyNumberFormat="1"/>
    <xf numFmtId="0" fontId="15" fillId="0" borderId="0" xfId="51" applyFont="1"/>
    <xf numFmtId="164" fontId="4" fillId="0" borderId="27" xfId="51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9" fillId="0" borderId="0" xfId="51" applyFont="1" applyAlignment="1">
      <alignment horizontal="center"/>
    </xf>
  </cellXfs>
  <cellStyles count="5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Normal" xfId="0" builtinId="0"/>
    <cellStyle name="Normal 2" xfId="5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12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200" t="s">
        <v>165</v>
      </c>
      <c r="E4" s="201"/>
      <c r="F4" s="202"/>
    </row>
    <row r="5" spans="2:6">
      <c r="B5" s="6"/>
      <c r="C5" s="7" t="s">
        <v>111</v>
      </c>
      <c r="D5" s="203">
        <v>2014</v>
      </c>
      <c r="E5" s="204"/>
      <c r="F5" s="205"/>
    </row>
    <row r="6" spans="2:6">
      <c r="B6" s="3"/>
      <c r="C6" s="3"/>
      <c r="D6" s="3"/>
      <c r="E6" s="3"/>
      <c r="F6" s="3"/>
    </row>
    <row r="8" spans="2:6">
      <c r="B8">
        <v>3</v>
      </c>
      <c r="C8" t="s">
        <v>336</v>
      </c>
      <c r="D8">
        <v>2</v>
      </c>
      <c r="E8" t="s">
        <v>337</v>
      </c>
    </row>
    <row r="10" spans="2:6">
      <c r="C10" t="s">
        <v>5</v>
      </c>
      <c r="E10" t="s">
        <v>22</v>
      </c>
    </row>
    <row r="11" spans="2:6">
      <c r="C11" t="s">
        <v>10</v>
      </c>
      <c r="E11" t="s">
        <v>59</v>
      </c>
    </row>
    <row r="12" spans="2:6">
      <c r="C12" t="s">
        <v>12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>
      <selection activeCell="J28" sqref="J28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655</v>
      </c>
      <c r="D6" s="15">
        <v>345</v>
      </c>
      <c r="E6" s="15"/>
      <c r="F6" s="15" t="s">
        <v>6</v>
      </c>
      <c r="G6" s="15">
        <f t="shared" ref="G6:G15" si="0">$D6+$C6</f>
        <v>1000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/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/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/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500</v>
      </c>
      <c r="E10" s="15"/>
      <c r="F10" s="15" t="s">
        <v>6</v>
      </c>
      <c r="G10" s="15">
        <f t="shared" si="0"/>
        <v>500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/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/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/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/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/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19</v>
      </c>
      <c r="D21" s="15">
        <v>11</v>
      </c>
      <c r="E21" s="15"/>
      <c r="F21" s="15" t="s">
        <v>6</v>
      </c>
      <c r="G21" s="15">
        <f t="shared" ref="G21:G30" si="2">$D21+$C21</f>
        <v>30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17</v>
      </c>
      <c r="D27" s="15">
        <v>53</v>
      </c>
      <c r="E27" s="15"/>
      <c r="F27" s="15" t="s">
        <v>6</v>
      </c>
      <c r="G27" s="15">
        <f t="shared" si="2"/>
        <v>70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86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/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/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/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-15000</v>
      </c>
      <c r="D39" s="14">
        <v>50000</v>
      </c>
      <c r="E39" s="15"/>
      <c r="F39" s="15" t="s">
        <v>6</v>
      </c>
      <c r="G39" s="15">
        <f t="shared" si="3"/>
        <v>35000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/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/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/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/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/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/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/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/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/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/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/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/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/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/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/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/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/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/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/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/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/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4">
        <v>0</v>
      </c>
      <c r="D61" s="15">
        <v>0</v>
      </c>
      <c r="E61" s="15"/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4">
        <v>0</v>
      </c>
      <c r="D62" s="15">
        <v>0</v>
      </c>
      <c r="E62" s="15"/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10000</v>
      </c>
      <c r="D63" s="15">
        <v>0</v>
      </c>
      <c r="E63" s="15"/>
      <c r="F63" s="15" t="s">
        <v>6</v>
      </c>
      <c r="G63" s="15">
        <f t="shared" si="3"/>
        <v>10000</v>
      </c>
      <c r="H63" s="17" t="str">
        <f t="shared" si="4"/>
        <v>new</v>
      </c>
    </row>
    <row r="64" spans="2:8">
      <c r="B64" s="14" t="s">
        <v>47</v>
      </c>
      <c r="C64" s="84">
        <v>0</v>
      </c>
      <c r="D64" s="15">
        <v>0</v>
      </c>
      <c r="E64" s="15"/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4">
        <v>0</v>
      </c>
      <c r="D65" s="15">
        <v>0</v>
      </c>
      <c r="E65" s="15"/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4">
        <v>0</v>
      </c>
      <c r="D66" s="15">
        <v>0</v>
      </c>
      <c r="E66" s="15"/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4">
        <v>0</v>
      </c>
      <c r="D67" s="15">
        <v>0</v>
      </c>
      <c r="E67" s="15"/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4">
        <v>0</v>
      </c>
      <c r="D68" s="15">
        <v>0</v>
      </c>
      <c r="E68" s="15"/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4">
        <v>0</v>
      </c>
      <c r="D69" s="15">
        <v>0</v>
      </c>
      <c r="E69" s="15"/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4">
        <v>0</v>
      </c>
      <c r="D70" s="15">
        <v>0</v>
      </c>
      <c r="E70" s="15"/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4">
        <v>0</v>
      </c>
      <c r="D71" s="15">
        <v>0</v>
      </c>
      <c r="E71" s="15"/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4">
        <v>0</v>
      </c>
      <c r="D72" s="15">
        <v>0</v>
      </c>
      <c r="E72" s="15"/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4">
        <v>0</v>
      </c>
      <c r="D73" s="15">
        <v>0</v>
      </c>
      <c r="E73" s="15"/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4">
        <v>0</v>
      </c>
      <c r="D74" s="15">
        <v>0</v>
      </c>
      <c r="E74" s="15"/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4">
        <v>0</v>
      </c>
      <c r="D75" s="15">
        <v>0</v>
      </c>
      <c r="E75" s="15"/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4">
        <v>-11000</v>
      </c>
      <c r="D76" s="15">
        <v>51000</v>
      </c>
      <c r="E76" s="15"/>
      <c r="F76" s="15" t="s">
        <v>6</v>
      </c>
      <c r="G76" s="15">
        <f t="shared" si="5"/>
        <v>40000</v>
      </c>
      <c r="H76" s="17" t="str">
        <f t="shared" si="6"/>
        <v/>
      </c>
    </row>
    <row r="77" spans="2:8">
      <c r="B77" s="14" t="s">
        <v>60</v>
      </c>
      <c r="C77" s="84">
        <v>0</v>
      </c>
      <c r="D77" s="15">
        <v>0</v>
      </c>
      <c r="E77" s="15"/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4">
        <v>0</v>
      </c>
      <c r="D78" s="15">
        <v>0</v>
      </c>
      <c r="E78" s="15"/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4">
        <v>0</v>
      </c>
      <c r="D79" s="15">
        <v>0</v>
      </c>
      <c r="E79" s="15"/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4">
        <v>0</v>
      </c>
      <c r="D80" s="15">
        <v>0</v>
      </c>
      <c r="E80" s="15"/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4">
        <v>0</v>
      </c>
      <c r="D81" s="15">
        <v>0</v>
      </c>
      <c r="E81" s="15"/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4">
        <v>0</v>
      </c>
      <c r="D82" s="15">
        <v>0</v>
      </c>
      <c r="E82" s="15"/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4">
        <v>0</v>
      </c>
      <c r="D83" s="14">
        <v>0</v>
      </c>
      <c r="E83" s="15"/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4">
        <v>0</v>
      </c>
      <c r="D84" s="15">
        <v>0</v>
      </c>
      <c r="E84" s="15"/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4">
        <v>0</v>
      </c>
      <c r="D85" s="15">
        <v>0</v>
      </c>
      <c r="E85" s="15"/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4">
        <v>0</v>
      </c>
      <c r="D86" s="15">
        <v>0</v>
      </c>
      <c r="E86" s="15"/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4">
        <v>0</v>
      </c>
      <c r="D87" s="15">
        <v>0</v>
      </c>
      <c r="E87" s="15"/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4">
        <v>0</v>
      </c>
      <c r="D88" s="15">
        <v>0</v>
      </c>
      <c r="E88" s="15"/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4">
        <v>0</v>
      </c>
      <c r="D89" s="15">
        <v>0</v>
      </c>
      <c r="E89" s="15"/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4">
        <v>0</v>
      </c>
      <c r="D90" s="15">
        <v>0</v>
      </c>
      <c r="E90" s="15"/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4">
        <v>0</v>
      </c>
      <c r="D91" s="15">
        <v>0</v>
      </c>
      <c r="E91" s="15"/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4">
        <v>0</v>
      </c>
      <c r="D92" s="15">
        <v>0</v>
      </c>
      <c r="E92" s="15"/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4">
        <v>0</v>
      </c>
      <c r="D93" s="15">
        <v>0</v>
      </c>
      <c r="E93" s="15"/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4">
        <v>0</v>
      </c>
      <c r="D94" s="15">
        <v>0</v>
      </c>
      <c r="E94" s="15"/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4">
        <v>0</v>
      </c>
      <c r="D95" s="15">
        <v>0</v>
      </c>
      <c r="E95" s="15"/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4">
        <v>0</v>
      </c>
      <c r="D96" s="15">
        <v>0</v>
      </c>
      <c r="E96" s="15"/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4">
        <v>0</v>
      </c>
      <c r="D97" s="15">
        <v>0</v>
      </c>
      <c r="E97" s="15"/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4">
        <v>0</v>
      </c>
      <c r="D98" s="15">
        <v>0</v>
      </c>
      <c r="E98" s="15"/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4">
        <v>0</v>
      </c>
      <c r="D99" s="15">
        <v>0</v>
      </c>
      <c r="E99" s="15"/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4">
        <v>0</v>
      </c>
      <c r="D100" s="15">
        <v>0</v>
      </c>
      <c r="E100" s="15"/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4">
        <v>0</v>
      </c>
      <c r="D101" s="15">
        <v>0</v>
      </c>
      <c r="E101" s="15"/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4">
        <v>0</v>
      </c>
      <c r="D102" s="15">
        <v>0</v>
      </c>
      <c r="E102" s="15"/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4">
        <v>0</v>
      </c>
      <c r="D103" s="15">
        <v>0</v>
      </c>
      <c r="E103" s="15"/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4">
        <v>0</v>
      </c>
      <c r="D104" s="15">
        <v>0</v>
      </c>
      <c r="E104" s="15"/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4">
        <v>0</v>
      </c>
      <c r="D105" s="15">
        <v>0</v>
      </c>
      <c r="E105" s="15"/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4">
        <v>0</v>
      </c>
      <c r="D106" s="19">
        <v>0</v>
      </c>
      <c r="E106" s="19"/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>
      <selection activeCell="B11" sqref="B11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505</v>
      </c>
      <c r="D6" s="86">
        <v>505</v>
      </c>
      <c r="E6" s="86">
        <v>505</v>
      </c>
      <c r="F6" s="86">
        <v>505</v>
      </c>
      <c r="G6" s="86">
        <v>505</v>
      </c>
      <c r="H6" s="86">
        <v>505</v>
      </c>
      <c r="I6" s="86">
        <v>505</v>
      </c>
      <c r="J6" s="86">
        <v>505</v>
      </c>
      <c r="K6" s="86">
        <v>505</v>
      </c>
      <c r="L6" s="86">
        <v>505</v>
      </c>
      <c r="M6" s="86">
        <v>505</v>
      </c>
      <c r="N6" s="86">
        <v>505</v>
      </c>
    </row>
    <row r="7" spans="2:14">
      <c r="B7" s="36" t="s">
        <v>105</v>
      </c>
      <c r="C7" s="87">
        <v>660</v>
      </c>
      <c r="D7" s="87">
        <v>660</v>
      </c>
      <c r="E7" s="87">
        <v>660</v>
      </c>
      <c r="F7" s="87">
        <v>660</v>
      </c>
      <c r="G7" s="87">
        <v>660</v>
      </c>
      <c r="H7" s="87">
        <v>660</v>
      </c>
      <c r="I7" s="87">
        <v>660</v>
      </c>
      <c r="J7" s="87">
        <v>660</v>
      </c>
      <c r="K7" s="87">
        <v>660</v>
      </c>
      <c r="L7" s="87">
        <v>660</v>
      </c>
      <c r="M7" s="87">
        <v>660</v>
      </c>
      <c r="N7" s="87">
        <v>660</v>
      </c>
    </row>
    <row r="8" spans="2:14">
      <c r="B8" s="36" t="s">
        <v>106</v>
      </c>
      <c r="C8" s="87">
        <v>2353</v>
      </c>
      <c r="D8" s="87">
        <v>2353</v>
      </c>
      <c r="E8" s="87">
        <v>2353</v>
      </c>
      <c r="F8" s="87">
        <v>2353</v>
      </c>
      <c r="G8" s="87">
        <v>2353</v>
      </c>
      <c r="H8" s="87">
        <v>2353</v>
      </c>
      <c r="I8" s="87">
        <v>2353</v>
      </c>
      <c r="J8" s="87">
        <v>2353</v>
      </c>
      <c r="K8" s="87">
        <v>2353</v>
      </c>
      <c r="L8" s="87">
        <v>2353</v>
      </c>
      <c r="M8" s="87">
        <v>2353</v>
      </c>
      <c r="N8" s="87">
        <v>2353</v>
      </c>
    </row>
    <row r="9" spans="2:14">
      <c r="B9" s="36" t="s">
        <v>107</v>
      </c>
      <c r="C9" s="87">
        <v>1616</v>
      </c>
      <c r="D9" s="87">
        <v>1616</v>
      </c>
      <c r="E9" s="87">
        <v>1616</v>
      </c>
      <c r="F9" s="87">
        <v>1616</v>
      </c>
      <c r="G9" s="87">
        <v>1616</v>
      </c>
      <c r="H9" s="87">
        <v>1616</v>
      </c>
      <c r="I9" s="87">
        <v>1616</v>
      </c>
      <c r="J9" s="87">
        <v>1616</v>
      </c>
      <c r="K9" s="87">
        <v>1616</v>
      </c>
      <c r="L9" s="87">
        <v>1616</v>
      </c>
      <c r="M9" s="87">
        <v>1616</v>
      </c>
      <c r="N9" s="87">
        <v>1616</v>
      </c>
    </row>
    <row r="10" spans="2:14">
      <c r="B10" s="36" t="s">
        <v>108</v>
      </c>
      <c r="C10" s="87">
        <v>165</v>
      </c>
      <c r="D10" s="87">
        <v>165</v>
      </c>
      <c r="E10" s="87">
        <v>165</v>
      </c>
      <c r="F10" s="87">
        <v>165</v>
      </c>
      <c r="G10" s="87">
        <v>165</v>
      </c>
      <c r="H10" s="87">
        <v>165</v>
      </c>
      <c r="I10" s="87">
        <v>165</v>
      </c>
      <c r="J10" s="87">
        <v>165</v>
      </c>
      <c r="K10" s="87">
        <v>165</v>
      </c>
      <c r="L10" s="87">
        <v>165</v>
      </c>
      <c r="M10" s="87">
        <v>165</v>
      </c>
      <c r="N10" s="87">
        <v>165</v>
      </c>
    </row>
    <row r="11" spans="2:14">
      <c r="B11" s="37" t="s">
        <v>109</v>
      </c>
      <c r="C11" s="87">
        <v>160</v>
      </c>
      <c r="D11" s="87">
        <v>160</v>
      </c>
      <c r="E11" s="87">
        <v>160</v>
      </c>
      <c r="F11" s="87">
        <v>160</v>
      </c>
      <c r="G11" s="87">
        <v>160</v>
      </c>
      <c r="H11" s="87">
        <v>160</v>
      </c>
      <c r="I11" s="87">
        <v>160</v>
      </c>
      <c r="J11" s="87">
        <v>160</v>
      </c>
      <c r="K11" s="87">
        <v>160</v>
      </c>
      <c r="L11" s="87">
        <v>160</v>
      </c>
      <c r="M11" s="87">
        <v>160</v>
      </c>
      <c r="N11" s="87">
        <v>160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1.1000000000000001</v>
      </c>
      <c r="D17" s="89">
        <v>0.6</v>
      </c>
      <c r="E17" s="89">
        <v>1</v>
      </c>
      <c r="F17" s="89">
        <v>0.75</v>
      </c>
      <c r="G17" s="89">
        <v>0.9</v>
      </c>
      <c r="H17" s="89">
        <v>1.1000000000000001</v>
      </c>
      <c r="I17" s="29" t="s">
        <v>110</v>
      </c>
    </row>
    <row r="18" spans="2:33">
      <c r="B18" s="36" t="s">
        <v>105</v>
      </c>
      <c r="C18" s="89">
        <v>1.1000000000000001</v>
      </c>
      <c r="D18" s="90">
        <v>0.65</v>
      </c>
      <c r="E18" s="90">
        <v>1</v>
      </c>
      <c r="F18" s="90">
        <v>0.75</v>
      </c>
      <c r="G18" s="89">
        <v>0.9</v>
      </c>
      <c r="H18" s="90">
        <v>1.1000000000000001</v>
      </c>
      <c r="I18" s="29" t="s">
        <v>110</v>
      </c>
    </row>
    <row r="19" spans="2:33">
      <c r="B19" s="36" t="s">
        <v>106</v>
      </c>
      <c r="C19" s="89">
        <v>1.1000000000000001</v>
      </c>
      <c r="D19" s="90">
        <v>0.7</v>
      </c>
      <c r="E19" s="90">
        <v>1</v>
      </c>
      <c r="F19" s="90">
        <v>0.83</v>
      </c>
      <c r="G19" s="89">
        <v>0.9</v>
      </c>
      <c r="H19" s="90">
        <v>1.1499999999999999</v>
      </c>
      <c r="I19" s="29" t="s">
        <v>110</v>
      </c>
    </row>
    <row r="20" spans="2:33">
      <c r="B20" s="36" t="s">
        <v>107</v>
      </c>
      <c r="C20" s="89">
        <v>1.1000000000000001</v>
      </c>
      <c r="D20" s="90">
        <v>0.67</v>
      </c>
      <c r="E20" s="90">
        <v>1</v>
      </c>
      <c r="F20" s="90">
        <v>0.8</v>
      </c>
      <c r="G20" s="89">
        <v>0.9</v>
      </c>
      <c r="H20" s="90">
        <v>1.1000000000000001</v>
      </c>
    </row>
    <row r="21" spans="2:33">
      <c r="B21" s="36" t="s">
        <v>108</v>
      </c>
      <c r="C21" s="89">
        <v>1.1000000000000001</v>
      </c>
      <c r="D21" s="90">
        <v>0.74</v>
      </c>
      <c r="E21" s="90">
        <v>1</v>
      </c>
      <c r="F21" s="90">
        <v>0.82</v>
      </c>
      <c r="G21" s="89">
        <v>0.9</v>
      </c>
      <c r="H21" s="90">
        <v>0.9</v>
      </c>
    </row>
    <row r="22" spans="2:33">
      <c r="B22" s="37" t="s">
        <v>109</v>
      </c>
      <c r="C22" s="89">
        <v>1.1000000000000001</v>
      </c>
      <c r="D22" s="90">
        <v>0.7</v>
      </c>
      <c r="E22" s="90">
        <v>1</v>
      </c>
      <c r="F22" s="90">
        <v>0.8</v>
      </c>
      <c r="G22" s="89">
        <v>0.9</v>
      </c>
      <c r="H22" s="90">
        <v>0.85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2009</v>
      </c>
      <c r="E28" s="49"/>
      <c r="F28" s="45">
        <f>basic_info!$D$5-4</f>
        <v>2010</v>
      </c>
      <c r="G28" s="49"/>
      <c r="H28" s="45">
        <f>basic_info!$D$5-3</f>
        <v>2011</v>
      </c>
      <c r="I28" s="49"/>
      <c r="J28" s="45">
        <f>basic_info!$D$5-2</f>
        <v>2012</v>
      </c>
      <c r="K28" s="49"/>
      <c r="L28" s="45">
        <f>basic_info!$D$5-1</f>
        <v>2013</v>
      </c>
      <c r="N28" s="45">
        <f>basic_info!$D$5</f>
        <v>2014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2014</v>
      </c>
      <c r="D30" s="44">
        <v>0.84053761279682415</v>
      </c>
      <c r="E30" s="35">
        <v>0</v>
      </c>
      <c r="F30" s="47">
        <v>0.85425481207726239</v>
      </c>
      <c r="G30" s="46">
        <v>0</v>
      </c>
      <c r="H30" s="47">
        <v>0.81931972485317484</v>
      </c>
      <c r="I30" s="46">
        <v>0</v>
      </c>
      <c r="J30" s="47">
        <v>1.0310724306991876</v>
      </c>
      <c r="K30" s="46">
        <v>0</v>
      </c>
      <c r="L30" s="47">
        <v>0.94479954883347961</v>
      </c>
      <c r="M30" s="46">
        <v>0</v>
      </c>
      <c r="N30" s="60"/>
      <c r="O30" s="71" t="s">
        <v>162</v>
      </c>
      <c r="P30" s="41">
        <f>M30+K30+I30+E30+G30</f>
        <v>0</v>
      </c>
      <c r="Q30" s="70"/>
    </row>
    <row r="31" spans="2:33">
      <c r="B31" s="36"/>
      <c r="C31" s="47">
        <f>basic_info!$D$5+1</f>
        <v>2015</v>
      </c>
      <c r="D31" s="76"/>
      <c r="E31" s="75"/>
      <c r="F31" s="69">
        <v>0.79134866785137714</v>
      </c>
      <c r="G31" s="79">
        <v>0</v>
      </c>
      <c r="H31" s="61">
        <v>0.78025454004669703</v>
      </c>
      <c r="I31" s="62">
        <v>0</v>
      </c>
      <c r="J31" s="61">
        <v>0.94329895279397902</v>
      </c>
      <c r="K31" s="62">
        <v>0</v>
      </c>
      <c r="L31" s="61">
        <v>0.87493995418983028</v>
      </c>
      <c r="M31" s="62">
        <v>0</v>
      </c>
      <c r="N31" s="63">
        <v>0.78439515503861812</v>
      </c>
      <c r="O31" s="88">
        <v>0</v>
      </c>
      <c r="P31" s="63">
        <f>O31+M31+K31+I31+G31</f>
        <v>0</v>
      </c>
    </row>
    <row r="32" spans="2:33">
      <c r="B32" s="36"/>
      <c r="C32" s="47">
        <f>basic_info!$D$5+2</f>
        <v>2016</v>
      </c>
      <c r="D32" s="76"/>
      <c r="E32" s="75"/>
      <c r="F32" s="75"/>
      <c r="G32" s="75"/>
      <c r="H32" s="69">
        <v>0.76975257071765368</v>
      </c>
      <c r="I32" s="79">
        <v>0</v>
      </c>
      <c r="J32" s="61">
        <v>0.86235916043001337</v>
      </c>
      <c r="K32" s="62">
        <v>0</v>
      </c>
      <c r="L32" s="61">
        <v>0.83860677402910089</v>
      </c>
      <c r="M32" s="62">
        <v>0</v>
      </c>
      <c r="N32" s="63">
        <v>0.7848152178006883</v>
      </c>
      <c r="O32" s="88">
        <v>0</v>
      </c>
      <c r="P32" s="63">
        <f>O32+M32+K32+I32</f>
        <v>0</v>
      </c>
    </row>
    <row r="33" spans="2:17">
      <c r="B33" s="36"/>
      <c r="C33" s="47">
        <f>basic_info!$D$5+3</f>
        <v>2017</v>
      </c>
      <c r="D33" s="76"/>
      <c r="E33" s="75"/>
      <c r="F33" s="75"/>
      <c r="G33" s="75"/>
      <c r="H33" s="75"/>
      <c r="I33" s="75"/>
      <c r="J33" s="69">
        <v>0.82723927824938992</v>
      </c>
      <c r="K33" s="79">
        <v>0</v>
      </c>
      <c r="L33" s="61">
        <v>0.78982841454849262</v>
      </c>
      <c r="M33" s="62">
        <v>0</v>
      </c>
      <c r="N33" s="63">
        <v>0.73764396117770215</v>
      </c>
      <c r="O33" s="88">
        <v>8000</v>
      </c>
      <c r="P33" s="63">
        <f>O33+M33+K33</f>
        <v>8000</v>
      </c>
    </row>
    <row r="34" spans="2:17">
      <c r="B34" s="36"/>
      <c r="C34" s="47">
        <f>basic_info!$D$5+4</f>
        <v>2018</v>
      </c>
      <c r="D34" s="76"/>
      <c r="E34" s="75"/>
      <c r="F34" s="75"/>
      <c r="G34" s="75"/>
      <c r="H34" s="75"/>
      <c r="I34" s="75"/>
      <c r="J34" s="75"/>
      <c r="K34" s="75"/>
      <c r="L34" s="69">
        <v>0.72411525202691562</v>
      </c>
      <c r="M34" s="79">
        <v>0</v>
      </c>
      <c r="N34" s="63">
        <v>0.71135030767163665</v>
      </c>
      <c r="O34" s="88">
        <v>8000</v>
      </c>
      <c r="P34" s="63">
        <f>O34+M34</f>
        <v>8000</v>
      </c>
    </row>
    <row r="35" spans="2:17">
      <c r="B35" s="37"/>
      <c r="C35" s="72">
        <f>basic_info!$D$5+5</f>
        <v>2019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0.67168145499527454</v>
      </c>
      <c r="O35" s="88">
        <v>8000</v>
      </c>
      <c r="P35" s="65">
        <f>O35</f>
        <v>8000</v>
      </c>
    </row>
    <row r="36" spans="2:17">
      <c r="B36" s="41" t="s">
        <v>113</v>
      </c>
      <c r="C36" s="36">
        <f>basic_info!$D$5</f>
        <v>2014</v>
      </c>
      <c r="D36" s="44">
        <v>1.0649106070555612</v>
      </c>
      <c r="E36" s="35">
        <v>0</v>
      </c>
      <c r="F36" s="73">
        <v>1.0642519806916397</v>
      </c>
      <c r="G36" s="74">
        <v>0</v>
      </c>
      <c r="H36" s="73">
        <v>1.054583558512546</v>
      </c>
      <c r="I36" s="74">
        <v>0</v>
      </c>
      <c r="J36" s="73">
        <v>0.9156909597001206</v>
      </c>
      <c r="K36" s="74">
        <v>0</v>
      </c>
      <c r="L36" s="66">
        <v>1.2616250665284479</v>
      </c>
      <c r="M36" s="67">
        <v>0</v>
      </c>
      <c r="N36" s="68"/>
      <c r="O36" s="71" t="s">
        <v>162</v>
      </c>
      <c r="P36" s="41">
        <f>M36+K36+I36+E36+G36</f>
        <v>0</v>
      </c>
      <c r="Q36" s="70"/>
    </row>
    <row r="37" spans="2:17">
      <c r="B37" s="36"/>
      <c r="C37" s="47">
        <f>basic_info!$D$5+1</f>
        <v>2015</v>
      </c>
      <c r="D37" s="76"/>
      <c r="E37" s="75"/>
      <c r="F37" s="69">
        <v>1.0762337405940841</v>
      </c>
      <c r="G37" s="79">
        <v>0</v>
      </c>
      <c r="H37" s="61">
        <v>1.0404514613486917</v>
      </c>
      <c r="I37" s="62">
        <v>0</v>
      </c>
      <c r="J37" s="61">
        <v>0.89286179766970553</v>
      </c>
      <c r="K37" s="62">
        <v>0</v>
      </c>
      <c r="L37" s="61">
        <v>1.2305005066511776</v>
      </c>
      <c r="M37" s="62">
        <v>0</v>
      </c>
      <c r="N37" s="61">
        <v>1.0549979141770345</v>
      </c>
      <c r="O37" s="88">
        <v>10000</v>
      </c>
      <c r="P37" s="63">
        <f>O37+M37+K37+I37+G37</f>
        <v>10000</v>
      </c>
    </row>
    <row r="38" spans="2:17">
      <c r="B38" s="36"/>
      <c r="C38" s="47">
        <f>basic_info!$D$5+2</f>
        <v>2016</v>
      </c>
      <c r="D38" s="76"/>
      <c r="E38" s="75"/>
      <c r="F38" s="75"/>
      <c r="G38" s="75"/>
      <c r="H38" s="69">
        <v>1.0296840787328012</v>
      </c>
      <c r="I38" s="79">
        <v>0</v>
      </c>
      <c r="J38" s="61">
        <v>0.89692452423078717</v>
      </c>
      <c r="K38" s="62">
        <v>0</v>
      </c>
      <c r="L38" s="61">
        <v>1.1330883338899427</v>
      </c>
      <c r="M38" s="62">
        <v>0</v>
      </c>
      <c r="N38" s="61">
        <v>0.96974342417907566</v>
      </c>
      <c r="O38" s="88">
        <v>10500</v>
      </c>
      <c r="P38" s="63">
        <f>O38+M38+K38+I38</f>
        <v>10500</v>
      </c>
    </row>
    <row r="39" spans="2:17">
      <c r="B39" s="36"/>
      <c r="C39" s="47">
        <f>basic_info!$D$5+3</f>
        <v>2017</v>
      </c>
      <c r="D39" s="76"/>
      <c r="E39" s="75"/>
      <c r="F39" s="75"/>
      <c r="G39" s="75"/>
      <c r="H39" s="75"/>
      <c r="I39" s="75"/>
      <c r="J39" s="69">
        <v>0.90603754280275017</v>
      </c>
      <c r="K39" s="79">
        <v>0</v>
      </c>
      <c r="L39" s="61">
        <v>1.0875125598816084</v>
      </c>
      <c r="M39" s="62">
        <v>0</v>
      </c>
      <c r="N39" s="61">
        <v>0.93160995934739854</v>
      </c>
      <c r="O39" s="88">
        <v>11000</v>
      </c>
      <c r="P39" s="63">
        <f>O39+M39+K39</f>
        <v>11000</v>
      </c>
    </row>
    <row r="40" spans="2:17">
      <c r="B40" s="36"/>
      <c r="C40" s="47">
        <f>basic_info!$D$5+4</f>
        <v>2018</v>
      </c>
      <c r="D40" s="76"/>
      <c r="E40" s="75"/>
      <c r="F40" s="75"/>
      <c r="G40" s="75"/>
      <c r="H40" s="75"/>
      <c r="I40" s="75"/>
      <c r="J40" s="75"/>
      <c r="K40" s="75"/>
      <c r="L40" s="69">
        <v>0.99511689269542691</v>
      </c>
      <c r="M40" s="79">
        <v>0</v>
      </c>
      <c r="N40" s="61">
        <v>0.88880183448123806</v>
      </c>
      <c r="O40" s="88">
        <v>11500</v>
      </c>
      <c r="P40" s="63">
        <f>O40+M40</f>
        <v>11500</v>
      </c>
    </row>
    <row r="41" spans="2:17">
      <c r="B41" s="37"/>
      <c r="C41" s="72">
        <f>basic_info!$D$5+5</f>
        <v>2019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0.87392979428172113</v>
      </c>
      <c r="O41" s="88">
        <v>12000</v>
      </c>
      <c r="P41" s="64">
        <f>O41</f>
        <v>12000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v>0</v>
      </c>
      <c r="D47" s="91">
        <v>0</v>
      </c>
      <c r="E47" s="91">
        <v>0</v>
      </c>
      <c r="F47" s="91">
        <v>0</v>
      </c>
      <c r="G47" s="91">
        <v>0</v>
      </c>
      <c r="H47" s="91">
        <v>0</v>
      </c>
      <c r="I47" s="91">
        <v>0</v>
      </c>
      <c r="J47" s="91">
        <v>0</v>
      </c>
      <c r="K47" s="91">
        <v>0</v>
      </c>
      <c r="L47" s="91">
        <v>0</v>
      </c>
      <c r="M47" s="91">
        <v>0</v>
      </c>
      <c r="N47" s="91">
        <v>0</v>
      </c>
      <c r="O47" s="33">
        <f>SUM(C47:N47)</f>
        <v>0</v>
      </c>
    </row>
    <row r="48" spans="2:17">
      <c r="B48" s="37" t="s">
        <v>113</v>
      </c>
      <c r="C48" s="91">
        <v>0</v>
      </c>
      <c r="D48" s="91">
        <v>0</v>
      </c>
      <c r="E48" s="91">
        <v>0</v>
      </c>
      <c r="F48" s="91">
        <v>0</v>
      </c>
      <c r="G48" s="91">
        <v>0</v>
      </c>
      <c r="H48" s="91">
        <v>0</v>
      </c>
      <c r="I48" s="91">
        <v>0</v>
      </c>
      <c r="J48" s="91">
        <v>0</v>
      </c>
      <c r="K48" s="91">
        <v>0</v>
      </c>
      <c r="L48" s="91">
        <v>0</v>
      </c>
      <c r="M48" s="91">
        <v>0</v>
      </c>
      <c r="N48" s="91">
        <v>0</v>
      </c>
      <c r="O48" s="33">
        <f>SUM(C48:N48)</f>
        <v>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3"/>
  <sheetViews>
    <sheetView showGridLines="0" topLeftCell="A7" workbookViewId="0">
      <selection activeCell="B34" sqref="B34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2">
        <v>68.317000000000007</v>
      </c>
      <c r="D6" s="92">
        <v>0</v>
      </c>
      <c r="E6" s="92">
        <v>0</v>
      </c>
      <c r="F6" s="92">
        <v>0</v>
      </c>
      <c r="G6" s="92">
        <v>31.683</v>
      </c>
      <c r="H6" s="96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2">
        <v>0</v>
      </c>
      <c r="D7" s="92">
        <v>75.760000000000005</v>
      </c>
      <c r="E7" s="92">
        <v>0</v>
      </c>
      <c r="F7" s="92">
        <v>24.24</v>
      </c>
      <c r="G7" s="92">
        <v>0</v>
      </c>
      <c r="H7" s="96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2">
        <v>0</v>
      </c>
      <c r="D8" s="92">
        <v>0</v>
      </c>
      <c r="E8" s="92">
        <v>91.5</v>
      </c>
      <c r="F8" s="92">
        <v>8.5</v>
      </c>
      <c r="G8" s="92">
        <v>0</v>
      </c>
      <c r="H8" s="96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2">
        <v>0</v>
      </c>
      <c r="D9" s="92">
        <v>0</v>
      </c>
      <c r="E9" s="92">
        <v>88.86</v>
      </c>
      <c r="F9" s="92">
        <v>11.14</v>
      </c>
      <c r="G9" s="92">
        <v>0</v>
      </c>
      <c r="H9" s="96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2">
        <v>0</v>
      </c>
      <c r="D10" s="92">
        <v>0</v>
      </c>
      <c r="E10" s="92">
        <v>0</v>
      </c>
      <c r="F10" s="92">
        <v>0</v>
      </c>
      <c r="G10" s="92">
        <v>100</v>
      </c>
      <c r="H10" s="96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3">
        <v>0</v>
      </c>
      <c r="D11" s="93">
        <v>0</v>
      </c>
      <c r="E11" s="93">
        <v>0</v>
      </c>
      <c r="F11" s="93">
        <v>0</v>
      </c>
      <c r="G11" s="93">
        <v>100</v>
      </c>
      <c r="H11" s="95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44.372599999999998</v>
      </c>
      <c r="D19" s="44">
        <f>100-$C$19</f>
        <v>55.627400000000002</v>
      </c>
      <c r="E19" s="93">
        <v>44.372599999999998</v>
      </c>
      <c r="F19" s="44">
        <f>100-$E$19</f>
        <v>55.627400000000002</v>
      </c>
      <c r="G19" s="93">
        <v>59</v>
      </c>
      <c r="H19" s="33">
        <f>100-$G$19</f>
        <v>41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0</v>
      </c>
      <c r="D27" s="92">
        <v>100</v>
      </c>
      <c r="E27" s="92">
        <v>100</v>
      </c>
      <c r="F27" s="92">
        <v>100</v>
      </c>
      <c r="G27" s="92">
        <v>100</v>
      </c>
      <c r="H27" s="92">
        <v>24</v>
      </c>
      <c r="I27" s="94">
        <v>43</v>
      </c>
      <c r="P27" s="50"/>
      <c r="Q27" s="50"/>
      <c r="R27" s="50"/>
    </row>
    <row r="28" spans="2:18">
      <c r="B28" s="45" t="s">
        <v>59</v>
      </c>
      <c r="C28" s="92">
        <v>0</v>
      </c>
      <c r="D28" s="92">
        <v>0</v>
      </c>
      <c r="E28" s="92">
        <v>0</v>
      </c>
      <c r="F28" s="92">
        <v>0</v>
      </c>
      <c r="G28" s="92">
        <v>0</v>
      </c>
      <c r="H28" s="92">
        <f>76</f>
        <v>76</v>
      </c>
      <c r="I28" s="94">
        <v>57</v>
      </c>
      <c r="P28" s="50"/>
      <c r="Q28" s="50"/>
      <c r="R28" s="50"/>
    </row>
    <row r="29" spans="2:18">
      <c r="B29" s="45" t="s">
        <v>150</v>
      </c>
      <c r="C29" s="97">
        <f>SUM($C$27:$C$28)</f>
        <v>0</v>
      </c>
      <c r="D29" s="97">
        <f>SUM($D$27:$D$28)</f>
        <v>100</v>
      </c>
      <c r="E29" s="97">
        <f>SUM($E$27:$E$28)</f>
        <v>100</v>
      </c>
      <c r="F29" s="97">
        <f>SUM($F$27:$F$28)</f>
        <v>100</v>
      </c>
      <c r="G29" s="97">
        <f>SUM($G$27:$G$28)</f>
        <v>100</v>
      </c>
      <c r="H29" s="97">
        <f>SUM($H$27:$H$28)</f>
        <v>100</v>
      </c>
      <c r="I29" s="95">
        <f>SUM($I$27:$I$28)</f>
        <v>100</v>
      </c>
      <c r="P29" s="50"/>
      <c r="Q29" s="50"/>
      <c r="R29" s="50"/>
    </row>
    <row r="30" spans="2:18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>
      <c r="I31" s="50"/>
      <c r="J31" s="50"/>
      <c r="K31" s="50"/>
    </row>
    <row r="32" spans="2:18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>
      <c r="B36" s="45" t="s">
        <v>22</v>
      </c>
      <c r="C36" s="92">
        <v>74.418000000000006</v>
      </c>
      <c r="D36" s="92">
        <v>74.418000000000006</v>
      </c>
      <c r="E36" s="92">
        <v>74.418000000000006</v>
      </c>
      <c r="F36" s="92">
        <v>74.418000000000006</v>
      </c>
      <c r="G36" s="92">
        <v>74.418000000000006</v>
      </c>
      <c r="H36" s="92">
        <v>74.418000000000006</v>
      </c>
      <c r="I36" s="92">
        <v>74.418000000000006</v>
      </c>
      <c r="J36" s="92">
        <v>74.418000000000006</v>
      </c>
      <c r="K36" s="92">
        <v>74.418000000000006</v>
      </c>
      <c r="L36" s="92">
        <v>74.418000000000006</v>
      </c>
      <c r="M36" s="92">
        <v>74.418000000000006</v>
      </c>
      <c r="N36" s="92">
        <v>74.418000000000006</v>
      </c>
    </row>
    <row r="37" spans="2:14">
      <c r="B37" s="45" t="s">
        <v>59</v>
      </c>
      <c r="C37" s="93">
        <v>68.254000000000005</v>
      </c>
      <c r="D37" s="93">
        <v>68.254000000000005</v>
      </c>
      <c r="E37" s="93">
        <v>68.254000000000005</v>
      </c>
      <c r="F37" s="93">
        <v>68.254000000000005</v>
      </c>
      <c r="G37" s="93">
        <v>68.254000000000005</v>
      </c>
      <c r="H37" s="93">
        <v>68.254000000000005</v>
      </c>
      <c r="I37" s="93">
        <v>68.254000000000005</v>
      </c>
      <c r="J37" s="93">
        <v>68.254000000000005</v>
      </c>
      <c r="K37" s="93">
        <v>68.254000000000005</v>
      </c>
      <c r="L37" s="93">
        <v>68.254000000000005</v>
      </c>
      <c r="M37" s="93">
        <v>68.254000000000005</v>
      </c>
      <c r="N37" s="93">
        <v>68.254000000000005</v>
      </c>
    </row>
    <row r="38" spans="2:14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>
      <c r="I39" s="50"/>
      <c r="J39" s="50"/>
      <c r="K39" s="50"/>
    </row>
    <row r="40" spans="2:14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>
      <c r="P49" s="50"/>
      <c r="Q49" s="50"/>
      <c r="R49" s="50"/>
      <c r="S49" s="50"/>
      <c r="T49" s="50"/>
      <c r="U49" s="50"/>
      <c r="V49" s="50"/>
      <c r="W49" s="50"/>
      <c r="X49" s="50"/>
    </row>
    <row r="61" spans="9:24">
      <c r="I61" s="50"/>
      <c r="J61" s="50"/>
    </row>
    <row r="62" spans="9:24">
      <c r="I62" s="50"/>
      <c r="J62" s="50"/>
    </row>
    <row r="63" spans="9:24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opLeftCell="C1" workbookViewId="0">
      <selection activeCell="M16" sqref="M16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2</v>
      </c>
      <c r="E6" s="88">
        <v>2</v>
      </c>
      <c r="F6" s="88">
        <v>2</v>
      </c>
      <c r="G6" s="88">
        <v>2</v>
      </c>
      <c r="H6" s="88">
        <v>2</v>
      </c>
      <c r="I6" s="88">
        <v>2</v>
      </c>
      <c r="J6" s="88">
        <v>2</v>
      </c>
      <c r="K6" s="88">
        <v>2</v>
      </c>
      <c r="L6" s="88">
        <v>2</v>
      </c>
      <c r="M6" s="88">
        <v>2</v>
      </c>
      <c r="N6" s="88">
        <v>2</v>
      </c>
      <c r="O6" s="88">
        <v>2</v>
      </c>
    </row>
    <row r="7" spans="2:15">
      <c r="C7" s="36" t="s">
        <v>127</v>
      </c>
      <c r="D7" s="88">
        <v>3.9</v>
      </c>
      <c r="E7" s="88">
        <v>3.9</v>
      </c>
      <c r="F7" s="88">
        <v>3.9</v>
      </c>
      <c r="G7" s="88">
        <v>3.9</v>
      </c>
      <c r="H7" s="88">
        <v>3.9</v>
      </c>
      <c r="I7" s="88">
        <v>3.9</v>
      </c>
      <c r="J7" s="88">
        <v>3.9</v>
      </c>
      <c r="K7" s="88">
        <v>3.9</v>
      </c>
      <c r="L7" s="88">
        <v>3.9</v>
      </c>
      <c r="M7" s="88">
        <v>3.9</v>
      </c>
      <c r="N7" s="88">
        <v>3.9</v>
      </c>
      <c r="O7" s="88">
        <v>3.9</v>
      </c>
    </row>
    <row r="8" spans="2:15">
      <c r="C8" s="36" t="s">
        <v>128</v>
      </c>
      <c r="D8" s="88">
        <v>3.8</v>
      </c>
      <c r="E8" s="88">
        <v>3.8</v>
      </c>
      <c r="F8" s="88">
        <v>3.8</v>
      </c>
      <c r="G8" s="88">
        <v>3.8</v>
      </c>
      <c r="H8" s="88">
        <v>3.8</v>
      </c>
      <c r="I8" s="88">
        <v>3.8</v>
      </c>
      <c r="J8" s="88">
        <v>3.8</v>
      </c>
      <c r="K8" s="88">
        <v>3.8</v>
      </c>
      <c r="L8" s="88">
        <v>3.8</v>
      </c>
      <c r="M8" s="88">
        <v>3.8</v>
      </c>
      <c r="N8" s="88">
        <v>3.8</v>
      </c>
      <c r="O8" s="88">
        <v>3.8</v>
      </c>
    </row>
    <row r="9" spans="2:15">
      <c r="C9" s="36" t="s">
        <v>129</v>
      </c>
      <c r="D9" s="88">
        <v>3.8</v>
      </c>
      <c r="E9" s="88">
        <v>3.8</v>
      </c>
      <c r="F9" s="88">
        <v>3.8</v>
      </c>
      <c r="G9" s="88">
        <v>3.8</v>
      </c>
      <c r="H9" s="88">
        <v>3.8</v>
      </c>
      <c r="I9" s="88">
        <v>3.8</v>
      </c>
      <c r="J9" s="88">
        <v>3.8</v>
      </c>
      <c r="K9" s="88">
        <v>3.8</v>
      </c>
      <c r="L9" s="88">
        <v>3.8</v>
      </c>
      <c r="M9" s="88">
        <v>3.8</v>
      </c>
      <c r="N9" s="88">
        <v>3.8</v>
      </c>
      <c r="O9" s="88">
        <v>3.8</v>
      </c>
    </row>
    <row r="10" spans="2:15">
      <c r="C10" s="36" t="s">
        <v>130</v>
      </c>
      <c r="D10" s="88">
        <v>2</v>
      </c>
      <c r="E10" s="88">
        <v>2</v>
      </c>
      <c r="F10" s="88">
        <v>2</v>
      </c>
      <c r="G10" s="88">
        <v>2</v>
      </c>
      <c r="H10" s="88">
        <v>2</v>
      </c>
      <c r="I10" s="88">
        <v>2</v>
      </c>
      <c r="J10" s="88">
        <v>2</v>
      </c>
      <c r="K10" s="88">
        <v>2</v>
      </c>
      <c r="L10" s="88">
        <v>2</v>
      </c>
      <c r="M10" s="88">
        <v>2</v>
      </c>
      <c r="N10" s="88">
        <v>2</v>
      </c>
      <c r="O10" s="88">
        <v>2</v>
      </c>
    </row>
    <row r="11" spans="2:15">
      <c r="C11" s="36" t="s">
        <v>131</v>
      </c>
      <c r="D11" s="88">
        <v>2</v>
      </c>
      <c r="E11" s="88">
        <v>2</v>
      </c>
      <c r="F11" s="88">
        <v>2</v>
      </c>
      <c r="G11" s="88">
        <v>2</v>
      </c>
      <c r="H11" s="88">
        <v>2</v>
      </c>
      <c r="I11" s="88">
        <v>2</v>
      </c>
      <c r="J11" s="88">
        <v>2</v>
      </c>
      <c r="K11" s="88">
        <v>2</v>
      </c>
      <c r="L11" s="88">
        <v>2</v>
      </c>
      <c r="M11" s="88">
        <v>2</v>
      </c>
      <c r="N11" s="88">
        <v>2</v>
      </c>
      <c r="O11" s="88">
        <v>2</v>
      </c>
    </row>
    <row r="12" spans="2:15">
      <c r="C12" s="37" t="s">
        <v>132</v>
      </c>
      <c r="D12" s="88">
        <v>3.8</v>
      </c>
      <c r="E12" s="88">
        <v>3.8</v>
      </c>
      <c r="F12" s="88">
        <v>3.8</v>
      </c>
      <c r="G12" s="88">
        <v>3.8</v>
      </c>
      <c r="H12" s="88">
        <v>3.8</v>
      </c>
      <c r="I12" s="88">
        <v>3.8</v>
      </c>
      <c r="J12" s="88">
        <v>3.8</v>
      </c>
      <c r="K12" s="88">
        <v>3.8</v>
      </c>
      <c r="L12" s="88">
        <v>3.8</v>
      </c>
      <c r="M12" s="88">
        <v>3.8</v>
      </c>
      <c r="N12" s="88">
        <v>3.8</v>
      </c>
      <c r="O12" s="88">
        <v>3.8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2</v>
      </c>
      <c r="E15" s="88">
        <v>2</v>
      </c>
      <c r="F15" s="88">
        <v>2</v>
      </c>
      <c r="G15" s="88">
        <v>2</v>
      </c>
      <c r="H15" s="88">
        <v>2</v>
      </c>
      <c r="I15" s="88">
        <v>2</v>
      </c>
      <c r="J15" s="88">
        <v>2</v>
      </c>
      <c r="K15" s="88">
        <v>2</v>
      </c>
      <c r="L15" s="88">
        <v>2</v>
      </c>
      <c r="M15" s="88">
        <v>2</v>
      </c>
      <c r="N15" s="88">
        <v>2</v>
      </c>
      <c r="O15" s="88">
        <v>2</v>
      </c>
    </row>
    <row r="16" spans="2:15">
      <c r="C16" s="36" t="s">
        <v>127</v>
      </c>
      <c r="D16" s="88">
        <v>2</v>
      </c>
      <c r="E16" s="88">
        <v>2</v>
      </c>
      <c r="F16" s="88">
        <v>2</v>
      </c>
      <c r="G16" s="88">
        <v>2</v>
      </c>
      <c r="H16" s="88">
        <v>2</v>
      </c>
      <c r="I16" s="88">
        <v>2</v>
      </c>
      <c r="J16" s="88">
        <v>2</v>
      </c>
      <c r="K16" s="88">
        <v>2</v>
      </c>
      <c r="L16" s="88">
        <v>2</v>
      </c>
      <c r="M16" s="88">
        <v>2</v>
      </c>
      <c r="N16" s="88">
        <v>2</v>
      </c>
      <c r="O16" s="88">
        <v>2</v>
      </c>
    </row>
    <row r="17" spans="2:15">
      <c r="C17" s="36" t="s">
        <v>128</v>
      </c>
      <c r="D17" s="88">
        <v>3.8</v>
      </c>
      <c r="E17" s="88">
        <v>3.8</v>
      </c>
      <c r="F17" s="88">
        <v>3.8</v>
      </c>
      <c r="G17" s="88">
        <v>3.8</v>
      </c>
      <c r="H17" s="88">
        <v>3.8</v>
      </c>
      <c r="I17" s="88">
        <v>3.8</v>
      </c>
      <c r="J17" s="88">
        <v>3.8</v>
      </c>
      <c r="K17" s="88">
        <v>3.8</v>
      </c>
      <c r="L17" s="88">
        <v>3.8</v>
      </c>
      <c r="M17" s="88">
        <v>3.8</v>
      </c>
      <c r="N17" s="88">
        <v>3.8</v>
      </c>
      <c r="O17" s="88">
        <v>3.8</v>
      </c>
    </row>
    <row r="18" spans="2:15">
      <c r="C18" s="36" t="s">
        <v>129</v>
      </c>
      <c r="D18" s="88">
        <v>2</v>
      </c>
      <c r="E18" s="88">
        <v>2</v>
      </c>
      <c r="F18" s="88">
        <v>2</v>
      </c>
      <c r="G18" s="88">
        <v>2</v>
      </c>
      <c r="H18" s="88">
        <v>2</v>
      </c>
      <c r="I18" s="88">
        <v>2</v>
      </c>
      <c r="J18" s="88">
        <v>2</v>
      </c>
      <c r="K18" s="88">
        <v>2</v>
      </c>
      <c r="L18" s="88">
        <v>2</v>
      </c>
      <c r="M18" s="88">
        <v>2</v>
      </c>
      <c r="N18" s="88">
        <v>2</v>
      </c>
      <c r="O18" s="88">
        <v>2</v>
      </c>
    </row>
    <row r="19" spans="2:15">
      <c r="C19" s="36" t="s">
        <v>130</v>
      </c>
      <c r="D19" s="88">
        <v>3.9</v>
      </c>
      <c r="E19" s="88">
        <v>3.9</v>
      </c>
      <c r="F19" s="88">
        <v>3.9</v>
      </c>
      <c r="G19" s="88">
        <v>3.9</v>
      </c>
      <c r="H19" s="88">
        <v>3.9</v>
      </c>
      <c r="I19" s="88">
        <v>3.9</v>
      </c>
      <c r="J19" s="88">
        <v>3.9</v>
      </c>
      <c r="K19" s="88">
        <v>3.9</v>
      </c>
      <c r="L19" s="88">
        <v>3.9</v>
      </c>
      <c r="M19" s="88">
        <v>3.9</v>
      </c>
      <c r="N19" s="88">
        <v>3.9</v>
      </c>
      <c r="O19" s="88">
        <v>3.9</v>
      </c>
    </row>
    <row r="20" spans="2:15">
      <c r="C20" s="36" t="s">
        <v>131</v>
      </c>
      <c r="D20" s="88">
        <v>3.5</v>
      </c>
      <c r="E20" s="88">
        <v>3.5</v>
      </c>
      <c r="F20" s="88">
        <v>3.5</v>
      </c>
      <c r="G20" s="88">
        <v>3.5</v>
      </c>
      <c r="H20" s="88">
        <v>3.5</v>
      </c>
      <c r="I20" s="88">
        <v>3.5</v>
      </c>
      <c r="J20" s="88">
        <v>3.5</v>
      </c>
      <c r="K20" s="88">
        <v>3.5</v>
      </c>
      <c r="L20" s="88">
        <v>3.5</v>
      </c>
      <c r="M20" s="88">
        <v>3.5</v>
      </c>
      <c r="N20" s="88">
        <v>3.5</v>
      </c>
      <c r="O20" s="88">
        <v>3.5</v>
      </c>
    </row>
    <row r="21" spans="2:15">
      <c r="C21" s="37" t="s">
        <v>132</v>
      </c>
      <c r="D21" s="88">
        <v>3.9</v>
      </c>
      <c r="E21" s="88">
        <v>3.9</v>
      </c>
      <c r="F21" s="88">
        <v>3.9</v>
      </c>
      <c r="G21" s="88">
        <v>3.9</v>
      </c>
      <c r="H21" s="88">
        <v>3.9</v>
      </c>
      <c r="I21" s="88">
        <v>3.9</v>
      </c>
      <c r="J21" s="88">
        <v>3.9</v>
      </c>
      <c r="K21" s="88">
        <v>3.9</v>
      </c>
      <c r="L21" s="88">
        <v>3.9</v>
      </c>
      <c r="M21" s="88">
        <v>3.9</v>
      </c>
      <c r="N21" s="88">
        <v>3.9</v>
      </c>
      <c r="O21" s="88">
        <v>3.9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3.8</v>
      </c>
      <c r="E24" s="88">
        <v>3.8</v>
      </c>
      <c r="F24" s="88">
        <v>3.8</v>
      </c>
      <c r="G24" s="88">
        <v>3.8</v>
      </c>
      <c r="H24" s="88">
        <v>3.8</v>
      </c>
      <c r="I24" s="88">
        <v>3.8</v>
      </c>
      <c r="J24" s="88">
        <v>3.8</v>
      </c>
      <c r="K24" s="88">
        <v>3.8</v>
      </c>
      <c r="L24" s="88">
        <v>3.8</v>
      </c>
      <c r="M24" s="88">
        <v>3.8</v>
      </c>
      <c r="N24" s="88">
        <v>3.8</v>
      </c>
      <c r="O24" s="88">
        <v>3.8</v>
      </c>
    </row>
    <row r="25" spans="2:15">
      <c r="C25" s="36" t="s">
        <v>127</v>
      </c>
      <c r="D25" s="88">
        <v>3.8</v>
      </c>
      <c r="E25" s="88">
        <v>3.8</v>
      </c>
      <c r="F25" s="88">
        <v>3.8</v>
      </c>
      <c r="G25" s="88">
        <v>3.8</v>
      </c>
      <c r="H25" s="88">
        <v>3.8</v>
      </c>
      <c r="I25" s="88">
        <v>3.8</v>
      </c>
      <c r="J25" s="88">
        <v>3.8</v>
      </c>
      <c r="K25" s="88">
        <v>3.8</v>
      </c>
      <c r="L25" s="88">
        <v>3.8</v>
      </c>
      <c r="M25" s="88">
        <v>3.8</v>
      </c>
      <c r="N25" s="88">
        <v>3.8</v>
      </c>
      <c r="O25" s="88">
        <v>3.8</v>
      </c>
    </row>
    <row r="26" spans="2:15">
      <c r="C26" s="36" t="s">
        <v>128</v>
      </c>
      <c r="D26" s="88">
        <v>3.9</v>
      </c>
      <c r="E26" s="88">
        <v>3.9</v>
      </c>
      <c r="F26" s="88">
        <v>3.9</v>
      </c>
      <c r="G26" s="88">
        <v>3.9</v>
      </c>
      <c r="H26" s="88">
        <v>3.9</v>
      </c>
      <c r="I26" s="88">
        <v>3.9</v>
      </c>
      <c r="J26" s="88">
        <v>3.9</v>
      </c>
      <c r="K26" s="88">
        <v>3.9</v>
      </c>
      <c r="L26" s="88">
        <v>3.9</v>
      </c>
      <c r="M26" s="88">
        <v>3.9</v>
      </c>
      <c r="N26" s="88">
        <v>3.9</v>
      </c>
      <c r="O26" s="88">
        <v>3.9</v>
      </c>
    </row>
    <row r="27" spans="2:15">
      <c r="C27" s="36" t="s">
        <v>129</v>
      </c>
      <c r="D27" s="88">
        <v>3.9</v>
      </c>
      <c r="E27" s="88">
        <v>3.9</v>
      </c>
      <c r="F27" s="88">
        <v>3.9</v>
      </c>
      <c r="G27" s="88">
        <v>3.9</v>
      </c>
      <c r="H27" s="88">
        <v>3.9</v>
      </c>
      <c r="I27" s="88">
        <v>3.9</v>
      </c>
      <c r="J27" s="88">
        <v>3.9</v>
      </c>
      <c r="K27" s="88">
        <v>3.9</v>
      </c>
      <c r="L27" s="88">
        <v>3.9</v>
      </c>
      <c r="M27" s="88">
        <v>3.9</v>
      </c>
      <c r="N27" s="88">
        <v>3.9</v>
      </c>
      <c r="O27" s="88">
        <v>3.9</v>
      </c>
    </row>
    <row r="28" spans="2:15">
      <c r="C28" s="36" t="s">
        <v>130</v>
      </c>
      <c r="D28" s="88">
        <v>3.8</v>
      </c>
      <c r="E28" s="88">
        <v>3.8</v>
      </c>
      <c r="F28" s="88">
        <v>3.8</v>
      </c>
      <c r="G28" s="88">
        <v>3.8</v>
      </c>
      <c r="H28" s="88">
        <v>3.8</v>
      </c>
      <c r="I28" s="88">
        <v>3.8</v>
      </c>
      <c r="J28" s="88">
        <v>3.8</v>
      </c>
      <c r="K28" s="88">
        <v>3.8</v>
      </c>
      <c r="L28" s="88">
        <v>3.8</v>
      </c>
      <c r="M28" s="88">
        <v>3.8</v>
      </c>
      <c r="N28" s="88">
        <v>3.8</v>
      </c>
      <c r="O28" s="88">
        <v>3.8</v>
      </c>
    </row>
    <row r="29" spans="2:15">
      <c r="C29" s="36" t="s">
        <v>131</v>
      </c>
      <c r="D29" s="88">
        <v>3.8</v>
      </c>
      <c r="E29" s="88">
        <v>3.8</v>
      </c>
      <c r="F29" s="88">
        <v>3.8</v>
      </c>
      <c r="G29" s="88">
        <v>3.8</v>
      </c>
      <c r="H29" s="88">
        <v>3.8</v>
      </c>
      <c r="I29" s="88">
        <v>3.8</v>
      </c>
      <c r="J29" s="88">
        <v>3.8</v>
      </c>
      <c r="K29" s="88">
        <v>3.8</v>
      </c>
      <c r="L29" s="88">
        <v>3.8</v>
      </c>
      <c r="M29" s="88">
        <v>3.8</v>
      </c>
      <c r="N29" s="88">
        <v>3.8</v>
      </c>
      <c r="O29" s="88">
        <v>3.8</v>
      </c>
    </row>
    <row r="30" spans="2:15">
      <c r="C30" s="37" t="s">
        <v>132</v>
      </c>
      <c r="D30" s="88">
        <v>3.8</v>
      </c>
      <c r="E30" s="88">
        <v>3.8</v>
      </c>
      <c r="F30" s="88">
        <v>3.8</v>
      </c>
      <c r="G30" s="88">
        <v>3.8</v>
      </c>
      <c r="H30" s="88">
        <v>3.8</v>
      </c>
      <c r="I30" s="88">
        <v>3.8</v>
      </c>
      <c r="J30" s="88">
        <v>3.8</v>
      </c>
      <c r="K30" s="88">
        <v>3.8</v>
      </c>
      <c r="L30" s="88">
        <v>3.8</v>
      </c>
      <c r="M30" s="88">
        <v>3.8</v>
      </c>
      <c r="N30" s="88">
        <v>3.8</v>
      </c>
      <c r="O30" s="88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3.8</v>
      </c>
      <c r="E33" s="88">
        <v>3.8</v>
      </c>
      <c r="F33" s="88">
        <v>3.8</v>
      </c>
      <c r="G33" s="88">
        <v>3.8</v>
      </c>
      <c r="H33" s="88">
        <v>3.8</v>
      </c>
      <c r="I33" s="88">
        <v>3.8</v>
      </c>
      <c r="J33" s="88">
        <v>3.8</v>
      </c>
      <c r="K33" s="88">
        <v>3.8</v>
      </c>
      <c r="L33" s="88">
        <v>3.8</v>
      </c>
      <c r="M33" s="88">
        <v>3.8</v>
      </c>
      <c r="N33" s="88">
        <v>3.8</v>
      </c>
      <c r="O33" s="88">
        <v>3.8</v>
      </c>
    </row>
    <row r="34" spans="3:15">
      <c r="C34" s="36" t="s">
        <v>127</v>
      </c>
      <c r="D34" s="88">
        <v>3.8</v>
      </c>
      <c r="E34" s="88">
        <v>3.8</v>
      </c>
      <c r="F34" s="88">
        <v>3.8</v>
      </c>
      <c r="G34" s="88">
        <v>3.8</v>
      </c>
      <c r="H34" s="88">
        <v>3.8</v>
      </c>
      <c r="I34" s="88">
        <v>3.8</v>
      </c>
      <c r="J34" s="88">
        <v>3.8</v>
      </c>
      <c r="K34" s="88">
        <v>3.8</v>
      </c>
      <c r="L34" s="88">
        <v>3.8</v>
      </c>
      <c r="M34" s="88">
        <v>3.8</v>
      </c>
      <c r="N34" s="88">
        <v>3.8</v>
      </c>
      <c r="O34" s="88">
        <v>3.8</v>
      </c>
    </row>
    <row r="35" spans="3:15">
      <c r="C35" s="36" t="s">
        <v>128</v>
      </c>
      <c r="D35" s="88">
        <v>3.9</v>
      </c>
      <c r="E35" s="88">
        <v>3.9</v>
      </c>
      <c r="F35" s="88">
        <v>3.9</v>
      </c>
      <c r="G35" s="88">
        <v>3.9</v>
      </c>
      <c r="H35" s="88">
        <v>3.9</v>
      </c>
      <c r="I35" s="88">
        <v>3.9</v>
      </c>
      <c r="J35" s="88">
        <v>3.9</v>
      </c>
      <c r="K35" s="88">
        <v>3.9</v>
      </c>
      <c r="L35" s="88">
        <v>3.9</v>
      </c>
      <c r="M35" s="88">
        <v>3.9</v>
      </c>
      <c r="N35" s="88">
        <v>3.9</v>
      </c>
      <c r="O35" s="88">
        <v>3.9</v>
      </c>
    </row>
    <row r="36" spans="3:15">
      <c r="C36" s="36" t="s">
        <v>129</v>
      </c>
      <c r="D36" s="88">
        <v>3.9</v>
      </c>
      <c r="E36" s="88">
        <v>3.9</v>
      </c>
      <c r="F36" s="88">
        <v>3.9</v>
      </c>
      <c r="G36" s="88">
        <v>3.9</v>
      </c>
      <c r="H36" s="88">
        <v>3.9</v>
      </c>
      <c r="I36" s="88">
        <v>3.9</v>
      </c>
      <c r="J36" s="88">
        <v>3.9</v>
      </c>
      <c r="K36" s="88">
        <v>3.9</v>
      </c>
      <c r="L36" s="88">
        <v>3.9</v>
      </c>
      <c r="M36" s="88">
        <v>3.9</v>
      </c>
      <c r="N36" s="88">
        <v>3.9</v>
      </c>
      <c r="O36" s="88">
        <v>3.9</v>
      </c>
    </row>
    <row r="37" spans="3:15">
      <c r="C37" s="36" t="s">
        <v>130</v>
      </c>
      <c r="D37" s="88">
        <v>3.8</v>
      </c>
      <c r="E37" s="88">
        <v>3.8</v>
      </c>
      <c r="F37" s="88">
        <v>3.8</v>
      </c>
      <c r="G37" s="88">
        <v>3.8</v>
      </c>
      <c r="H37" s="88">
        <v>3.8</v>
      </c>
      <c r="I37" s="88">
        <v>3.8</v>
      </c>
      <c r="J37" s="88">
        <v>3.8</v>
      </c>
      <c r="K37" s="88">
        <v>3.8</v>
      </c>
      <c r="L37" s="88">
        <v>3.8</v>
      </c>
      <c r="M37" s="88">
        <v>3.8</v>
      </c>
      <c r="N37" s="88">
        <v>3.8</v>
      </c>
      <c r="O37" s="88">
        <v>3.8</v>
      </c>
    </row>
    <row r="38" spans="3:15">
      <c r="C38" s="36" t="s">
        <v>131</v>
      </c>
      <c r="D38" s="88">
        <v>3.8</v>
      </c>
      <c r="E38" s="88">
        <v>3.8</v>
      </c>
      <c r="F38" s="88">
        <v>3.8</v>
      </c>
      <c r="G38" s="88">
        <v>3.8</v>
      </c>
      <c r="H38" s="88">
        <v>3.8</v>
      </c>
      <c r="I38" s="88">
        <v>3.8</v>
      </c>
      <c r="J38" s="88">
        <v>3.8</v>
      </c>
      <c r="K38" s="88">
        <v>3.8</v>
      </c>
      <c r="L38" s="88">
        <v>3.8</v>
      </c>
      <c r="M38" s="88">
        <v>3.8</v>
      </c>
      <c r="N38" s="88">
        <v>3.8</v>
      </c>
      <c r="O38" s="88">
        <v>3.8</v>
      </c>
    </row>
    <row r="39" spans="3:15">
      <c r="C39" s="37" t="s">
        <v>132</v>
      </c>
      <c r="D39" s="88">
        <v>3.8</v>
      </c>
      <c r="E39" s="88">
        <v>3.8</v>
      </c>
      <c r="F39" s="88">
        <v>3.8</v>
      </c>
      <c r="G39" s="88">
        <v>3.8</v>
      </c>
      <c r="H39" s="88">
        <v>3.8</v>
      </c>
      <c r="I39" s="88">
        <v>3.8</v>
      </c>
      <c r="J39" s="88">
        <v>3.8</v>
      </c>
      <c r="K39" s="88">
        <v>3.8</v>
      </c>
      <c r="L39" s="88">
        <v>3.8</v>
      </c>
      <c r="M39" s="88">
        <v>3.8</v>
      </c>
      <c r="N39" s="88">
        <v>3.8</v>
      </c>
      <c r="O39" s="88">
        <v>3.8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baseColWidth="10" defaultColWidth="8.83203125" defaultRowHeight="12" x14ac:dyDescent="0"/>
  <cols>
    <col min="1" max="1" width="4.6640625" style="99" customWidth="1"/>
    <col min="2" max="6" width="8.83203125" style="99"/>
    <col min="7" max="7" width="2.6640625" style="99" customWidth="1"/>
    <col min="8" max="8" width="11.1640625" style="99" customWidth="1"/>
    <col min="9" max="10" width="8.83203125" style="99"/>
    <col min="11" max="12" width="4.6640625" style="99" customWidth="1"/>
    <col min="13" max="17" width="8.83203125" style="99"/>
    <col min="18" max="18" width="2.6640625" style="99" customWidth="1"/>
    <col min="19" max="19" width="14.6640625" style="99" customWidth="1"/>
    <col min="20" max="20" width="16.6640625" style="99" customWidth="1"/>
    <col min="21" max="21" width="4.6640625" style="99" customWidth="1"/>
    <col min="22" max="16384" width="8.83203125" style="99"/>
  </cols>
  <sheetData>
    <row r="1" spans="1:20">
      <c r="A1" s="178"/>
    </row>
    <row r="2" spans="1:20" ht="15">
      <c r="C2" s="206" t="s">
        <v>165</v>
      </c>
      <c r="D2" s="206"/>
      <c r="E2" s="206"/>
      <c r="F2" s="206"/>
      <c r="G2" s="206"/>
      <c r="H2" s="206"/>
    </row>
    <row r="3" spans="1:20" ht="15">
      <c r="C3" s="179" t="s">
        <v>412</v>
      </c>
      <c r="D3" s="179"/>
      <c r="E3" s="179"/>
      <c r="F3" s="179"/>
      <c r="G3" s="179"/>
    </row>
    <row r="5" spans="1:20" ht="15">
      <c r="A5" s="180" t="s">
        <v>351</v>
      </c>
      <c r="B5" s="181"/>
      <c r="G5" s="182"/>
      <c r="L5" s="180" t="s">
        <v>352</v>
      </c>
      <c r="M5" s="181"/>
      <c r="R5" s="182"/>
    </row>
    <row r="6" spans="1:20">
      <c r="A6" s="183" t="s">
        <v>353</v>
      </c>
      <c r="B6" s="181"/>
      <c r="G6" s="184"/>
      <c r="H6" s="109"/>
      <c r="L6" s="183" t="s">
        <v>354</v>
      </c>
      <c r="M6" s="181"/>
      <c r="S6" s="124"/>
    </row>
    <row r="7" spans="1:20">
      <c r="A7" s="181"/>
      <c r="B7" s="181" t="s">
        <v>355</v>
      </c>
      <c r="G7" s="184"/>
      <c r="H7" s="185">
        <f>SUM(ORA!$D$116:$O$116)</f>
        <v>37567</v>
      </c>
      <c r="L7" s="181"/>
      <c r="M7" s="181" t="s">
        <v>355</v>
      </c>
      <c r="S7" s="186">
        <f>SUM(ORA!$D$127:$O$127)</f>
        <v>195998600</v>
      </c>
    </row>
    <row r="8" spans="1:20">
      <c r="A8" s="181"/>
      <c r="B8" s="181" t="s">
        <v>356</v>
      </c>
      <c r="G8" s="184"/>
      <c r="H8" s="187">
        <f>SUM(POJ!$D$116:$O$116)</f>
        <v>81518.953790762753</v>
      </c>
      <c r="L8" s="181"/>
      <c r="M8" s="181" t="s">
        <v>356</v>
      </c>
      <c r="S8" s="188">
        <f>SUM(POJ!$D$127:$O$127)</f>
        <v>388443570.79828769</v>
      </c>
    </row>
    <row r="9" spans="1:20">
      <c r="A9" s="181"/>
      <c r="B9" s="181" t="s">
        <v>357</v>
      </c>
      <c r="G9" s="184"/>
      <c r="H9" s="187">
        <f>SUM(ROJ!$D$116:$O$116)</f>
        <v>30489.564867812853</v>
      </c>
      <c r="L9" s="181"/>
      <c r="M9" s="181" t="s">
        <v>357</v>
      </c>
      <c r="S9" s="188">
        <f>SUM(ROJ!$D$127:$O$127)</f>
        <v>233289492.95419121</v>
      </c>
    </row>
    <row r="10" spans="1:20">
      <c r="A10" s="181"/>
      <c r="B10" s="181" t="s">
        <v>358</v>
      </c>
      <c r="G10" s="184"/>
      <c r="H10" s="189">
        <f>SUM(FCOJ!$D$116:$O$116)</f>
        <v>12358.966821412789</v>
      </c>
      <c r="L10" s="181"/>
      <c r="M10" s="181" t="s">
        <v>358</v>
      </c>
      <c r="S10" s="190">
        <f>SUM(FCOJ!$D$127:$O$127)</f>
        <v>94785100.745715305</v>
      </c>
    </row>
    <row r="11" spans="1:20">
      <c r="A11" s="181"/>
      <c r="B11" s="181"/>
      <c r="G11" s="184"/>
      <c r="M11" s="181" t="s">
        <v>359</v>
      </c>
      <c r="T11" s="191">
        <f>SUM($S$7:$S$10)</f>
        <v>912516764.4981941</v>
      </c>
    </row>
    <row r="12" spans="1:20">
      <c r="A12" s="183" t="s">
        <v>360</v>
      </c>
      <c r="B12" s="181"/>
      <c r="G12" s="184"/>
    </row>
    <row r="13" spans="1:20">
      <c r="A13" s="181"/>
      <c r="B13" s="181" t="s">
        <v>361</v>
      </c>
      <c r="G13" s="184"/>
      <c r="H13" s="192">
        <f>SUM(grove!$C$48:$AX$53)</f>
        <v>260882.4227260426</v>
      </c>
      <c r="L13" s="183" t="s">
        <v>362</v>
      </c>
      <c r="M13" s="181"/>
    </row>
    <row r="14" spans="1:20">
      <c r="A14" s="181"/>
      <c r="B14" s="181" t="s">
        <v>363</v>
      </c>
      <c r="G14" s="184"/>
      <c r="H14" s="185">
        <f>raw_materials!$P$30</f>
        <v>0</v>
      </c>
      <c r="L14" s="181"/>
      <c r="M14" s="181" t="s">
        <v>364</v>
      </c>
      <c r="S14" s="186">
        <f>SUM(grove!$C$58:$AX$63)</f>
        <v>385248994.03266919</v>
      </c>
    </row>
    <row r="15" spans="1:20">
      <c r="A15" s="181"/>
      <c r="B15" s="181" t="s">
        <v>365</v>
      </c>
      <c r="G15" s="184"/>
      <c r="H15" s="189">
        <f>raw_materials!$P$36</f>
        <v>0</v>
      </c>
      <c r="L15" s="181"/>
      <c r="M15" s="181" t="s">
        <v>366</v>
      </c>
      <c r="S15" s="188">
        <f>(raw_materials!D30*raw_materials!E30+raw_materials!F30*raw_materials!G30+raw_materials!H30*raw_materials!I30+raw_materials!J30*raw_materials!K30+raw_materials!L30*raw_materials!M30)*2000</f>
        <v>0</v>
      </c>
    </row>
    <row r="16" spans="1:20">
      <c r="A16" s="181"/>
      <c r="B16" s="181" t="s">
        <v>367</v>
      </c>
      <c r="G16" s="184"/>
      <c r="H16" s="193">
        <v>106578.30640309701</v>
      </c>
      <c r="L16" s="181"/>
      <c r="M16" s="181" t="s">
        <v>368</v>
      </c>
      <c r="S16" s="188">
        <f>(raw_materials!D36*raw_materials!E36+raw_materials!F36*raw_materials!G36+raw_materials!H36*raw_materials!I36+raw_materials!J36*raw_materials!K36+raw_materials!L36*raw_materials!M36)*2000</f>
        <v>0</v>
      </c>
    </row>
    <row r="17" spans="1:21">
      <c r="A17" s="181"/>
      <c r="B17" s="181" t="s">
        <v>369</v>
      </c>
      <c r="G17" s="184"/>
      <c r="H17" s="194">
        <v>83257.599437182886</v>
      </c>
      <c r="L17" s="181"/>
      <c r="M17" s="181" t="s">
        <v>370</v>
      </c>
      <c r="S17" s="188">
        <v>68870497.997793376</v>
      </c>
    </row>
    <row r="18" spans="1:21">
      <c r="A18" s="181"/>
      <c r="B18" s="181" t="s">
        <v>371</v>
      </c>
      <c r="G18" s="184"/>
      <c r="H18" s="195">
        <v>67774.901274776363</v>
      </c>
      <c r="L18" s="181"/>
      <c r="M18" s="181" t="s">
        <v>372</v>
      </c>
      <c r="S18" s="190">
        <v>0</v>
      </c>
    </row>
    <row r="19" spans="1:21">
      <c r="A19" s="181"/>
      <c r="B19" s="181" t="s">
        <v>373</v>
      </c>
      <c r="G19" s="184"/>
      <c r="H19" s="194">
        <v>18087.174050000005</v>
      </c>
      <c r="L19" s="181"/>
      <c r="M19" s="181" t="s">
        <v>374</v>
      </c>
      <c r="S19" s="196" t="s">
        <v>375</v>
      </c>
      <c r="T19" s="197">
        <f>SUM($S$14:$S$18)</f>
        <v>454119492.03046256</v>
      </c>
      <c r="U19" s="99" t="s">
        <v>376</v>
      </c>
    </row>
    <row r="20" spans="1:21">
      <c r="A20" s="181"/>
      <c r="B20" s="181" t="s">
        <v>377</v>
      </c>
      <c r="G20" s="184"/>
      <c r="H20" s="189">
        <v>45744.98738842702</v>
      </c>
      <c r="L20" s="181"/>
      <c r="M20" s="181"/>
    </row>
    <row r="21" spans="1:21">
      <c r="A21" s="181"/>
      <c r="B21" s="181"/>
      <c r="G21" s="184"/>
      <c r="L21" s="183" t="s">
        <v>378</v>
      </c>
      <c r="M21" s="181"/>
      <c r="S21" s="124"/>
    </row>
    <row r="22" spans="1:21">
      <c r="A22" s="183" t="s">
        <v>379</v>
      </c>
      <c r="B22" s="181"/>
      <c r="G22" s="184"/>
      <c r="L22" s="181"/>
      <c r="M22" s="181" t="s">
        <v>380</v>
      </c>
      <c r="S22" s="188">
        <v>213156612.80619401</v>
      </c>
    </row>
    <row r="23" spans="1:21">
      <c r="A23" s="181"/>
      <c r="B23" s="181" t="s">
        <v>381</v>
      </c>
      <c r="G23" s="184"/>
      <c r="H23" s="185">
        <f>SUM(raw_materials!$O$31:$O$35)</f>
        <v>24000</v>
      </c>
      <c r="L23" s="181"/>
      <c r="M23" s="181" t="s">
        <v>382</v>
      </c>
      <c r="S23" s="188">
        <v>83257599.437182933</v>
      </c>
    </row>
    <row r="24" spans="1:21">
      <c r="A24" s="181"/>
      <c r="B24" s="181" t="s">
        <v>383</v>
      </c>
      <c r="G24" s="184"/>
      <c r="H24" s="189">
        <f>SUM(raw_materials!$O$37:$O$41)</f>
        <v>55000</v>
      </c>
      <c r="L24" s="181"/>
      <c r="M24" s="181" t="s">
        <v>384</v>
      </c>
      <c r="S24" s="190">
        <v>44053685.828604639</v>
      </c>
    </row>
    <row r="25" spans="1:21">
      <c r="A25" s="181"/>
      <c r="B25" s="181"/>
      <c r="G25" s="184"/>
      <c r="L25" s="181"/>
      <c r="M25" s="181" t="s">
        <v>385</v>
      </c>
      <c r="S25" s="196" t="s">
        <v>375</v>
      </c>
      <c r="T25" s="197">
        <f>SUM($S$22:$S$24)</f>
        <v>340467898.07198161</v>
      </c>
      <c r="U25" s="99" t="s">
        <v>376</v>
      </c>
    </row>
    <row r="26" spans="1:21">
      <c r="A26" s="183" t="s">
        <v>386</v>
      </c>
      <c r="B26" s="181"/>
      <c r="G26" s="184"/>
      <c r="L26" s="181"/>
      <c r="M26" s="181"/>
    </row>
    <row r="27" spans="1:21">
      <c r="A27" s="181"/>
      <c r="B27" s="181" t="s">
        <v>387</v>
      </c>
      <c r="G27" s="184"/>
      <c r="H27" s="185">
        <f>SUMIF(facilities!$C$6:$C$15,"&gt;0",facilities!$C$6:$C$15)</f>
        <v>655</v>
      </c>
      <c r="L27" s="183" t="s">
        <v>388</v>
      </c>
      <c r="M27" s="181"/>
    </row>
    <row r="28" spans="1:21">
      <c r="A28" s="181"/>
      <c r="B28" s="181" t="s">
        <v>389</v>
      </c>
      <c r="G28" s="184"/>
      <c r="H28" s="187">
        <f>SUMIF(facilities!$C$36:$C$106,"&gt;0",facilities!$C$36:$C$106)</f>
        <v>10000</v>
      </c>
      <c r="L28" s="181"/>
      <c r="M28" s="181" t="s">
        <v>390</v>
      </c>
      <c r="S28" s="186">
        <v>58995360</v>
      </c>
    </row>
    <row r="29" spans="1:21">
      <c r="A29" s="181"/>
      <c r="B29" s="181" t="s">
        <v>391</v>
      </c>
      <c r="G29" s="184"/>
      <c r="H29" s="187">
        <f>SUMIF(facilities!$C$6:$C$15,"&lt;0",facilities!$C$6:$C$15)</f>
        <v>0</v>
      </c>
      <c r="L29" s="181"/>
      <c r="M29" s="181" t="s">
        <v>392</v>
      </c>
      <c r="S29" s="188">
        <v>71819752.947754875</v>
      </c>
    </row>
    <row r="30" spans="1:21">
      <c r="A30" s="181"/>
      <c r="B30" s="181" t="s">
        <v>393</v>
      </c>
      <c r="G30" s="184"/>
      <c r="H30" s="189">
        <f>SUMIF(facilities!$C$36:$C$106,"&lt;0",facilities!$C$36:$C$106)</f>
        <v>-26000</v>
      </c>
      <c r="L30" s="181"/>
      <c r="M30" s="181" t="s">
        <v>394</v>
      </c>
      <c r="S30" s="188">
        <v>59278613.122514546</v>
      </c>
    </row>
    <row r="31" spans="1:21">
      <c r="L31" s="181"/>
      <c r="M31" s="181" t="s">
        <v>395</v>
      </c>
      <c r="S31" s="190">
        <f>SUM(ORA!D138:O138)+SUM(POJ!D138:O138)+SUM(ROJ!D138:O138)+SUM(FCOJ!D138:O138)</f>
        <v>130186149.51743279</v>
      </c>
    </row>
    <row r="32" spans="1:21">
      <c r="A32" s="183" t="s">
        <v>396</v>
      </c>
      <c r="B32" s="181"/>
      <c r="G32" s="184"/>
      <c r="L32" s="181"/>
      <c r="M32" s="181" t="s">
        <v>397</v>
      </c>
      <c r="S32" s="112" t="s">
        <v>375</v>
      </c>
      <c r="T32" s="197">
        <f>SUM($S$28:$S$31)</f>
        <v>320279875.58770221</v>
      </c>
      <c r="U32" s="99" t="s">
        <v>376</v>
      </c>
    </row>
    <row r="33" spans="1:21">
      <c r="A33" s="181"/>
      <c r="B33" s="181" t="s">
        <v>398</v>
      </c>
      <c r="G33" s="184"/>
      <c r="H33" s="185">
        <f>COUNTIF(facilities!$H$6:$H$15,"=new")</f>
        <v>0</v>
      </c>
      <c r="M33" s="181"/>
    </row>
    <row r="34" spans="1:21">
      <c r="A34" s="181"/>
      <c r="B34" s="181" t="s">
        <v>399</v>
      </c>
      <c r="G34" s="184"/>
      <c r="H34" s="187">
        <f>COUNTIF(facilities!$H$36:$H$106,"=new")</f>
        <v>1</v>
      </c>
      <c r="L34" s="183" t="s">
        <v>400</v>
      </c>
      <c r="M34" s="181"/>
    </row>
    <row r="35" spans="1:21">
      <c r="B35" s="181" t="s">
        <v>18</v>
      </c>
      <c r="H35" s="189">
        <f>SUMIF(facilities!$C$21:$C$30,"&gt;0",facilities!$C$21:$C$30)</f>
        <v>36</v>
      </c>
      <c r="L35" s="181"/>
      <c r="M35" s="181" t="s">
        <v>401</v>
      </c>
      <c r="S35" s="186">
        <v>35085000</v>
      </c>
    </row>
    <row r="36" spans="1:21">
      <c r="L36" s="181"/>
      <c r="M36" s="181" t="s">
        <v>402</v>
      </c>
      <c r="S36" s="188">
        <f>H33*12000000-H38*70/100*12000000</f>
        <v>0</v>
      </c>
    </row>
    <row r="37" spans="1:21">
      <c r="A37" s="183" t="s">
        <v>403</v>
      </c>
      <c r="L37" s="181"/>
      <c r="M37" s="181" t="s">
        <v>404</v>
      </c>
      <c r="S37" s="188">
        <f>H27*8000+H29*70/100*8000</f>
        <v>5240000</v>
      </c>
    </row>
    <row r="38" spans="1:21">
      <c r="B38" s="181" t="s">
        <v>398</v>
      </c>
      <c r="H38" s="185">
        <f>COUNTIF(facilities!$H$6:$H$15,"=sold")</f>
        <v>0</v>
      </c>
      <c r="L38" s="181"/>
      <c r="M38" s="181" t="s">
        <v>405</v>
      </c>
      <c r="S38" s="188">
        <v>80650000</v>
      </c>
    </row>
    <row r="39" spans="1:21">
      <c r="B39" s="181" t="s">
        <v>399</v>
      </c>
      <c r="H39" s="187">
        <f>COUNTIF(facilities!$H$36:$H$106,"=sold")</f>
        <v>0</v>
      </c>
      <c r="L39" s="181"/>
      <c r="M39" s="181" t="s">
        <v>406</v>
      </c>
      <c r="S39" s="188">
        <f>H34*9000000-H39*80/100*9000000</f>
        <v>9000000</v>
      </c>
    </row>
    <row r="40" spans="1:21">
      <c r="B40" s="181" t="s">
        <v>18</v>
      </c>
      <c r="H40" s="189">
        <f>-SUMIF(facilities!$C$21:$C$30,"&lt;0",facilities!$C$21:$C$30)</f>
        <v>0</v>
      </c>
      <c r="L40" s="181"/>
      <c r="M40" s="181" t="s">
        <v>407</v>
      </c>
      <c r="S40" s="188">
        <f>H28*6000+H30*80/100*6000</f>
        <v>-64800000</v>
      </c>
    </row>
    <row r="41" spans="1:21">
      <c r="L41" s="181"/>
      <c r="M41" s="181" t="s">
        <v>408</v>
      </c>
      <c r="S41" s="188">
        <v>22300</v>
      </c>
    </row>
    <row r="42" spans="1:21">
      <c r="L42" s="181"/>
      <c r="M42" s="181" t="s">
        <v>409</v>
      </c>
      <c r="S42" s="190">
        <f>H35*100000-H40*60/100*100000</f>
        <v>3600000</v>
      </c>
    </row>
    <row r="43" spans="1:21">
      <c r="L43" s="181"/>
      <c r="M43" s="181" t="s">
        <v>410</v>
      </c>
      <c r="S43" s="176" t="s">
        <v>375</v>
      </c>
      <c r="T43" s="197">
        <f>SUM($S$35:$S$42)</f>
        <v>68797300</v>
      </c>
      <c r="U43" s="99" t="s">
        <v>376</v>
      </c>
    </row>
    <row r="44" spans="1:21">
      <c r="L44" s="181"/>
      <c r="S44" s="109"/>
    </row>
    <row r="45" spans="1:21" ht="13" thickBot="1">
      <c r="L45" s="198" t="s">
        <v>411</v>
      </c>
      <c r="M45" s="181"/>
      <c r="T45" s="199">
        <f>$T$11-$T$19-$T$25-$T$32-$T$43</f>
        <v>-271147801.19195229</v>
      </c>
    </row>
    <row r="46" spans="1:21" ht="13" thickTop="1">
      <c r="M46" s="181"/>
    </row>
    <row r="316" spans="1:1">
      <c r="A316" s="178"/>
    </row>
    <row r="317" spans="1:1">
      <c r="A317" s="178"/>
    </row>
    <row r="318" spans="1:1">
      <c r="A318" s="178"/>
    </row>
    <row r="319" spans="1:1">
      <c r="A319" s="178"/>
    </row>
    <row r="320" spans="1:1">
      <c r="A320" s="178"/>
    </row>
    <row r="321" spans="1:1">
      <c r="A321" s="178"/>
    </row>
    <row r="322" spans="1:1">
      <c r="A322" s="178"/>
    </row>
    <row r="323" spans="1:1">
      <c r="A323" s="178"/>
    </row>
    <row r="325" spans="1:1">
      <c r="A325" s="178"/>
    </row>
    <row r="326" spans="1:1">
      <c r="A326" s="178"/>
    </row>
    <row r="327" spans="1:1">
      <c r="A327" s="178"/>
    </row>
    <row r="328" spans="1:1">
      <c r="A328" s="178"/>
    </row>
    <row r="329" spans="1:1">
      <c r="A329" s="178"/>
    </row>
    <row r="330" spans="1:1">
      <c r="A330" s="178"/>
    </row>
    <row r="331" spans="1:1">
      <c r="A331" s="178"/>
    </row>
    <row r="332" spans="1:1">
      <c r="A332" s="178"/>
    </row>
    <row r="334" spans="1:1">
      <c r="A334" s="178"/>
    </row>
    <row r="335" spans="1:1">
      <c r="A335" s="178"/>
    </row>
    <row r="336" spans="1:1">
      <c r="A336" s="178"/>
    </row>
    <row r="337" spans="1:1">
      <c r="A337" s="178"/>
    </row>
    <row r="338" spans="1:1">
      <c r="A338" s="178"/>
    </row>
    <row r="339" spans="1:1">
      <c r="A339" s="178"/>
    </row>
    <row r="340" spans="1:1">
      <c r="A340" s="178"/>
    </row>
    <row r="341" spans="1:1">
      <c r="A341" s="178"/>
    </row>
    <row r="343" spans="1:1">
      <c r="A343" s="178"/>
    </row>
    <row r="344" spans="1:1">
      <c r="A344" s="178"/>
    </row>
    <row r="345" spans="1:1">
      <c r="A345" s="178"/>
    </row>
    <row r="346" spans="1:1">
      <c r="A346" s="178"/>
    </row>
    <row r="347" spans="1:1">
      <c r="A347" s="178"/>
    </row>
    <row r="348" spans="1:1">
      <c r="A348" s="178"/>
    </row>
    <row r="349" spans="1:1">
      <c r="A349" s="178"/>
    </row>
    <row r="350" spans="1:1">
      <c r="A350" s="178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99" customWidth="1"/>
    <col min="2" max="2" width="15.6640625" style="99" customWidth="1"/>
    <col min="3" max="16384" width="8.83203125" style="99"/>
  </cols>
  <sheetData>
    <row r="2" spans="2:14">
      <c r="B2" s="101" t="s">
        <v>312</v>
      </c>
    </row>
    <row r="3" spans="2:14">
      <c r="B3" s="102" t="s">
        <v>313</v>
      </c>
    </row>
    <row r="4" spans="2:14">
      <c r="B4" s="169" t="s">
        <v>91</v>
      </c>
      <c r="C4" s="169" t="s">
        <v>92</v>
      </c>
      <c r="D4" s="169" t="s">
        <v>93</v>
      </c>
      <c r="E4" s="169" t="s">
        <v>94</v>
      </c>
      <c r="F4" s="169" t="s">
        <v>95</v>
      </c>
      <c r="G4" s="169" t="s">
        <v>96</v>
      </c>
      <c r="H4" s="169" t="s">
        <v>97</v>
      </c>
      <c r="I4" s="169" t="s">
        <v>98</v>
      </c>
      <c r="J4" s="169" t="s">
        <v>99</v>
      </c>
      <c r="K4" s="169" t="s">
        <v>100</v>
      </c>
      <c r="L4" s="169" t="s">
        <v>101</v>
      </c>
      <c r="M4" s="169" t="s">
        <v>102</v>
      </c>
      <c r="N4" s="169" t="s">
        <v>103</v>
      </c>
    </row>
    <row r="5" spans="2:14">
      <c r="B5" s="170" t="s">
        <v>104</v>
      </c>
      <c r="C5" s="99">
        <v>0.88275303217222678</v>
      </c>
      <c r="D5" s="99">
        <v>0.77035236962994946</v>
      </c>
      <c r="E5" s="99">
        <v>0.65650672488651463</v>
      </c>
      <c r="F5" s="99">
        <v>0.77228862484839256</v>
      </c>
      <c r="G5" s="99">
        <v>0.90788126533333957</v>
      </c>
      <c r="H5" s="99">
        <v>0.52759847168678509</v>
      </c>
      <c r="I5" s="99">
        <v>0.68416985132659791</v>
      </c>
      <c r="J5" s="99">
        <v>0.70353119981061152</v>
      </c>
      <c r="K5" s="99">
        <v>0.69318457940636913</v>
      </c>
      <c r="L5" s="99">
        <v>0.50196191605844465</v>
      </c>
      <c r="M5" s="99">
        <v>0.69137824627772992</v>
      </c>
      <c r="N5" s="99">
        <v>0.67066663596381204</v>
      </c>
    </row>
    <row r="6" spans="2:14">
      <c r="B6" s="170" t="s">
        <v>105</v>
      </c>
      <c r="C6" s="99">
        <v>0.71729329187412838</v>
      </c>
      <c r="D6" s="99">
        <v>0.71247525181501248</v>
      </c>
      <c r="E6" s="99">
        <v>0.71664968139548868</v>
      </c>
      <c r="F6" s="99">
        <v>0.77918498797180635</v>
      </c>
      <c r="G6" s="99">
        <v>0.86874060074397341</v>
      </c>
      <c r="H6" s="99">
        <v>0.66921319437415105</v>
      </c>
      <c r="I6" s="99">
        <v>0.63259474109480862</v>
      </c>
      <c r="J6" s="99">
        <v>0.72256633139855087</v>
      </c>
      <c r="K6" s="99">
        <v>0.68966891252590712</v>
      </c>
      <c r="L6" s="99">
        <v>0.73735927978279592</v>
      </c>
      <c r="M6" s="99">
        <v>0.65908811994740735</v>
      </c>
      <c r="N6" s="99">
        <v>0.65057562034256966</v>
      </c>
    </row>
    <row r="7" spans="2:14">
      <c r="B7" s="170" t="s">
        <v>106</v>
      </c>
      <c r="C7" s="99">
        <v>0.77037955798017321</v>
      </c>
      <c r="D7" s="99">
        <v>0.72443279587287746</v>
      </c>
      <c r="E7" s="99">
        <v>0.77581845924703807</v>
      </c>
      <c r="F7" s="99">
        <v>0.77085988080829904</v>
      </c>
      <c r="G7" s="99">
        <v>0.7922420818332675</v>
      </c>
      <c r="H7" s="99">
        <v>0.72738984401965245</v>
      </c>
      <c r="I7" s="99">
        <v>0.74133143895843501</v>
      </c>
      <c r="J7" s="99">
        <v>0.68709328895212851</v>
      </c>
      <c r="K7" s="99">
        <v>0.69893347354776802</v>
      </c>
      <c r="L7" s="99">
        <v>0.70932656555914153</v>
      </c>
      <c r="M7" s="99">
        <v>0.74200844353872664</v>
      </c>
      <c r="N7" s="99">
        <v>0.97092480040221052</v>
      </c>
    </row>
    <row r="8" spans="2:14">
      <c r="B8" s="170" t="s">
        <v>107</v>
      </c>
      <c r="C8" s="99">
        <v>0.77911688721251049</v>
      </c>
      <c r="D8" s="99">
        <v>0.74195216638285544</v>
      </c>
      <c r="E8" s="99">
        <v>0.72035964256298912</v>
      </c>
      <c r="F8" s="99">
        <v>0.68654485608206184</v>
      </c>
      <c r="G8" s="99">
        <v>0.68728120406727</v>
      </c>
      <c r="H8" s="99">
        <v>0.75435991683108972</v>
      </c>
      <c r="I8" s="99">
        <v>0.71877411269178293</v>
      </c>
      <c r="J8" s="99">
        <v>0.75050554397142932</v>
      </c>
      <c r="K8" s="99">
        <v>0.70414351592233704</v>
      </c>
      <c r="L8" s="99">
        <v>0.85982113733646537</v>
      </c>
      <c r="M8" s="99">
        <v>0.7066792787586027</v>
      </c>
      <c r="N8" s="99">
        <v>0.66227539006583636</v>
      </c>
    </row>
    <row r="9" spans="2:14">
      <c r="B9" s="170" t="s">
        <v>108</v>
      </c>
      <c r="C9" s="99">
        <v>2.1041044867038727</v>
      </c>
      <c r="D9" s="99">
        <v>2.0800833320617675</v>
      </c>
      <c r="E9" s="99">
        <v>2.0430586612224579</v>
      </c>
      <c r="F9" s="99">
        <v>2.0751470780372618</v>
      </c>
      <c r="G9" s="99">
        <v>2.034588614702225</v>
      </c>
      <c r="H9" s="99">
        <v>2.0328936433792113</v>
      </c>
      <c r="I9" s="99">
        <v>2.0768396413326262</v>
      </c>
      <c r="J9" s="99">
        <v>2.0221683955192566</v>
      </c>
      <c r="K9" s="99">
        <v>2.0734318888187411</v>
      </c>
      <c r="L9" s="99">
        <v>2.1016421413421633</v>
      </c>
      <c r="M9" s="99">
        <v>2.0397591865062714</v>
      </c>
      <c r="N9" s="99">
        <v>2.0509146428108216</v>
      </c>
    </row>
    <row r="10" spans="2:14">
      <c r="B10" s="170" t="s">
        <v>109</v>
      </c>
      <c r="C10" s="99">
        <v>0.64967849850654602</v>
      </c>
      <c r="D10" s="99">
        <v>0.64044625759124763</v>
      </c>
      <c r="E10" s="99">
        <v>0.68571500182151801</v>
      </c>
      <c r="F10" s="99">
        <v>0.69094270467758179</v>
      </c>
      <c r="G10" s="99">
        <v>0.67090778946876528</v>
      </c>
      <c r="H10" s="99">
        <v>0.68781795501708987</v>
      </c>
      <c r="I10" s="99">
        <v>0.63542119860649116</v>
      </c>
      <c r="J10" s="99">
        <v>0.69136024713516242</v>
      </c>
      <c r="K10" s="99">
        <v>0.64604676365852354</v>
      </c>
      <c r="L10" s="99">
        <v>0.65822622776031492</v>
      </c>
      <c r="M10" s="99">
        <v>0.66172079443931586</v>
      </c>
      <c r="N10" s="99">
        <v>0.62488821744918821</v>
      </c>
    </row>
    <row r="11" spans="2:14">
      <c r="B11" s="171"/>
      <c r="C11" s="100"/>
      <c r="D11" s="100"/>
      <c r="E11" s="100"/>
      <c r="F11" s="100"/>
      <c r="G11" s="100"/>
    </row>
    <row r="12" spans="2:14">
      <c r="B12" s="103" t="s">
        <v>314</v>
      </c>
      <c r="C12" s="100"/>
      <c r="D12" s="100"/>
      <c r="E12" s="100"/>
      <c r="F12" s="100"/>
      <c r="G12" s="100"/>
    </row>
    <row r="13" spans="2:14">
      <c r="B13" s="170" t="s">
        <v>315</v>
      </c>
      <c r="C13" s="170" t="s">
        <v>92</v>
      </c>
      <c r="D13" s="170" t="s">
        <v>93</v>
      </c>
      <c r="E13" s="169" t="s">
        <v>94</v>
      </c>
      <c r="F13" s="169" t="s">
        <v>95</v>
      </c>
      <c r="G13" s="169" t="s">
        <v>96</v>
      </c>
      <c r="H13" s="169" t="s">
        <v>97</v>
      </c>
      <c r="I13" s="169" t="s">
        <v>98</v>
      </c>
      <c r="J13" s="169" t="s">
        <v>99</v>
      </c>
      <c r="K13" s="169" t="s">
        <v>100</v>
      </c>
      <c r="L13" s="169" t="s">
        <v>101</v>
      </c>
      <c r="M13" s="169" t="s">
        <v>102</v>
      </c>
      <c r="N13" s="169" t="s">
        <v>103</v>
      </c>
    </row>
    <row r="14" spans="2:14">
      <c r="B14" s="169" t="s">
        <v>316</v>
      </c>
      <c r="C14" s="100">
        <v>0.35990603858784803</v>
      </c>
      <c r="D14" s="100">
        <v>0.36124196431200883</v>
      </c>
      <c r="E14" s="100">
        <v>0.36257413098528429</v>
      </c>
      <c r="F14" s="100">
        <v>0.36389879013407139</v>
      </c>
      <c r="G14" s="100">
        <v>0.36521221440956914</v>
      </c>
      <c r="H14" s="99">
        <v>0.36651070807585734</v>
      </c>
      <c r="I14" s="99">
        <v>0.36779061740902175</v>
      </c>
      <c r="J14" s="99">
        <v>0.36904834097806594</v>
      </c>
      <c r="K14" s="99">
        <v>0.37028033977867986</v>
      </c>
      <c r="L14" s="99">
        <v>0.37148314719135123</v>
      </c>
      <c r="M14" s="99">
        <v>0.37265337873579968</v>
      </c>
      <c r="N14" s="99">
        <v>0.37378774159428568</v>
      </c>
    </row>
    <row r="15" spans="2:14">
      <c r="B15" s="169" t="s">
        <v>317</v>
      </c>
      <c r="C15" s="99">
        <v>1.1872999200077634</v>
      </c>
      <c r="D15" s="99">
        <v>1.1904478537447702</v>
      </c>
      <c r="E15" s="99">
        <v>1.1935869297714365</v>
      </c>
      <c r="F15" s="99">
        <v>1.1967083153014</v>
      </c>
      <c r="G15" s="99">
        <v>1.1998032273261239</v>
      </c>
      <c r="H15" s="99">
        <v>1.2028629573286778</v>
      </c>
      <c r="I15" s="99">
        <v>1.2058788957879132</v>
      </c>
      <c r="J15" s="99">
        <v>1.2088425564040823</v>
      </c>
      <c r="K15" s="99">
        <v>1.2117455999777365</v>
      </c>
      <c r="L15" s="99">
        <v>1.2145798578747082</v>
      </c>
      <c r="M15" s="99">
        <v>1.2173373550111548</v>
      </c>
      <c r="N15" s="99">
        <v>1.220010332293989</v>
      </c>
    </row>
    <row r="16" spans="2:14">
      <c r="B16" s="100"/>
    </row>
    <row r="17" spans="2:14">
      <c r="B17" s="102" t="s">
        <v>318</v>
      </c>
    </row>
    <row r="18" spans="2:14">
      <c r="B18" s="98" t="s">
        <v>91</v>
      </c>
      <c r="C18" s="98" t="s">
        <v>92</v>
      </c>
      <c r="D18" s="98" t="s">
        <v>93</v>
      </c>
      <c r="E18" s="98" t="s">
        <v>94</v>
      </c>
      <c r="F18" s="98" t="s">
        <v>95</v>
      </c>
      <c r="G18" s="98" t="s">
        <v>96</v>
      </c>
      <c r="H18" s="98" t="s">
        <v>97</v>
      </c>
      <c r="I18" s="98" t="s">
        <v>98</v>
      </c>
      <c r="J18" s="98" t="s">
        <v>99</v>
      </c>
      <c r="K18" s="98" t="s">
        <v>100</v>
      </c>
      <c r="L18" s="98" t="s">
        <v>101</v>
      </c>
      <c r="M18" s="98" t="s">
        <v>102</v>
      </c>
      <c r="N18" s="98" t="s">
        <v>103</v>
      </c>
    </row>
    <row r="19" spans="2:14">
      <c r="B19" s="172" t="s">
        <v>104</v>
      </c>
      <c r="C19" s="99">
        <f>C5</f>
        <v>0.88275303217222678</v>
      </c>
      <c r="D19" s="99">
        <f t="shared" ref="D19:N20" si="0">D5</f>
        <v>0.77035236962994946</v>
      </c>
      <c r="E19" s="99">
        <f t="shared" si="0"/>
        <v>0.65650672488651463</v>
      </c>
      <c r="F19" s="99">
        <f t="shared" si="0"/>
        <v>0.77228862484839256</v>
      </c>
      <c r="G19" s="99">
        <f t="shared" si="0"/>
        <v>0.90788126533333957</v>
      </c>
      <c r="H19" s="99">
        <f t="shared" si="0"/>
        <v>0.52759847168678509</v>
      </c>
      <c r="I19" s="99">
        <f t="shared" si="0"/>
        <v>0.68416985132659791</v>
      </c>
      <c r="J19" s="99">
        <f t="shared" si="0"/>
        <v>0.70353119981061152</v>
      </c>
      <c r="K19" s="99">
        <f t="shared" si="0"/>
        <v>0.69318457940636913</v>
      </c>
      <c r="L19" s="99">
        <f t="shared" si="0"/>
        <v>0.50196191605844465</v>
      </c>
      <c r="M19" s="99">
        <f t="shared" si="0"/>
        <v>0.69137824627772992</v>
      </c>
      <c r="N19" s="99">
        <f t="shared" si="0"/>
        <v>0.67066663596381204</v>
      </c>
    </row>
    <row r="20" spans="2:14">
      <c r="B20" s="172" t="s">
        <v>105</v>
      </c>
      <c r="C20" s="99">
        <f>C6</f>
        <v>0.71729329187412838</v>
      </c>
      <c r="D20" s="99">
        <f t="shared" si="0"/>
        <v>0.71247525181501248</v>
      </c>
      <c r="E20" s="99">
        <f t="shared" si="0"/>
        <v>0.71664968139548868</v>
      </c>
      <c r="F20" s="99">
        <f t="shared" si="0"/>
        <v>0.77918498797180635</v>
      </c>
      <c r="G20" s="99">
        <f t="shared" si="0"/>
        <v>0.86874060074397341</v>
      </c>
      <c r="H20" s="99">
        <f t="shared" si="0"/>
        <v>0.66921319437415105</v>
      </c>
      <c r="I20" s="99">
        <f t="shared" si="0"/>
        <v>0.63259474109480862</v>
      </c>
      <c r="J20" s="99">
        <f t="shared" si="0"/>
        <v>0.72256633139855087</v>
      </c>
      <c r="K20" s="99">
        <f t="shared" si="0"/>
        <v>0.68966891252590712</v>
      </c>
      <c r="L20" s="99">
        <f t="shared" si="0"/>
        <v>0.73735927978279592</v>
      </c>
      <c r="M20" s="99">
        <f t="shared" si="0"/>
        <v>0.65908811994740735</v>
      </c>
      <c r="N20" s="99">
        <f t="shared" si="0"/>
        <v>0.65057562034256966</v>
      </c>
    </row>
    <row r="21" spans="2:14">
      <c r="B21" s="172" t="s">
        <v>106</v>
      </c>
      <c r="C21" s="99">
        <f t="shared" ref="C21:N22" si="1">C7</f>
        <v>0.77037955798017321</v>
      </c>
      <c r="D21" s="99">
        <f t="shared" si="1"/>
        <v>0.72443279587287746</v>
      </c>
      <c r="E21" s="99">
        <f t="shared" si="1"/>
        <v>0.77581845924703807</v>
      </c>
      <c r="F21" s="99">
        <f t="shared" si="1"/>
        <v>0.77085988080829904</v>
      </c>
      <c r="G21" s="99">
        <f t="shared" si="1"/>
        <v>0.7922420818332675</v>
      </c>
      <c r="H21" s="99">
        <f t="shared" si="1"/>
        <v>0.72738984401965245</v>
      </c>
      <c r="I21" s="99">
        <f t="shared" si="1"/>
        <v>0.74133143895843501</v>
      </c>
      <c r="J21" s="99">
        <f t="shared" si="1"/>
        <v>0.68709328895212851</v>
      </c>
      <c r="K21" s="99">
        <f t="shared" si="1"/>
        <v>0.69893347354776802</v>
      </c>
      <c r="L21" s="99">
        <f t="shared" si="1"/>
        <v>0.70932656555914153</v>
      </c>
      <c r="M21" s="99">
        <f t="shared" si="1"/>
        <v>0.74200844353872664</v>
      </c>
      <c r="N21" s="99">
        <f t="shared" si="1"/>
        <v>0.97092480040221052</v>
      </c>
    </row>
    <row r="22" spans="2:14">
      <c r="B22" s="172" t="s">
        <v>107</v>
      </c>
      <c r="C22" s="99">
        <f t="shared" si="1"/>
        <v>0.77911688721251049</v>
      </c>
      <c r="D22" s="99">
        <f t="shared" si="1"/>
        <v>0.74195216638285544</v>
      </c>
      <c r="E22" s="99">
        <f t="shared" si="1"/>
        <v>0.72035964256298912</v>
      </c>
      <c r="F22" s="99">
        <f t="shared" si="1"/>
        <v>0.68654485608206184</v>
      </c>
      <c r="G22" s="99">
        <f t="shared" si="1"/>
        <v>0.68728120406727</v>
      </c>
      <c r="H22" s="99">
        <f t="shared" si="1"/>
        <v>0.75435991683108972</v>
      </c>
      <c r="I22" s="99">
        <f t="shared" si="1"/>
        <v>0.71877411269178293</v>
      </c>
      <c r="J22" s="99">
        <f t="shared" si="1"/>
        <v>0.75050554397142932</v>
      </c>
      <c r="K22" s="99">
        <f t="shared" si="1"/>
        <v>0.70414351592233704</v>
      </c>
      <c r="L22" s="99">
        <f t="shared" si="1"/>
        <v>0.85982113733646537</v>
      </c>
      <c r="M22" s="99">
        <f t="shared" si="1"/>
        <v>0.7066792787586027</v>
      </c>
      <c r="N22" s="99">
        <f t="shared" si="1"/>
        <v>0.66227539006583636</v>
      </c>
    </row>
    <row r="23" spans="2:14">
      <c r="B23" s="172" t="s">
        <v>108</v>
      </c>
      <c r="C23" s="99">
        <f>C9*C14</f>
        <v>0.75727991058450816</v>
      </c>
      <c r="D23" s="99">
        <f t="shared" ref="D23:N24" si="2">D9*D14</f>
        <v>0.75141338880666142</v>
      </c>
      <c r="E23" s="99">
        <f t="shared" si="2"/>
        <v>0.74076021864469099</v>
      </c>
      <c r="F23" s="99">
        <f t="shared" si="2"/>
        <v>0.75514351104801303</v>
      </c>
      <c r="G23" s="99">
        <f t="shared" si="2"/>
        <v>0.74305661338789719</v>
      </c>
      <c r="H23" s="99">
        <f t="shared" si="2"/>
        <v>0.74507728867782419</v>
      </c>
      <c r="I23" s="99">
        <f t="shared" si="2"/>
        <v>0.76384213394525791</v>
      </c>
      <c r="J23" s="99">
        <f t="shared" si="2"/>
        <v>0.74627789154465918</v>
      </c>
      <c r="K23" s="99">
        <f t="shared" si="2"/>
        <v>0.76775106429975337</v>
      </c>
      <c r="L23" s="99">
        <f t="shared" si="2"/>
        <v>0.78072463693575744</v>
      </c>
      <c r="M23" s="99">
        <f t="shared" si="2"/>
        <v>0.76012315265894825</v>
      </c>
      <c r="N23" s="99">
        <f t="shared" si="2"/>
        <v>0.76660675253890809</v>
      </c>
    </row>
    <row r="24" spans="2:14">
      <c r="B24" s="172" t="s">
        <v>109</v>
      </c>
      <c r="C24" s="99">
        <f>C10*C15</f>
        <v>0.77136322930758594</v>
      </c>
      <c r="D24" s="99">
        <f t="shared" si="2"/>
        <v>0.76241787278837103</v>
      </c>
      <c r="E24" s="99">
        <f t="shared" si="2"/>
        <v>0.8184604637223607</v>
      </c>
      <c r="F24" s="99">
        <f t="shared" si="2"/>
        <v>0.82685688008450164</v>
      </c>
      <c r="G24" s="99">
        <f t="shared" si="2"/>
        <v>0.80495733104286027</v>
      </c>
      <c r="H24" s="99">
        <f t="shared" si="2"/>
        <v>0.82735073947562021</v>
      </c>
      <c r="I24" s="99">
        <f t="shared" si="2"/>
        <v>0.76624101333582784</v>
      </c>
      <c r="J24" s="99">
        <f t="shared" si="2"/>
        <v>0.83574568854302789</v>
      </c>
      <c r="K24" s="99">
        <f t="shared" si="2"/>
        <v>0.78284432324307252</v>
      </c>
      <c r="L24" s="99">
        <f t="shared" si="2"/>
        <v>0.79946831816252861</v>
      </c>
      <c r="M24" s="99">
        <f t="shared" si="2"/>
        <v>0.80553744165863683</v>
      </c>
      <c r="N24" s="99">
        <f t="shared" si="2"/>
        <v>0.76237008181678256</v>
      </c>
    </row>
    <row r="25" spans="2:14">
      <c r="B25" s="171"/>
    </row>
    <row r="26" spans="2:14">
      <c r="B26" s="103" t="s">
        <v>319</v>
      </c>
    </row>
    <row r="27" spans="2:14">
      <c r="B27" s="98" t="s">
        <v>320</v>
      </c>
      <c r="C27" s="98" t="s">
        <v>92</v>
      </c>
      <c r="D27" s="98" t="s">
        <v>93</v>
      </c>
      <c r="E27" s="98" t="s">
        <v>94</v>
      </c>
      <c r="F27" s="98" t="s">
        <v>95</v>
      </c>
      <c r="G27" s="98" t="s">
        <v>96</v>
      </c>
      <c r="H27" s="98" t="s">
        <v>97</v>
      </c>
      <c r="I27" s="98" t="s">
        <v>98</v>
      </c>
      <c r="J27" s="98" t="s">
        <v>99</v>
      </c>
      <c r="K27" s="98" t="s">
        <v>100</v>
      </c>
      <c r="L27" s="98" t="s">
        <v>101</v>
      </c>
      <c r="M27" s="98" t="s">
        <v>102</v>
      </c>
      <c r="N27" s="98" t="s">
        <v>103</v>
      </c>
    </row>
    <row r="28" spans="2:14">
      <c r="B28" s="98" t="s">
        <v>104</v>
      </c>
      <c r="C28" s="99">
        <f>IF(C19&lt;=raw_materials!$D17,raw_materials!$C17,IF(C19&lt;=raw_materials!$F17,raw_materials!$E17,IF(C19&lt;=raw_materials!$H17,raw_materials!$G17,0)))</f>
        <v>0.9</v>
      </c>
      <c r="D28" s="99">
        <f>IF(D19&lt;=raw_materials!$D17,raw_materials!$C17,IF(D19&lt;=raw_materials!$F17,raw_materials!$E17,IF(D19&lt;=raw_materials!$H17,raw_materials!$G17,0)))</f>
        <v>0.9</v>
      </c>
      <c r="E28" s="99">
        <f>IF(E19&lt;=raw_materials!$D17,raw_materials!$C17,IF(E19&lt;=raw_materials!$F17,raw_materials!$E17,IF(E19&lt;=raw_materials!$H17,raw_materials!$G17,0)))</f>
        <v>1</v>
      </c>
      <c r="F28" s="99">
        <f>IF(F19&lt;=raw_materials!$D17,raw_materials!$C17,IF(F19&lt;=raw_materials!$F17,raw_materials!$E17,IF(F19&lt;=raw_materials!$H17,raw_materials!$G17,0)))</f>
        <v>0.9</v>
      </c>
      <c r="G28" s="99">
        <f>IF(G19&lt;=raw_materials!$D17,raw_materials!$C17,IF(G19&lt;=raw_materials!$F17,raw_materials!$E17,IF(G19&lt;=raw_materials!$H17,raw_materials!$G17,0)))</f>
        <v>0.9</v>
      </c>
      <c r="H28" s="99">
        <f>IF(H19&lt;=raw_materials!$D17,raw_materials!$C17,IF(H19&lt;=raw_materials!$F17,raw_materials!$E17,IF(H19&lt;=raw_materials!$H17,raw_materials!$G17,0)))</f>
        <v>1.1000000000000001</v>
      </c>
      <c r="I28" s="99">
        <f>IF(I19&lt;=raw_materials!$D17,raw_materials!$C17,IF(I19&lt;=raw_materials!$F17,raw_materials!$E17,IF(I19&lt;=raw_materials!$H17,raw_materials!$G17,0)))</f>
        <v>1</v>
      </c>
      <c r="J28" s="99">
        <f>IF(J19&lt;=raw_materials!$D17,raw_materials!$C17,IF(J19&lt;=raw_materials!$F17,raw_materials!$E17,IF(J19&lt;=raw_materials!$H17,raw_materials!$G17,0)))</f>
        <v>1</v>
      </c>
      <c r="K28" s="99">
        <f>IF(K19&lt;=raw_materials!$D17,raw_materials!$C17,IF(K19&lt;=raw_materials!$F17,raw_materials!$E17,IF(K19&lt;=raw_materials!$H17,raw_materials!$G17,0)))</f>
        <v>1</v>
      </c>
      <c r="L28" s="99">
        <f>IF(L19&lt;=raw_materials!$D17,raw_materials!$C17,IF(L19&lt;=raw_materials!$F17,raw_materials!$E17,IF(L19&lt;=raw_materials!$H17,raw_materials!$G17,0)))</f>
        <v>1.1000000000000001</v>
      </c>
      <c r="M28" s="99">
        <f>IF(M19&lt;=raw_materials!$D17,raw_materials!$C17,IF(M19&lt;=raw_materials!$F17,raw_materials!$E17,IF(M19&lt;=raw_materials!$H17,raw_materials!$G17,0)))</f>
        <v>1</v>
      </c>
      <c r="N28" s="99">
        <f>IF(N19&lt;=raw_materials!$D17,raw_materials!$C17,IF(N19&lt;=raw_materials!$F17,raw_materials!$E17,IF(N19&lt;=raw_materials!$H17,raw_materials!$G17,0)))</f>
        <v>1</v>
      </c>
    </row>
    <row r="29" spans="2:14">
      <c r="B29" s="98" t="s">
        <v>105</v>
      </c>
      <c r="C29" s="99">
        <f>IF(C20&lt;=raw_materials!$D18,raw_materials!$C18,IF(C20&lt;=raw_materials!$F18,raw_materials!$E18,IF(C20&lt;=raw_materials!$H18,raw_materials!$G18,0)))</f>
        <v>1</v>
      </c>
      <c r="D29" s="99">
        <f>IF(D20&lt;=raw_materials!$D18,raw_materials!$C18,IF(D20&lt;=raw_materials!$F18,raw_materials!$E18,IF(D20&lt;=raw_materials!$H18,raw_materials!$G18,0)))</f>
        <v>1</v>
      </c>
      <c r="E29" s="99">
        <f>IF(E20&lt;=raw_materials!$D18,raw_materials!$C18,IF(E20&lt;=raw_materials!$F18,raw_materials!$E18,IF(E20&lt;=raw_materials!$H18,raw_materials!$G18,0)))</f>
        <v>1</v>
      </c>
      <c r="F29" s="99">
        <f>IF(F20&lt;=raw_materials!$D18,raw_materials!$C18,IF(F20&lt;=raw_materials!$F18,raw_materials!$E18,IF(F20&lt;=raw_materials!$H18,raw_materials!$G18,0)))</f>
        <v>0.9</v>
      </c>
      <c r="G29" s="99">
        <f>IF(G20&lt;=raw_materials!$D18,raw_materials!$C18,IF(G20&lt;=raw_materials!$F18,raw_materials!$E18,IF(G20&lt;=raw_materials!$H18,raw_materials!$G18,0)))</f>
        <v>0.9</v>
      </c>
      <c r="H29" s="99">
        <f>IF(H20&lt;=raw_materials!$D18,raw_materials!$C18,IF(H20&lt;=raw_materials!$F18,raw_materials!$E18,IF(H20&lt;=raw_materials!$H18,raw_materials!$G18,0)))</f>
        <v>1</v>
      </c>
      <c r="I29" s="99">
        <f>IF(I20&lt;=raw_materials!$D18,raw_materials!$C18,IF(I20&lt;=raw_materials!$F18,raw_materials!$E18,IF(I20&lt;=raw_materials!$H18,raw_materials!$G18,0)))</f>
        <v>1.1000000000000001</v>
      </c>
      <c r="J29" s="99">
        <f>IF(J20&lt;=raw_materials!$D18,raw_materials!$C18,IF(J20&lt;=raw_materials!$F18,raw_materials!$E18,IF(J20&lt;=raw_materials!$H18,raw_materials!$G18,0)))</f>
        <v>1</v>
      </c>
      <c r="K29" s="99">
        <f>IF(K20&lt;=raw_materials!$D18,raw_materials!$C18,IF(K20&lt;=raw_materials!$F18,raw_materials!$E18,IF(K20&lt;=raw_materials!$H18,raw_materials!$G18,0)))</f>
        <v>1</v>
      </c>
      <c r="L29" s="99">
        <f>IF(L20&lt;=raw_materials!$D18,raw_materials!$C18,IF(L20&lt;=raw_materials!$F18,raw_materials!$E18,IF(L20&lt;=raw_materials!$H18,raw_materials!$G18,0)))</f>
        <v>1</v>
      </c>
      <c r="M29" s="99">
        <f>IF(M20&lt;=raw_materials!$D18,raw_materials!$C18,IF(M20&lt;=raw_materials!$F18,raw_materials!$E18,IF(M20&lt;=raw_materials!$H18,raw_materials!$G18,0)))</f>
        <v>1</v>
      </c>
      <c r="N29" s="99">
        <f>IF(N20&lt;=raw_materials!$D18,raw_materials!$C18,IF(N20&lt;=raw_materials!$F18,raw_materials!$E18,IF(N20&lt;=raw_materials!$H18,raw_materials!$G18,0)))</f>
        <v>1</v>
      </c>
    </row>
    <row r="30" spans="2:14">
      <c r="B30" s="98" t="s">
        <v>106</v>
      </c>
      <c r="C30" s="99">
        <f>IF(C21&lt;=raw_materials!$D19,raw_materials!$C19,IF(C21&lt;=raw_materials!$F19,raw_materials!$E19,IF(C21&lt;=raw_materials!$H19,raw_materials!$G19,0)))</f>
        <v>1</v>
      </c>
      <c r="D30" s="99">
        <f>IF(D21&lt;=raw_materials!$D19,raw_materials!$C19,IF(D21&lt;=raw_materials!$F19,raw_materials!$E19,IF(D21&lt;=raw_materials!$H19,raw_materials!$G19,0)))</f>
        <v>1</v>
      </c>
      <c r="E30" s="99">
        <f>IF(E21&lt;=raw_materials!$D19,raw_materials!$C19,IF(E21&lt;=raw_materials!$F19,raw_materials!$E19,IF(E21&lt;=raw_materials!$H19,raw_materials!$G19,0)))</f>
        <v>1</v>
      </c>
      <c r="F30" s="99">
        <f>IF(F21&lt;=raw_materials!$D19,raw_materials!$C19,IF(F21&lt;=raw_materials!$F19,raw_materials!$E19,IF(F21&lt;=raw_materials!$H19,raw_materials!$G19,0)))</f>
        <v>1</v>
      </c>
      <c r="G30" s="99">
        <f>IF(G21&lt;=raw_materials!$D19,raw_materials!$C19,IF(G21&lt;=raw_materials!$F19,raw_materials!$E19,IF(G21&lt;=raw_materials!$H19,raw_materials!$G19,0)))</f>
        <v>1</v>
      </c>
      <c r="H30" s="99">
        <f>IF(H21&lt;=raw_materials!$D19,raw_materials!$C19,IF(H21&lt;=raw_materials!$F19,raw_materials!$E19,IF(H21&lt;=raw_materials!$H19,raw_materials!$G19,0)))</f>
        <v>1</v>
      </c>
      <c r="I30" s="99">
        <f>IF(I21&lt;=raw_materials!$D19,raw_materials!$C19,IF(I21&lt;=raw_materials!$F19,raw_materials!$E19,IF(I21&lt;=raw_materials!$H19,raw_materials!$G19,0)))</f>
        <v>1</v>
      </c>
      <c r="J30" s="99">
        <f>IF(J21&lt;=raw_materials!$D19,raw_materials!$C19,IF(J21&lt;=raw_materials!$F19,raw_materials!$E19,IF(J21&lt;=raw_materials!$H19,raw_materials!$G19,0)))</f>
        <v>1.1000000000000001</v>
      </c>
      <c r="K30" s="99">
        <f>IF(K21&lt;=raw_materials!$D19,raw_materials!$C19,IF(K21&lt;=raw_materials!$F19,raw_materials!$E19,IF(K21&lt;=raw_materials!$H19,raw_materials!$G19,0)))</f>
        <v>1.1000000000000001</v>
      </c>
      <c r="L30" s="99">
        <f>IF(L21&lt;=raw_materials!$D19,raw_materials!$C19,IF(L21&lt;=raw_materials!$F19,raw_materials!$E19,IF(L21&lt;=raw_materials!$H19,raw_materials!$G19,0)))</f>
        <v>1</v>
      </c>
      <c r="M30" s="99">
        <f>IF(M21&lt;=raw_materials!$D19,raw_materials!$C19,IF(M21&lt;=raw_materials!$F19,raw_materials!$E19,IF(M21&lt;=raw_materials!$H19,raw_materials!$G19,0)))</f>
        <v>1</v>
      </c>
      <c r="N30" s="99">
        <f>IF(N21&lt;=raw_materials!$D19,raw_materials!$C19,IF(N21&lt;=raw_materials!$F19,raw_materials!$E19,IF(N21&lt;=raw_materials!$H19,raw_materials!$G19,0)))</f>
        <v>0.9</v>
      </c>
    </row>
    <row r="31" spans="2:14">
      <c r="B31" s="98" t="s">
        <v>107</v>
      </c>
      <c r="C31" s="99">
        <f>IF(C22&lt;=raw_materials!$D20,raw_materials!$C20,IF(C22&lt;=raw_materials!$F20,raw_materials!$E20,IF(C22&lt;=raw_materials!$H20,raw_materials!$G20,0)))</f>
        <v>1</v>
      </c>
      <c r="D31" s="99">
        <f>IF(D22&lt;=raw_materials!$D20,raw_materials!$C20,IF(D22&lt;=raw_materials!$F20,raw_materials!$E20,IF(D22&lt;=raw_materials!$H20,raw_materials!$G20,0)))</f>
        <v>1</v>
      </c>
      <c r="E31" s="99">
        <f>IF(E22&lt;=raw_materials!$D20,raw_materials!$C20,IF(E22&lt;=raw_materials!$F20,raw_materials!$E20,IF(E22&lt;=raw_materials!$H20,raw_materials!$G20,0)))</f>
        <v>1</v>
      </c>
      <c r="F31" s="99">
        <f>IF(F22&lt;=raw_materials!$D20,raw_materials!$C20,IF(F22&lt;=raw_materials!$F20,raw_materials!$E20,IF(F22&lt;=raw_materials!$H20,raw_materials!$G20,0)))</f>
        <v>1</v>
      </c>
      <c r="G31" s="99">
        <f>IF(G22&lt;=raw_materials!$D20,raw_materials!$C20,IF(G22&lt;=raw_materials!$F20,raw_materials!$E20,IF(G22&lt;=raw_materials!$H20,raw_materials!$G20,0)))</f>
        <v>1</v>
      </c>
      <c r="H31" s="99">
        <f>IF(H22&lt;=raw_materials!$D20,raw_materials!$C20,IF(H22&lt;=raw_materials!$F20,raw_materials!$E20,IF(H22&lt;=raw_materials!$H20,raw_materials!$G20,0)))</f>
        <v>1</v>
      </c>
      <c r="I31" s="99">
        <f>IF(I22&lt;=raw_materials!$D20,raw_materials!$C20,IF(I22&lt;=raw_materials!$F20,raw_materials!$E20,IF(I22&lt;=raw_materials!$H20,raw_materials!$G20,0)))</f>
        <v>1</v>
      </c>
      <c r="J31" s="99">
        <f>IF(J22&lt;=raw_materials!$D20,raw_materials!$C20,IF(J22&lt;=raw_materials!$F20,raw_materials!$E20,IF(J22&lt;=raw_materials!$H20,raw_materials!$G20,0)))</f>
        <v>1</v>
      </c>
      <c r="K31" s="99">
        <f>IF(K22&lt;=raw_materials!$D20,raw_materials!$C20,IF(K22&lt;=raw_materials!$F20,raw_materials!$E20,IF(K22&lt;=raw_materials!$H20,raw_materials!$G20,0)))</f>
        <v>1</v>
      </c>
      <c r="L31" s="99">
        <f>IF(L22&lt;=raw_materials!$D20,raw_materials!$C20,IF(L22&lt;=raw_materials!$F20,raw_materials!$E20,IF(L22&lt;=raw_materials!$H20,raw_materials!$G20,0)))</f>
        <v>0.9</v>
      </c>
      <c r="M31" s="99">
        <f>IF(M22&lt;=raw_materials!$D20,raw_materials!$C20,IF(M22&lt;=raw_materials!$F20,raw_materials!$E20,IF(M22&lt;=raw_materials!$H20,raw_materials!$G20,0)))</f>
        <v>1</v>
      </c>
      <c r="N31" s="99">
        <f>IF(N22&lt;=raw_materials!$D20,raw_materials!$C20,IF(N22&lt;=raw_materials!$F20,raw_materials!$E20,IF(N22&lt;=raw_materials!$H20,raw_materials!$G20,0)))</f>
        <v>1.1000000000000001</v>
      </c>
    </row>
    <row r="32" spans="2:14">
      <c r="B32" s="98" t="s">
        <v>108</v>
      </c>
      <c r="C32" s="99">
        <f>IF(C23&lt;=raw_materials!$D21,raw_materials!$C21,IF(C23&lt;=raw_materials!$F21,raw_materials!$E21,IF(C23&lt;=raw_materials!$H21,raw_materials!$G21,0)))</f>
        <v>1</v>
      </c>
      <c r="D32" s="99">
        <f>IF(D23&lt;=raw_materials!$D21,raw_materials!$C21,IF(D23&lt;=raw_materials!$F21,raw_materials!$E21,IF(D23&lt;=raw_materials!$H21,raw_materials!$G21,0)))</f>
        <v>1</v>
      </c>
      <c r="E32" s="99">
        <f>IF(E23&lt;=raw_materials!$D21,raw_materials!$C21,IF(E23&lt;=raw_materials!$F21,raw_materials!$E21,IF(E23&lt;=raw_materials!$H21,raw_materials!$G21,0)))</f>
        <v>1</v>
      </c>
      <c r="F32" s="99">
        <f>IF(F23&lt;=raw_materials!$D21,raw_materials!$C21,IF(F23&lt;=raw_materials!$F21,raw_materials!$E21,IF(F23&lt;=raw_materials!$H21,raw_materials!$G21,0)))</f>
        <v>1</v>
      </c>
      <c r="G32" s="99">
        <f>IF(G23&lt;=raw_materials!$D21,raw_materials!$C21,IF(G23&lt;=raw_materials!$F21,raw_materials!$E21,IF(G23&lt;=raw_materials!$H21,raw_materials!$G21,0)))</f>
        <v>1</v>
      </c>
      <c r="H32" s="99">
        <f>IF(H23&lt;=raw_materials!$D21,raw_materials!$C21,IF(H23&lt;=raw_materials!$F21,raw_materials!$E21,IF(H23&lt;=raw_materials!$H21,raw_materials!$G21,0)))</f>
        <v>1</v>
      </c>
      <c r="I32" s="99">
        <f>IF(I23&lt;=raw_materials!$D21,raw_materials!$C21,IF(I23&lt;=raw_materials!$F21,raw_materials!$E21,IF(I23&lt;=raw_materials!$H21,raw_materials!$G21,0)))</f>
        <v>1</v>
      </c>
      <c r="J32" s="99">
        <f>IF(J23&lt;=raw_materials!$D21,raw_materials!$C21,IF(J23&lt;=raw_materials!$F21,raw_materials!$E21,IF(J23&lt;=raw_materials!$H21,raw_materials!$G21,0)))</f>
        <v>1</v>
      </c>
      <c r="K32" s="99">
        <f>IF(K23&lt;=raw_materials!$D21,raw_materials!$C21,IF(K23&lt;=raw_materials!$F21,raw_materials!$E21,IF(K23&lt;=raw_materials!$H21,raw_materials!$G21,0)))</f>
        <v>1</v>
      </c>
      <c r="L32" s="99">
        <f>IF(L23&lt;=raw_materials!$D21,raw_materials!$C21,IF(L23&lt;=raw_materials!$F21,raw_materials!$E21,IF(L23&lt;=raw_materials!$H21,raw_materials!$G21,0)))</f>
        <v>1</v>
      </c>
      <c r="M32" s="99">
        <f>IF(M23&lt;=raw_materials!$D21,raw_materials!$C21,IF(M23&lt;=raw_materials!$F21,raw_materials!$E21,IF(M23&lt;=raw_materials!$H21,raw_materials!$G21,0)))</f>
        <v>1</v>
      </c>
      <c r="N32" s="99">
        <f>IF(N23&lt;=raw_materials!$D21,raw_materials!$C21,IF(N23&lt;=raw_materials!$F21,raw_materials!$E21,IF(N23&lt;=raw_materials!$H21,raw_materials!$G21,0)))</f>
        <v>1</v>
      </c>
    </row>
    <row r="33" spans="2:50">
      <c r="B33" s="98" t="s">
        <v>109</v>
      </c>
      <c r="C33" s="99">
        <f>IF(C24&lt;=raw_materials!$D22,raw_materials!$C22,IF(C24&lt;=raw_materials!$F22,raw_materials!$E22,IF(C24&lt;=raw_materials!$H22,raw_materials!$G22,0)))</f>
        <v>1</v>
      </c>
      <c r="D33" s="99">
        <f>IF(D24&lt;=raw_materials!$D22,raw_materials!$C22,IF(D24&lt;=raw_materials!$F22,raw_materials!$E22,IF(D24&lt;=raw_materials!$H22,raw_materials!$G22,0)))</f>
        <v>1</v>
      </c>
      <c r="E33" s="99">
        <f>IF(E24&lt;=raw_materials!$D22,raw_materials!$C22,IF(E24&lt;=raw_materials!$F22,raw_materials!$E22,IF(E24&lt;=raw_materials!$H22,raw_materials!$G22,0)))</f>
        <v>0.9</v>
      </c>
      <c r="F33" s="99">
        <f>IF(F24&lt;=raw_materials!$D22,raw_materials!$C22,IF(F24&lt;=raw_materials!$F22,raw_materials!$E22,IF(F24&lt;=raw_materials!$H22,raw_materials!$G22,0)))</f>
        <v>0.9</v>
      </c>
      <c r="G33" s="99">
        <f>IF(G24&lt;=raw_materials!$D22,raw_materials!$C22,IF(G24&lt;=raw_materials!$F22,raw_materials!$E22,IF(G24&lt;=raw_materials!$H22,raw_materials!$G22,0)))</f>
        <v>0.9</v>
      </c>
      <c r="H33" s="99">
        <f>IF(H24&lt;=raw_materials!$D22,raw_materials!$C22,IF(H24&lt;=raw_materials!$F22,raw_materials!$E22,IF(H24&lt;=raw_materials!$H22,raw_materials!$G22,0)))</f>
        <v>0.9</v>
      </c>
      <c r="I33" s="99">
        <f>IF(I24&lt;=raw_materials!$D22,raw_materials!$C22,IF(I24&lt;=raw_materials!$F22,raw_materials!$E22,IF(I24&lt;=raw_materials!$H22,raw_materials!$G22,0)))</f>
        <v>1</v>
      </c>
      <c r="J33" s="99">
        <f>IF(J24&lt;=raw_materials!$D22,raw_materials!$C22,IF(J24&lt;=raw_materials!$F22,raw_materials!$E22,IF(J24&lt;=raw_materials!$H22,raw_materials!$G22,0)))</f>
        <v>0.9</v>
      </c>
      <c r="K33" s="99">
        <f>IF(K24&lt;=raw_materials!$D22,raw_materials!$C22,IF(K24&lt;=raw_materials!$F22,raw_materials!$E22,IF(K24&lt;=raw_materials!$H22,raw_materials!$G22,0)))</f>
        <v>1</v>
      </c>
      <c r="L33" s="99">
        <f>IF(L24&lt;=raw_materials!$D22,raw_materials!$C22,IF(L24&lt;=raw_materials!$F22,raw_materials!$E22,IF(L24&lt;=raw_materials!$H22,raw_materials!$G22,0)))</f>
        <v>1</v>
      </c>
      <c r="M33" s="99">
        <f>IF(M24&lt;=raw_materials!$D22,raw_materials!$C22,IF(M24&lt;=raw_materials!$F22,raw_materials!$E22,IF(M24&lt;=raw_materials!$H22,raw_materials!$G22,0)))</f>
        <v>0.9</v>
      </c>
      <c r="N33" s="99">
        <f>IF(N24&lt;=raw_materials!$D22,raw_materials!$C22,IF(N24&lt;=raw_materials!$F22,raw_materials!$E22,IF(N24&lt;=raw_materials!$H22,raw_materials!$G22,0)))</f>
        <v>1</v>
      </c>
    </row>
    <row r="35" spans="2:50">
      <c r="B35" s="102" t="s">
        <v>321</v>
      </c>
    </row>
    <row r="36" spans="2:50">
      <c r="B36" s="169" t="s">
        <v>273</v>
      </c>
      <c r="C36" s="169" t="s">
        <v>92</v>
      </c>
      <c r="D36" s="100"/>
      <c r="E36" s="100"/>
      <c r="F36" s="100"/>
      <c r="G36" s="169" t="s">
        <v>93</v>
      </c>
      <c r="H36" s="100"/>
      <c r="I36" s="100"/>
      <c r="J36" s="100"/>
      <c r="K36" s="169" t="s">
        <v>94</v>
      </c>
      <c r="L36" s="100"/>
      <c r="M36" s="100"/>
      <c r="N36" s="100"/>
      <c r="O36" s="169" t="s">
        <v>95</v>
      </c>
      <c r="P36" s="100"/>
      <c r="Q36" s="100"/>
      <c r="R36" s="100"/>
      <c r="S36" s="169" t="s">
        <v>96</v>
      </c>
      <c r="T36" s="100"/>
      <c r="U36" s="100"/>
      <c r="V36" s="100"/>
      <c r="W36" s="169" t="s">
        <v>97</v>
      </c>
      <c r="X36" s="100"/>
      <c r="Y36" s="100"/>
      <c r="Z36" s="100"/>
      <c r="AA36" s="169" t="s">
        <v>98</v>
      </c>
      <c r="AB36" s="100"/>
      <c r="AC36" s="100"/>
      <c r="AD36" s="100"/>
      <c r="AE36" s="169" t="s">
        <v>99</v>
      </c>
      <c r="AF36" s="100"/>
      <c r="AG36" s="100"/>
      <c r="AH36" s="100"/>
      <c r="AI36" s="169" t="s">
        <v>100</v>
      </c>
      <c r="AJ36" s="100"/>
      <c r="AK36" s="100"/>
      <c r="AL36" s="100"/>
      <c r="AM36" s="169" t="s">
        <v>101</v>
      </c>
      <c r="AN36" s="100"/>
      <c r="AO36" s="100"/>
      <c r="AP36" s="100"/>
      <c r="AQ36" s="169" t="s">
        <v>102</v>
      </c>
      <c r="AR36" s="100"/>
      <c r="AS36" s="100"/>
      <c r="AT36" s="100"/>
      <c r="AU36" s="169" t="s">
        <v>103</v>
      </c>
      <c r="AV36" s="100"/>
      <c r="AW36" s="100"/>
      <c r="AX36" s="100"/>
    </row>
    <row r="37" spans="2:50">
      <c r="B37" s="169" t="s">
        <v>322</v>
      </c>
      <c r="C37" s="169">
        <v>1</v>
      </c>
      <c r="D37" s="169">
        <v>2</v>
      </c>
      <c r="E37" s="169">
        <v>3</v>
      </c>
      <c r="F37" s="169">
        <v>4</v>
      </c>
      <c r="G37" s="169">
        <v>1</v>
      </c>
      <c r="H37" s="169">
        <v>2</v>
      </c>
      <c r="I37" s="169">
        <v>3</v>
      </c>
      <c r="J37" s="169">
        <v>4</v>
      </c>
      <c r="K37" s="169">
        <v>1</v>
      </c>
      <c r="L37" s="169">
        <v>2</v>
      </c>
      <c r="M37" s="169">
        <v>3</v>
      </c>
      <c r="N37" s="169">
        <v>4</v>
      </c>
      <c r="O37" s="169">
        <v>1</v>
      </c>
      <c r="P37" s="169">
        <v>2</v>
      </c>
      <c r="Q37" s="169">
        <v>3</v>
      </c>
      <c r="R37" s="169">
        <v>4</v>
      </c>
      <c r="S37" s="169">
        <v>1</v>
      </c>
      <c r="T37" s="169">
        <v>2</v>
      </c>
      <c r="U37" s="169">
        <v>3</v>
      </c>
      <c r="V37" s="169">
        <v>4</v>
      </c>
      <c r="W37" s="169">
        <v>1</v>
      </c>
      <c r="X37" s="169">
        <v>2</v>
      </c>
      <c r="Y37" s="169">
        <v>3</v>
      </c>
      <c r="Z37" s="169">
        <v>4</v>
      </c>
      <c r="AA37" s="169">
        <v>1</v>
      </c>
      <c r="AB37" s="169">
        <v>2</v>
      </c>
      <c r="AC37" s="169">
        <v>3</v>
      </c>
      <c r="AD37" s="169">
        <v>4</v>
      </c>
      <c r="AE37" s="169">
        <v>1</v>
      </c>
      <c r="AF37" s="169">
        <v>2</v>
      </c>
      <c r="AG37" s="169">
        <v>3</v>
      </c>
      <c r="AH37" s="169">
        <v>4</v>
      </c>
      <c r="AI37" s="169">
        <v>1</v>
      </c>
      <c r="AJ37" s="169">
        <v>2</v>
      </c>
      <c r="AK37" s="169">
        <v>3</v>
      </c>
      <c r="AL37" s="169">
        <v>4</v>
      </c>
      <c r="AM37" s="169">
        <v>1</v>
      </c>
      <c r="AN37" s="169">
        <v>2</v>
      </c>
      <c r="AO37" s="169">
        <v>3</v>
      </c>
      <c r="AP37" s="169">
        <v>4</v>
      </c>
      <c r="AQ37" s="169">
        <v>1</v>
      </c>
      <c r="AR37" s="169">
        <v>2</v>
      </c>
      <c r="AS37" s="169">
        <v>3</v>
      </c>
      <c r="AT37" s="169">
        <v>4</v>
      </c>
      <c r="AU37" s="169">
        <v>1</v>
      </c>
      <c r="AV37" s="169">
        <v>2</v>
      </c>
      <c r="AW37" s="169">
        <v>3</v>
      </c>
      <c r="AX37" s="169">
        <v>4</v>
      </c>
    </row>
    <row r="38" spans="2:50">
      <c r="B38" s="169" t="s">
        <v>104</v>
      </c>
      <c r="C38" s="99">
        <v>10021.961005604602</v>
      </c>
      <c r="D38" s="99">
        <v>2510.9816752626243</v>
      </c>
      <c r="E38" s="99">
        <v>25164.733912812586</v>
      </c>
      <c r="F38" s="99">
        <v>25219.64518704552</v>
      </c>
      <c r="G38" s="99">
        <v>17692.179235395437</v>
      </c>
      <c r="H38" s="99">
        <v>17730.590384044619</v>
      </c>
      <c r="I38" s="99">
        <v>10153.702233522454</v>
      </c>
      <c r="J38" s="99">
        <v>25439.055203174696</v>
      </c>
      <c r="K38" s="99">
        <v>25493.804885647136</v>
      </c>
      <c r="L38" s="99">
        <v>25548.495829201689</v>
      </c>
      <c r="M38" s="99">
        <v>25603.119238151201</v>
      </c>
      <c r="N38" s="99">
        <v>25657.666324691218</v>
      </c>
      <c r="O38" s="99">
        <v>25712.128310447646</v>
      </c>
      <c r="P38" s="99">
        <v>18036.547499616488</v>
      </c>
      <c r="Q38" s="99">
        <v>18074.53334578146</v>
      </c>
      <c r="R38" s="99">
        <v>18112.441237243656</v>
      </c>
      <c r="S38" s="99">
        <v>25928.950094808049</v>
      </c>
      <c r="T38" s="99">
        <v>10393.142135723308</v>
      </c>
      <c r="U38" s="99">
        <v>10414.649238940299</v>
      </c>
      <c r="V38" s="99">
        <v>2609.0244699806753</v>
      </c>
      <c r="W38" s="99">
        <v>26143.711499307632</v>
      </c>
      <c r="X38" s="99">
        <v>26197.014871775551</v>
      </c>
      <c r="Y38" s="99">
        <v>26250.146217950878</v>
      </c>
      <c r="Z38" s="99">
        <v>26303.096964916222</v>
      </c>
      <c r="AA38" s="99">
        <v>26355.858567616488</v>
      </c>
      <c r="AB38" s="99">
        <v>26408.422510375025</v>
      </c>
      <c r="AC38" s="99">
        <v>26460.780308405316</v>
      </c>
      <c r="AD38" s="99">
        <v>26512.923509318131</v>
      </c>
      <c r="AE38" s="99">
        <v>26564.8436946238</v>
      </c>
      <c r="AF38" s="99">
        <v>26616.532481229282</v>
      </c>
      <c r="AG38" s="99">
        <v>26667.981522929855</v>
      </c>
      <c r="AH38" s="99">
        <v>18703.427758326601</v>
      </c>
      <c r="AI38" s="99">
        <v>26770.127180149142</v>
      </c>
      <c r="AJ38" s="99">
        <v>26820.807301044035</v>
      </c>
      <c r="AK38" s="99">
        <v>26871.21469072756</v>
      </c>
      <c r="AL38" s="99">
        <v>26921.341209603564</v>
      </c>
      <c r="AM38" s="99">
        <v>26971.178763785614</v>
      </c>
      <c r="AN38" s="99">
        <v>27020.719306543244</v>
      </c>
      <c r="AO38" s="99">
        <v>27069.954839740756</v>
      </c>
      <c r="AP38" s="99">
        <v>27118.877415268147</v>
      </c>
      <c r="AQ38" s="99">
        <v>19017.235395524818</v>
      </c>
      <c r="AR38" s="99">
        <v>19051.02651167112</v>
      </c>
      <c r="AS38" s="99">
        <v>27263.688694937566</v>
      </c>
      <c r="AT38" s="99">
        <v>27311.281008823513</v>
      </c>
      <c r="AU38" s="99">
        <v>27358.521424379818</v>
      </c>
      <c r="AV38" s="99">
        <v>27405.40232323145</v>
      </c>
      <c r="AW38" s="99">
        <v>27451.916146805794</v>
      </c>
      <c r="AX38" s="99">
        <v>27498.055397691911</v>
      </c>
    </row>
    <row r="39" spans="2:50">
      <c r="B39" s="169" t="s">
        <v>105</v>
      </c>
      <c r="C39" s="99">
        <v>15032.941508406904</v>
      </c>
      <c r="D39" s="99">
        <v>15065.890051575743</v>
      </c>
      <c r="E39" s="99">
        <v>15098.84034768755</v>
      </c>
      <c r="F39" s="99">
        <v>15131.787112227312</v>
      </c>
      <c r="G39" s="99">
        <v>15164.725058910377</v>
      </c>
      <c r="H39" s="99">
        <v>15197.648900609674</v>
      </c>
      <c r="I39" s="99">
        <v>15230.553350283679</v>
      </c>
      <c r="J39" s="99">
        <v>15263.433121904818</v>
      </c>
      <c r="K39" s="99">
        <v>15296.282931388283</v>
      </c>
      <c r="L39" s="99">
        <v>15329.097497521014</v>
      </c>
      <c r="M39" s="99">
        <v>15361.87154289072</v>
      </c>
      <c r="N39" s="99">
        <v>15394.599794814729</v>
      </c>
      <c r="O39" s="99">
        <v>15427.276986268587</v>
      </c>
      <c r="P39" s="99">
        <v>15459.897856814132</v>
      </c>
      <c r="Q39" s="99">
        <v>15492.457153526968</v>
      </c>
      <c r="R39" s="99">
        <v>1552.4949631923137</v>
      </c>
      <c r="S39" s="99">
        <v>1555.7370056884831</v>
      </c>
      <c r="T39" s="99">
        <v>15589.713203584963</v>
      </c>
      <c r="U39" s="99">
        <v>10935.381700887314</v>
      </c>
      <c r="V39" s="99">
        <v>15654.14681988405</v>
      </c>
      <c r="W39" s="99">
        <v>15686.226899584581</v>
      </c>
      <c r="X39" s="99">
        <v>15718.208923065331</v>
      </c>
      <c r="Y39" s="99">
        <v>15750.087730770527</v>
      </c>
      <c r="Z39" s="99">
        <v>15781.858178949733</v>
      </c>
      <c r="AA39" s="99">
        <v>15813.515140569893</v>
      </c>
      <c r="AB39" s="99">
        <v>15845.053506225015</v>
      </c>
      <c r="AC39" s="99">
        <v>15876.468185043188</v>
      </c>
      <c r="AD39" s="99">
        <v>15907.754105590879</v>
      </c>
      <c r="AE39" s="99">
        <v>15938.90621677428</v>
      </c>
      <c r="AF39" s="99">
        <v>15969.919488737569</v>
      </c>
      <c r="AG39" s="99">
        <v>16000.788913757913</v>
      </c>
      <c r="AH39" s="99">
        <v>16031.509507137089</v>
      </c>
      <c r="AI39" s="99">
        <v>16062.076308089485</v>
      </c>
      <c r="AJ39" s="99">
        <v>16092.48438062642</v>
      </c>
      <c r="AK39" s="99">
        <v>16122.728814436536</v>
      </c>
      <c r="AL39" s="99">
        <v>16152.80472576214</v>
      </c>
      <c r="AM39" s="99">
        <v>16182.707258271368</v>
      </c>
      <c r="AN39" s="99">
        <v>11348.702108748161</v>
      </c>
      <c r="AO39" s="99">
        <v>11369.381032691117</v>
      </c>
      <c r="AP39" s="99">
        <v>16271.326449160888</v>
      </c>
      <c r="AQ39" s="99">
        <v>16300.487481878417</v>
      </c>
      <c r="AR39" s="99">
        <v>16329.451295718105</v>
      </c>
      <c r="AS39" s="99">
        <v>16358.213216962538</v>
      </c>
      <c r="AT39" s="99">
        <v>16386.768605294106</v>
      </c>
      <c r="AU39" s="99">
        <v>16415.112854627889</v>
      </c>
      <c r="AV39" s="99">
        <v>11510.268975757208</v>
      </c>
      <c r="AW39" s="99">
        <v>16471.149688083475</v>
      </c>
      <c r="AX39" s="99">
        <v>16498.833238615145</v>
      </c>
    </row>
    <row r="40" spans="2:50">
      <c r="B40" s="169" t="s">
        <v>106</v>
      </c>
      <c r="C40" s="99">
        <v>5010.9805028023011</v>
      </c>
      <c r="D40" s="99">
        <v>5021.9633505252477</v>
      </c>
      <c r="E40" s="99">
        <v>5032.946782562517</v>
      </c>
      <c r="F40" s="99">
        <v>5043.9290374091042</v>
      </c>
      <c r="G40" s="99">
        <v>5054.9083529701256</v>
      </c>
      <c r="H40" s="99">
        <v>5065.8829668698918</v>
      </c>
      <c r="I40" s="99">
        <v>5076.851116761226</v>
      </c>
      <c r="J40" s="99">
        <v>3561.4677284444574</v>
      </c>
      <c r="K40" s="99">
        <v>2039.5043908517712</v>
      </c>
      <c r="L40" s="99">
        <v>5109.6991658403376</v>
      </c>
      <c r="M40" s="99">
        <v>5120.6238476302397</v>
      </c>
      <c r="N40" s="99">
        <v>5131.5332649382435</v>
      </c>
      <c r="O40" s="99">
        <v>3599.6979634626705</v>
      </c>
      <c r="P40" s="99">
        <v>5153.2992856047113</v>
      </c>
      <c r="Q40" s="99">
        <v>5164.1523845089887</v>
      </c>
      <c r="R40" s="99">
        <v>5174.9832106410449</v>
      </c>
      <c r="S40" s="99">
        <v>5185.7900189616103</v>
      </c>
      <c r="T40" s="99">
        <v>3637.5997475031577</v>
      </c>
      <c r="U40" s="99">
        <v>3645.1272336291045</v>
      </c>
      <c r="V40" s="99">
        <v>3652.6342579729449</v>
      </c>
      <c r="W40" s="99">
        <v>5228.7422998615266</v>
      </c>
      <c r="X40" s="99">
        <v>5239.40297435511</v>
      </c>
      <c r="Y40" s="99">
        <v>5250.0292435901756</v>
      </c>
      <c r="Z40" s="99">
        <v>5260.6193929832443</v>
      </c>
      <c r="AA40" s="99">
        <v>5271.1717135232975</v>
      </c>
      <c r="AB40" s="99">
        <v>5281.6845020750052</v>
      </c>
      <c r="AC40" s="99">
        <v>5292.156061681063</v>
      </c>
      <c r="AD40" s="99">
        <v>5302.5847018636268</v>
      </c>
      <c r="AE40" s="99">
        <v>5312.9687389247601</v>
      </c>
      <c r="AF40" s="99">
        <v>5323.3064962458566</v>
      </c>
      <c r="AG40" s="99">
        <v>5333.5963045859717</v>
      </c>
      <c r="AH40" s="99">
        <v>5343.8365023790293</v>
      </c>
      <c r="AI40" s="99">
        <v>5354.0254360298286</v>
      </c>
      <c r="AJ40" s="99">
        <v>5364.1614602088066</v>
      </c>
      <c r="AK40" s="99">
        <v>5374.2429381455113</v>
      </c>
      <c r="AL40" s="99">
        <v>5384.2682419207131</v>
      </c>
      <c r="AM40" s="99">
        <v>5394.2357527571221</v>
      </c>
      <c r="AN40" s="99">
        <v>5404.1438613086484</v>
      </c>
      <c r="AO40" s="99">
        <v>5413.9909679481507</v>
      </c>
      <c r="AP40" s="99">
        <v>5423.7754830536296</v>
      </c>
      <c r="AQ40" s="99">
        <v>5433.4958272928061</v>
      </c>
      <c r="AR40" s="99">
        <v>5443.150431906035</v>
      </c>
      <c r="AS40" s="99">
        <v>5452.7377389875128</v>
      </c>
      <c r="AT40" s="99">
        <v>3823.5793412352914</v>
      </c>
      <c r="AU40" s="99">
        <v>2188.6817139503855</v>
      </c>
      <c r="AV40" s="99">
        <v>2192.4321858585163</v>
      </c>
      <c r="AW40" s="99">
        <v>3843.2682605528112</v>
      </c>
      <c r="AX40" s="99">
        <v>3849.7277556768672</v>
      </c>
    </row>
    <row r="41" spans="2:50">
      <c r="B41" s="169" t="s">
        <v>107</v>
      </c>
      <c r="C41" s="99">
        <v>3006.5883016813805</v>
      </c>
      <c r="D41" s="99">
        <v>3013.1780103151486</v>
      </c>
      <c r="E41" s="99">
        <v>1207.907227815004</v>
      </c>
      <c r="F41" s="99">
        <v>3026.3574224454624</v>
      </c>
      <c r="G41" s="99">
        <v>3032.9450117820752</v>
      </c>
      <c r="H41" s="99">
        <v>3039.5297801219349</v>
      </c>
      <c r="I41" s="99">
        <v>3046.1106700567357</v>
      </c>
      <c r="J41" s="99">
        <v>3052.6866243809636</v>
      </c>
      <c r="K41" s="99">
        <v>3059.2565862776564</v>
      </c>
      <c r="L41" s="99">
        <v>3065.8194995042027</v>
      </c>
      <c r="M41" s="99">
        <v>3072.3743085781439</v>
      </c>
      <c r="N41" s="99">
        <v>3078.9199589629461</v>
      </c>
      <c r="O41" s="99">
        <v>3085.4553972537178</v>
      </c>
      <c r="P41" s="99">
        <v>3091.9795713628264</v>
      </c>
      <c r="Q41" s="99">
        <v>3098.4914307053937</v>
      </c>
      <c r="R41" s="99">
        <v>3104.9899263846269</v>
      </c>
      <c r="S41" s="99">
        <v>3111.4740113769658</v>
      </c>
      <c r="T41" s="99">
        <v>3117.9426407169926</v>
      </c>
      <c r="U41" s="99">
        <v>3124.3947716820899</v>
      </c>
      <c r="V41" s="99">
        <v>3130.8293639768099</v>
      </c>
      <c r="W41" s="99">
        <v>2196.071765941841</v>
      </c>
      <c r="X41" s="99">
        <v>3143.6417846130662</v>
      </c>
      <c r="Y41" s="99">
        <v>3150.0175461541053</v>
      </c>
      <c r="Z41" s="99">
        <v>3156.3716357899466</v>
      </c>
      <c r="AA41" s="99">
        <v>3162.7030281139782</v>
      </c>
      <c r="AB41" s="99">
        <v>3169.010701245003</v>
      </c>
      <c r="AC41" s="99">
        <v>3175.2936370086377</v>
      </c>
      <c r="AD41" s="99">
        <v>3181.5508211181759</v>
      </c>
      <c r="AE41" s="99">
        <v>3187.7812433548561</v>
      </c>
      <c r="AF41" s="99">
        <v>3193.9838977475138</v>
      </c>
      <c r="AG41" s="99">
        <v>2240.1104479261076</v>
      </c>
      <c r="AH41" s="99">
        <v>3206.3019014274178</v>
      </c>
      <c r="AI41" s="99">
        <v>3212.4152616178967</v>
      </c>
      <c r="AJ41" s="99">
        <v>3218.496876125284</v>
      </c>
      <c r="AK41" s="99">
        <v>3224.5457628873069</v>
      </c>
      <c r="AL41" s="99">
        <v>2261.3926616066992</v>
      </c>
      <c r="AM41" s="99">
        <v>1294.6165806617096</v>
      </c>
      <c r="AN41" s="99">
        <v>1296.9945267140758</v>
      </c>
      <c r="AO41" s="99">
        <v>3248.3945807688906</v>
      </c>
      <c r="AP41" s="99">
        <v>3254.2652898321776</v>
      </c>
      <c r="AQ41" s="99">
        <v>3260.0974963756835</v>
      </c>
      <c r="AR41" s="99">
        <v>3265.8902591436208</v>
      </c>
      <c r="AS41" s="99">
        <v>3271.6426433925076</v>
      </c>
      <c r="AT41" s="99">
        <v>3277.3537210588215</v>
      </c>
      <c r="AU41" s="99">
        <v>3283.0225709255783</v>
      </c>
      <c r="AV41" s="99">
        <v>3288.648278787774</v>
      </c>
      <c r="AW41" s="99">
        <v>3294.2299376166952</v>
      </c>
      <c r="AX41" s="99">
        <v>3299.7666477230291</v>
      </c>
    </row>
    <row r="42" spans="2:50">
      <c r="B42" s="169" t="s">
        <v>108</v>
      </c>
      <c r="C42" s="99">
        <v>10000000</v>
      </c>
      <c r="D42" s="99">
        <v>10000000</v>
      </c>
      <c r="E42" s="99">
        <v>10000000</v>
      </c>
      <c r="F42" s="99">
        <v>10000000</v>
      </c>
      <c r="G42" s="99">
        <v>10000000</v>
      </c>
      <c r="H42" s="99">
        <v>10000000</v>
      </c>
      <c r="I42" s="99">
        <v>10000000</v>
      </c>
      <c r="J42" s="99">
        <v>10000000</v>
      </c>
      <c r="K42" s="99">
        <v>10000000</v>
      </c>
      <c r="L42" s="99">
        <v>10000000</v>
      </c>
      <c r="M42" s="99">
        <v>10000000</v>
      </c>
      <c r="N42" s="99">
        <v>10000000</v>
      </c>
      <c r="O42" s="99">
        <v>10000000</v>
      </c>
      <c r="P42" s="99">
        <v>10000000</v>
      </c>
      <c r="Q42" s="99">
        <v>10000000</v>
      </c>
      <c r="R42" s="99">
        <v>10000000</v>
      </c>
      <c r="S42" s="99">
        <v>10000000</v>
      </c>
      <c r="T42" s="99">
        <v>10000000</v>
      </c>
      <c r="U42" s="99">
        <v>10000000</v>
      </c>
      <c r="V42" s="99">
        <v>10000000</v>
      </c>
      <c r="W42" s="99">
        <v>10000000</v>
      </c>
      <c r="X42" s="99">
        <v>10000000</v>
      </c>
      <c r="Y42" s="99">
        <v>10000000</v>
      </c>
      <c r="Z42" s="99">
        <v>10000000</v>
      </c>
      <c r="AA42" s="99">
        <v>10000000</v>
      </c>
      <c r="AB42" s="99">
        <v>10000000</v>
      </c>
      <c r="AC42" s="99">
        <v>10000000</v>
      </c>
      <c r="AD42" s="99">
        <v>10000000</v>
      </c>
      <c r="AE42" s="99">
        <v>10000000</v>
      </c>
      <c r="AF42" s="99">
        <v>10000000</v>
      </c>
      <c r="AG42" s="99">
        <v>10000000</v>
      </c>
      <c r="AH42" s="99">
        <v>10000000</v>
      </c>
      <c r="AI42" s="99">
        <v>10000000</v>
      </c>
      <c r="AJ42" s="99">
        <v>10000000</v>
      </c>
      <c r="AK42" s="99">
        <v>10000000</v>
      </c>
      <c r="AL42" s="99">
        <v>10000000</v>
      </c>
      <c r="AM42" s="99">
        <v>10000000</v>
      </c>
      <c r="AN42" s="99">
        <v>10000000</v>
      </c>
      <c r="AO42" s="99">
        <v>10000000</v>
      </c>
      <c r="AP42" s="99">
        <v>10000000</v>
      </c>
      <c r="AQ42" s="99">
        <v>10000000</v>
      </c>
      <c r="AR42" s="99">
        <v>10000000</v>
      </c>
      <c r="AS42" s="99">
        <v>10000000</v>
      </c>
      <c r="AT42" s="99">
        <v>10000000</v>
      </c>
      <c r="AU42" s="99">
        <v>10000000</v>
      </c>
      <c r="AV42" s="99">
        <v>10000000</v>
      </c>
      <c r="AW42" s="99">
        <v>10000000</v>
      </c>
      <c r="AX42" s="99">
        <v>10000000</v>
      </c>
    </row>
    <row r="43" spans="2:50">
      <c r="B43" s="169" t="s">
        <v>109</v>
      </c>
      <c r="C43" s="99">
        <v>10000000</v>
      </c>
      <c r="D43" s="99">
        <v>10000000</v>
      </c>
      <c r="E43" s="99">
        <v>10000000</v>
      </c>
      <c r="F43" s="99">
        <v>10000000</v>
      </c>
      <c r="G43" s="99">
        <v>10000000</v>
      </c>
      <c r="H43" s="99">
        <v>10000000</v>
      </c>
      <c r="I43" s="99">
        <v>10000000</v>
      </c>
      <c r="J43" s="99">
        <v>10000000</v>
      </c>
      <c r="K43" s="99">
        <v>10000000</v>
      </c>
      <c r="L43" s="99">
        <v>10000000</v>
      </c>
      <c r="M43" s="99">
        <v>10000000</v>
      </c>
      <c r="N43" s="99">
        <v>10000000</v>
      </c>
      <c r="O43" s="99">
        <v>10000000</v>
      </c>
      <c r="P43" s="99">
        <v>10000000</v>
      </c>
      <c r="Q43" s="99">
        <v>10000000</v>
      </c>
      <c r="R43" s="99">
        <v>10000000</v>
      </c>
      <c r="S43" s="99">
        <v>10000000</v>
      </c>
      <c r="T43" s="99">
        <v>10000000</v>
      </c>
      <c r="U43" s="99">
        <v>10000000</v>
      </c>
      <c r="V43" s="99">
        <v>10000000</v>
      </c>
      <c r="W43" s="99">
        <v>10000000</v>
      </c>
      <c r="X43" s="99">
        <v>10000000</v>
      </c>
      <c r="Y43" s="99">
        <v>10000000</v>
      </c>
      <c r="Z43" s="99">
        <v>10000000</v>
      </c>
      <c r="AA43" s="99">
        <v>10000000</v>
      </c>
      <c r="AB43" s="99">
        <v>10000000</v>
      </c>
      <c r="AC43" s="99">
        <v>10000000</v>
      </c>
      <c r="AD43" s="99">
        <v>10000000</v>
      </c>
      <c r="AE43" s="99">
        <v>10000000</v>
      </c>
      <c r="AF43" s="99">
        <v>10000000</v>
      </c>
      <c r="AG43" s="99">
        <v>10000000</v>
      </c>
      <c r="AH43" s="99">
        <v>10000000</v>
      </c>
      <c r="AI43" s="99">
        <v>10000000</v>
      </c>
      <c r="AJ43" s="99">
        <v>10000000</v>
      </c>
      <c r="AK43" s="99">
        <v>10000000</v>
      </c>
      <c r="AL43" s="99">
        <v>10000000</v>
      </c>
      <c r="AM43" s="99">
        <v>10000000</v>
      </c>
      <c r="AN43" s="99">
        <v>10000000</v>
      </c>
      <c r="AO43" s="99">
        <v>10000000</v>
      </c>
      <c r="AP43" s="99">
        <v>10000000</v>
      </c>
      <c r="AQ43" s="99">
        <v>10000000</v>
      </c>
      <c r="AR43" s="99">
        <v>10000000</v>
      </c>
      <c r="AS43" s="99">
        <v>10000000</v>
      </c>
      <c r="AT43" s="99">
        <v>10000000</v>
      </c>
      <c r="AU43" s="99">
        <v>10000000</v>
      </c>
      <c r="AV43" s="99">
        <v>10000000</v>
      </c>
      <c r="AW43" s="99">
        <v>10000000</v>
      </c>
      <c r="AX43" s="99">
        <v>10000000</v>
      </c>
    </row>
    <row r="45" spans="2:50">
      <c r="B45" s="102" t="s">
        <v>323</v>
      </c>
    </row>
    <row r="46" spans="2:50">
      <c r="B46" s="98" t="s">
        <v>273</v>
      </c>
      <c r="C46" s="98" t="s">
        <v>92</v>
      </c>
      <c r="D46" s="100"/>
      <c r="E46" s="100"/>
      <c r="F46" s="100"/>
      <c r="G46" s="98" t="s">
        <v>93</v>
      </c>
      <c r="H46" s="100"/>
      <c r="I46" s="100"/>
      <c r="J46" s="100"/>
      <c r="K46" s="98" t="s">
        <v>94</v>
      </c>
      <c r="L46" s="100"/>
      <c r="M46" s="100"/>
      <c r="N46" s="100"/>
      <c r="O46" s="98" t="s">
        <v>95</v>
      </c>
      <c r="P46" s="100"/>
      <c r="Q46" s="100"/>
      <c r="R46" s="100"/>
      <c r="S46" s="98" t="s">
        <v>96</v>
      </c>
      <c r="T46" s="100"/>
      <c r="U46" s="100"/>
      <c r="V46" s="100"/>
      <c r="W46" s="98" t="s">
        <v>97</v>
      </c>
      <c r="X46" s="100"/>
      <c r="Y46" s="100"/>
      <c r="Z46" s="100"/>
      <c r="AA46" s="98" t="s">
        <v>98</v>
      </c>
      <c r="AB46" s="100"/>
      <c r="AC46" s="100"/>
      <c r="AD46" s="100"/>
      <c r="AE46" s="98" t="s">
        <v>99</v>
      </c>
      <c r="AF46" s="100"/>
      <c r="AG46" s="100"/>
      <c r="AH46" s="100"/>
      <c r="AI46" s="98" t="s">
        <v>100</v>
      </c>
      <c r="AJ46" s="100"/>
      <c r="AK46" s="100"/>
      <c r="AL46" s="100"/>
      <c r="AM46" s="98" t="s">
        <v>101</v>
      </c>
      <c r="AN46" s="100"/>
      <c r="AO46" s="100"/>
      <c r="AP46" s="100"/>
      <c r="AQ46" s="98" t="s">
        <v>102</v>
      </c>
      <c r="AR46" s="100"/>
      <c r="AS46" s="100"/>
      <c r="AT46" s="100"/>
      <c r="AU46" s="98" t="s">
        <v>103</v>
      </c>
      <c r="AV46" s="100"/>
      <c r="AW46" s="100"/>
    </row>
    <row r="47" spans="2:50">
      <c r="B47" s="98" t="s">
        <v>324</v>
      </c>
      <c r="C47" s="98">
        <v>1</v>
      </c>
      <c r="D47" s="98">
        <v>2</v>
      </c>
      <c r="E47" s="98">
        <v>3</v>
      </c>
      <c r="F47" s="98">
        <v>4</v>
      </c>
      <c r="G47" s="98">
        <v>1</v>
      </c>
      <c r="H47" s="98">
        <v>2</v>
      </c>
      <c r="I47" s="98">
        <v>3</v>
      </c>
      <c r="J47" s="98">
        <v>4</v>
      </c>
      <c r="K47" s="98">
        <v>1</v>
      </c>
      <c r="L47" s="98">
        <v>2</v>
      </c>
      <c r="M47" s="98">
        <v>3</v>
      </c>
      <c r="N47" s="98">
        <v>4</v>
      </c>
      <c r="O47" s="98">
        <v>1</v>
      </c>
      <c r="P47" s="98">
        <v>2</v>
      </c>
      <c r="Q47" s="98">
        <v>3</v>
      </c>
      <c r="R47" s="98">
        <v>4</v>
      </c>
      <c r="S47" s="98">
        <v>1</v>
      </c>
      <c r="T47" s="98">
        <v>2</v>
      </c>
      <c r="U47" s="98">
        <v>3</v>
      </c>
      <c r="V47" s="98">
        <v>4</v>
      </c>
      <c r="W47" s="98">
        <v>1</v>
      </c>
      <c r="X47" s="98">
        <v>2</v>
      </c>
      <c r="Y47" s="98">
        <v>3</v>
      </c>
      <c r="Z47" s="98">
        <v>4</v>
      </c>
      <c r="AA47" s="98">
        <v>1</v>
      </c>
      <c r="AB47" s="98">
        <v>2</v>
      </c>
      <c r="AC47" s="98">
        <v>3</v>
      </c>
      <c r="AD47" s="98">
        <v>4</v>
      </c>
      <c r="AE47" s="98">
        <v>1</v>
      </c>
      <c r="AF47" s="98">
        <v>2</v>
      </c>
      <c r="AG47" s="98">
        <v>3</v>
      </c>
      <c r="AH47" s="98">
        <v>4</v>
      </c>
      <c r="AI47" s="98">
        <v>1</v>
      </c>
      <c r="AJ47" s="98">
        <v>2</v>
      </c>
      <c r="AK47" s="98">
        <v>3</v>
      </c>
      <c r="AL47" s="98">
        <v>4</v>
      </c>
      <c r="AM47" s="98">
        <v>1</v>
      </c>
      <c r="AN47" s="98">
        <v>2</v>
      </c>
      <c r="AO47" s="98">
        <v>3</v>
      </c>
      <c r="AP47" s="98">
        <v>4</v>
      </c>
      <c r="AQ47" s="98">
        <v>1</v>
      </c>
      <c r="AR47" s="98">
        <v>2</v>
      </c>
      <c r="AS47" s="98">
        <v>3</v>
      </c>
      <c r="AT47" s="98">
        <v>4</v>
      </c>
      <c r="AU47" s="98">
        <v>1</v>
      </c>
      <c r="AV47" s="98">
        <v>2</v>
      </c>
      <c r="AW47" s="98">
        <v>3</v>
      </c>
      <c r="AX47" s="98">
        <v>4</v>
      </c>
    </row>
    <row r="48" spans="2:50">
      <c r="B48" s="98" t="s">
        <v>104</v>
      </c>
      <c r="C48" s="99">
        <v>454.5</v>
      </c>
      <c r="D48" s="99">
        <v>454.5</v>
      </c>
      <c r="E48" s="99">
        <v>454.5</v>
      </c>
      <c r="F48" s="99">
        <v>454.5</v>
      </c>
      <c r="G48" s="99">
        <v>454.5</v>
      </c>
      <c r="H48" s="99">
        <v>454.5</v>
      </c>
      <c r="I48" s="99">
        <v>454.5</v>
      </c>
      <c r="J48" s="99">
        <v>454.5</v>
      </c>
      <c r="K48" s="99">
        <v>505</v>
      </c>
      <c r="L48" s="99">
        <v>505</v>
      </c>
      <c r="M48" s="99">
        <v>505</v>
      </c>
      <c r="N48" s="99">
        <v>505</v>
      </c>
      <c r="O48" s="99">
        <v>454.5</v>
      </c>
      <c r="P48" s="99">
        <v>454.5</v>
      </c>
      <c r="Q48" s="99">
        <v>454.5</v>
      </c>
      <c r="R48" s="99">
        <v>454.5</v>
      </c>
      <c r="S48" s="99">
        <v>454.5</v>
      </c>
      <c r="T48" s="99">
        <v>454.5</v>
      </c>
      <c r="U48" s="99">
        <v>454.5</v>
      </c>
      <c r="V48" s="99">
        <v>454.5</v>
      </c>
      <c r="W48" s="99">
        <v>555.5</v>
      </c>
      <c r="X48" s="99">
        <v>555.5</v>
      </c>
      <c r="Y48" s="99">
        <v>555.5</v>
      </c>
      <c r="Z48" s="99">
        <v>555.5</v>
      </c>
      <c r="AA48" s="99">
        <v>505</v>
      </c>
      <c r="AB48" s="99">
        <v>505</v>
      </c>
      <c r="AC48" s="99">
        <v>505</v>
      </c>
      <c r="AD48" s="99">
        <v>505</v>
      </c>
      <c r="AE48" s="99">
        <v>505</v>
      </c>
      <c r="AF48" s="99">
        <v>505</v>
      </c>
      <c r="AG48" s="99">
        <v>505</v>
      </c>
      <c r="AH48" s="99">
        <v>505</v>
      </c>
      <c r="AI48" s="99">
        <v>505</v>
      </c>
      <c r="AJ48" s="99">
        <v>505</v>
      </c>
      <c r="AK48" s="99">
        <v>505</v>
      </c>
      <c r="AL48" s="99">
        <v>505</v>
      </c>
      <c r="AM48" s="99">
        <v>555.5</v>
      </c>
      <c r="AN48" s="99">
        <v>555.5</v>
      </c>
      <c r="AO48" s="99">
        <v>555.5</v>
      </c>
      <c r="AP48" s="99">
        <v>555.5</v>
      </c>
      <c r="AQ48" s="99">
        <v>505</v>
      </c>
      <c r="AR48" s="99">
        <v>505</v>
      </c>
      <c r="AS48" s="99">
        <v>505</v>
      </c>
      <c r="AT48" s="99">
        <v>505</v>
      </c>
      <c r="AU48" s="99">
        <v>505</v>
      </c>
      <c r="AV48" s="99">
        <v>505</v>
      </c>
      <c r="AW48" s="99">
        <v>505</v>
      </c>
      <c r="AX48" s="99">
        <v>505</v>
      </c>
    </row>
    <row r="49" spans="2:51">
      <c r="B49" s="98" t="s">
        <v>105</v>
      </c>
      <c r="C49" s="99">
        <v>660</v>
      </c>
      <c r="D49" s="99">
        <v>660</v>
      </c>
      <c r="E49" s="99">
        <v>660</v>
      </c>
      <c r="F49" s="99">
        <v>660</v>
      </c>
      <c r="G49" s="99">
        <v>660</v>
      </c>
      <c r="H49" s="99">
        <v>660</v>
      </c>
      <c r="I49" s="99">
        <v>660</v>
      </c>
      <c r="J49" s="99">
        <v>660</v>
      </c>
      <c r="K49" s="99">
        <v>660</v>
      </c>
      <c r="L49" s="99">
        <v>660</v>
      </c>
      <c r="M49" s="99">
        <v>660</v>
      </c>
      <c r="N49" s="99">
        <v>660</v>
      </c>
      <c r="O49" s="99">
        <v>594</v>
      </c>
      <c r="P49" s="99">
        <v>594</v>
      </c>
      <c r="Q49" s="99">
        <v>594</v>
      </c>
      <c r="R49" s="99">
        <v>594</v>
      </c>
      <c r="S49" s="99">
        <v>594</v>
      </c>
      <c r="T49" s="99">
        <v>594</v>
      </c>
      <c r="U49" s="99">
        <v>594</v>
      </c>
      <c r="V49" s="99">
        <v>594</v>
      </c>
      <c r="W49" s="99">
        <v>660</v>
      </c>
      <c r="X49" s="99">
        <v>660</v>
      </c>
      <c r="Y49" s="99">
        <v>660</v>
      </c>
      <c r="Z49" s="99">
        <v>660</v>
      </c>
      <c r="AA49" s="99">
        <v>726.00000000000011</v>
      </c>
      <c r="AB49" s="99">
        <v>726.00000000000011</v>
      </c>
      <c r="AC49" s="99">
        <v>726.00000000000011</v>
      </c>
      <c r="AD49" s="99">
        <v>726.00000000000011</v>
      </c>
      <c r="AE49" s="99">
        <v>660</v>
      </c>
      <c r="AF49" s="99">
        <v>660</v>
      </c>
      <c r="AG49" s="99">
        <v>660</v>
      </c>
      <c r="AH49" s="99">
        <v>660</v>
      </c>
      <c r="AI49" s="99">
        <v>660</v>
      </c>
      <c r="AJ49" s="99">
        <v>660</v>
      </c>
      <c r="AK49" s="99">
        <v>660</v>
      </c>
      <c r="AL49" s="99">
        <v>660</v>
      </c>
      <c r="AM49" s="99">
        <v>660</v>
      </c>
      <c r="AN49" s="99">
        <v>660</v>
      </c>
      <c r="AO49" s="99">
        <v>660</v>
      </c>
      <c r="AP49" s="99">
        <v>660</v>
      </c>
      <c r="AQ49" s="99">
        <v>660</v>
      </c>
      <c r="AR49" s="99">
        <v>660</v>
      </c>
      <c r="AS49" s="99">
        <v>660</v>
      </c>
      <c r="AT49" s="99">
        <v>660</v>
      </c>
      <c r="AU49" s="99">
        <v>660</v>
      </c>
      <c r="AV49" s="99">
        <v>660</v>
      </c>
      <c r="AW49" s="99">
        <v>660</v>
      </c>
      <c r="AX49" s="99">
        <v>660</v>
      </c>
    </row>
    <row r="50" spans="2:51">
      <c r="B50" s="98" t="s">
        <v>106</v>
      </c>
      <c r="C50" s="99">
        <v>2353</v>
      </c>
      <c r="D50" s="99">
        <v>2353</v>
      </c>
      <c r="E50" s="99">
        <v>2353</v>
      </c>
      <c r="F50" s="99">
        <v>2353</v>
      </c>
      <c r="G50" s="99">
        <v>2353</v>
      </c>
      <c r="H50" s="99">
        <v>2353</v>
      </c>
      <c r="I50" s="99">
        <v>2353</v>
      </c>
      <c r="J50" s="99">
        <v>2353</v>
      </c>
      <c r="K50" s="99">
        <v>2039.5043908517712</v>
      </c>
      <c r="L50" s="99">
        <v>2353</v>
      </c>
      <c r="M50" s="99">
        <v>2353</v>
      </c>
      <c r="N50" s="99">
        <v>2353</v>
      </c>
      <c r="O50" s="99">
        <v>2353</v>
      </c>
      <c r="P50" s="99">
        <v>2353</v>
      </c>
      <c r="Q50" s="99">
        <v>2353</v>
      </c>
      <c r="R50" s="99">
        <v>2353</v>
      </c>
      <c r="S50" s="99">
        <v>2353</v>
      </c>
      <c r="T50" s="99">
        <v>2353</v>
      </c>
      <c r="U50" s="99">
        <v>2353</v>
      </c>
      <c r="V50" s="99">
        <v>2353</v>
      </c>
      <c r="W50" s="99">
        <v>2353</v>
      </c>
      <c r="X50" s="99">
        <v>2353</v>
      </c>
      <c r="Y50" s="99">
        <v>2353</v>
      </c>
      <c r="Z50" s="99">
        <v>2353</v>
      </c>
      <c r="AA50" s="99">
        <v>2353</v>
      </c>
      <c r="AB50" s="99">
        <v>2353</v>
      </c>
      <c r="AC50" s="99">
        <v>2353</v>
      </c>
      <c r="AD50" s="99">
        <v>2353</v>
      </c>
      <c r="AE50" s="99">
        <v>2588.3000000000002</v>
      </c>
      <c r="AF50" s="99">
        <v>2588.3000000000002</v>
      </c>
      <c r="AG50" s="99">
        <v>2588.3000000000002</v>
      </c>
      <c r="AH50" s="99">
        <v>2588.3000000000002</v>
      </c>
      <c r="AI50" s="99">
        <v>2588.3000000000002</v>
      </c>
      <c r="AJ50" s="99">
        <v>2588.3000000000002</v>
      </c>
      <c r="AK50" s="99">
        <v>2588.3000000000002</v>
      </c>
      <c r="AL50" s="99">
        <v>2588.3000000000002</v>
      </c>
      <c r="AM50" s="99">
        <v>2353</v>
      </c>
      <c r="AN50" s="99">
        <v>2353</v>
      </c>
      <c r="AO50" s="99">
        <v>2353</v>
      </c>
      <c r="AP50" s="99">
        <v>2353</v>
      </c>
      <c r="AQ50" s="99">
        <v>2353</v>
      </c>
      <c r="AR50" s="99">
        <v>2353</v>
      </c>
      <c r="AS50" s="99">
        <v>2353</v>
      </c>
      <c r="AT50" s="99">
        <v>2353</v>
      </c>
      <c r="AU50" s="99">
        <v>2117.7000000000003</v>
      </c>
      <c r="AV50" s="99">
        <v>2117.7000000000003</v>
      </c>
      <c r="AW50" s="99">
        <v>2117.7000000000003</v>
      </c>
      <c r="AX50" s="99">
        <v>2117.7000000000003</v>
      </c>
      <c r="AY50" s="111"/>
    </row>
    <row r="51" spans="2:51">
      <c r="B51" s="98" t="s">
        <v>107</v>
      </c>
      <c r="C51" s="99">
        <v>1616</v>
      </c>
      <c r="D51" s="99">
        <v>1616</v>
      </c>
      <c r="E51" s="99">
        <v>1207.907227815004</v>
      </c>
      <c r="F51" s="99">
        <v>1616</v>
      </c>
      <c r="G51" s="99">
        <v>1616</v>
      </c>
      <c r="H51" s="99">
        <v>1616</v>
      </c>
      <c r="I51" s="99">
        <v>1616</v>
      </c>
      <c r="J51" s="99">
        <v>1616</v>
      </c>
      <c r="K51" s="99">
        <v>1616</v>
      </c>
      <c r="L51" s="99">
        <v>1616</v>
      </c>
      <c r="M51" s="99">
        <v>1616</v>
      </c>
      <c r="N51" s="99">
        <v>1616</v>
      </c>
      <c r="O51" s="99">
        <v>1616</v>
      </c>
      <c r="P51" s="99">
        <v>1616</v>
      </c>
      <c r="Q51" s="99">
        <v>1616</v>
      </c>
      <c r="R51" s="99">
        <v>1616</v>
      </c>
      <c r="S51" s="99">
        <v>1616</v>
      </c>
      <c r="T51" s="99">
        <v>1616</v>
      </c>
      <c r="U51" s="99">
        <v>1616</v>
      </c>
      <c r="V51" s="99">
        <v>1616</v>
      </c>
      <c r="W51" s="99">
        <v>1616</v>
      </c>
      <c r="X51" s="99">
        <v>1616</v>
      </c>
      <c r="Y51" s="99">
        <v>1616</v>
      </c>
      <c r="Z51" s="99">
        <v>1616</v>
      </c>
      <c r="AA51" s="99">
        <v>1616</v>
      </c>
      <c r="AB51" s="99">
        <v>1616</v>
      </c>
      <c r="AC51" s="99">
        <v>1616</v>
      </c>
      <c r="AD51" s="99">
        <v>1616</v>
      </c>
      <c r="AE51" s="99">
        <v>1616</v>
      </c>
      <c r="AF51" s="99">
        <v>1616</v>
      </c>
      <c r="AG51" s="99">
        <v>1616</v>
      </c>
      <c r="AH51" s="99">
        <v>1616</v>
      </c>
      <c r="AI51" s="99">
        <v>1616</v>
      </c>
      <c r="AJ51" s="99">
        <v>1616</v>
      </c>
      <c r="AK51" s="99">
        <v>1616</v>
      </c>
      <c r="AL51" s="99">
        <v>1616</v>
      </c>
      <c r="AM51" s="99">
        <v>1294.6165806617096</v>
      </c>
      <c r="AN51" s="99">
        <v>1296.9945267140758</v>
      </c>
      <c r="AO51" s="99">
        <v>1454.4</v>
      </c>
      <c r="AP51" s="99">
        <v>1454.4</v>
      </c>
      <c r="AQ51" s="99">
        <v>1616</v>
      </c>
      <c r="AR51" s="99">
        <v>1616</v>
      </c>
      <c r="AS51" s="99">
        <v>1616</v>
      </c>
      <c r="AT51" s="99">
        <v>1616</v>
      </c>
      <c r="AU51" s="99">
        <v>1777.6000000000001</v>
      </c>
      <c r="AV51" s="99">
        <v>1777.6000000000001</v>
      </c>
      <c r="AW51" s="99">
        <v>1777.6000000000001</v>
      </c>
      <c r="AX51" s="99">
        <v>1777.6000000000001</v>
      </c>
      <c r="AY51" s="110"/>
    </row>
    <row r="52" spans="2:51">
      <c r="B52" s="98" t="s">
        <v>108</v>
      </c>
      <c r="C52" s="99">
        <v>165</v>
      </c>
      <c r="D52" s="99">
        <v>165</v>
      </c>
      <c r="E52" s="99">
        <v>165</v>
      </c>
      <c r="F52" s="99">
        <v>165</v>
      </c>
      <c r="G52" s="99">
        <v>165</v>
      </c>
      <c r="H52" s="99">
        <v>165</v>
      </c>
      <c r="I52" s="99">
        <v>165</v>
      </c>
      <c r="J52" s="99">
        <v>165</v>
      </c>
      <c r="K52" s="99">
        <v>165</v>
      </c>
      <c r="L52" s="99">
        <v>165</v>
      </c>
      <c r="M52" s="99">
        <v>165</v>
      </c>
      <c r="N52" s="99">
        <v>165</v>
      </c>
      <c r="O52" s="99">
        <v>165</v>
      </c>
      <c r="P52" s="99">
        <v>165</v>
      </c>
      <c r="Q52" s="99">
        <v>165</v>
      </c>
      <c r="R52" s="99">
        <v>165</v>
      </c>
      <c r="S52" s="99">
        <v>165</v>
      </c>
      <c r="T52" s="99">
        <v>165</v>
      </c>
      <c r="U52" s="99">
        <v>165</v>
      </c>
      <c r="V52" s="99">
        <v>165</v>
      </c>
      <c r="W52" s="99">
        <v>165</v>
      </c>
      <c r="X52" s="99">
        <v>165</v>
      </c>
      <c r="Y52" s="99">
        <v>165</v>
      </c>
      <c r="Z52" s="99">
        <v>165</v>
      </c>
      <c r="AA52" s="99">
        <v>165</v>
      </c>
      <c r="AB52" s="99">
        <v>165</v>
      </c>
      <c r="AC52" s="99">
        <v>165</v>
      </c>
      <c r="AD52" s="99">
        <v>165</v>
      </c>
      <c r="AE52" s="99">
        <v>165</v>
      </c>
      <c r="AF52" s="99">
        <v>165</v>
      </c>
      <c r="AG52" s="99">
        <v>165</v>
      </c>
      <c r="AH52" s="99">
        <v>165</v>
      </c>
      <c r="AI52" s="99">
        <v>165</v>
      </c>
      <c r="AJ52" s="99">
        <v>165</v>
      </c>
      <c r="AK52" s="99">
        <v>165</v>
      </c>
      <c r="AL52" s="99">
        <v>165</v>
      </c>
      <c r="AM52" s="99">
        <v>165</v>
      </c>
      <c r="AN52" s="99">
        <v>165</v>
      </c>
      <c r="AO52" s="99">
        <v>165</v>
      </c>
      <c r="AP52" s="99">
        <v>165</v>
      </c>
      <c r="AQ52" s="99">
        <v>165</v>
      </c>
      <c r="AR52" s="99">
        <v>165</v>
      </c>
      <c r="AS52" s="99">
        <v>165</v>
      </c>
      <c r="AT52" s="99">
        <v>165</v>
      </c>
      <c r="AU52" s="99">
        <v>165</v>
      </c>
      <c r="AV52" s="99">
        <v>165</v>
      </c>
      <c r="AW52" s="99">
        <v>165</v>
      </c>
      <c r="AX52" s="99">
        <v>165</v>
      </c>
    </row>
    <row r="53" spans="2:51">
      <c r="B53" s="98" t="s">
        <v>109</v>
      </c>
      <c r="C53" s="99">
        <v>160</v>
      </c>
      <c r="D53" s="99">
        <v>160</v>
      </c>
      <c r="E53" s="99">
        <v>160</v>
      </c>
      <c r="F53" s="99">
        <v>160</v>
      </c>
      <c r="G53" s="99">
        <v>160</v>
      </c>
      <c r="H53" s="99">
        <v>160</v>
      </c>
      <c r="I53" s="99">
        <v>160</v>
      </c>
      <c r="J53" s="99">
        <v>160</v>
      </c>
      <c r="K53" s="99">
        <v>144</v>
      </c>
      <c r="L53" s="99">
        <v>144</v>
      </c>
      <c r="M53" s="99">
        <v>144</v>
      </c>
      <c r="N53" s="99">
        <v>144</v>
      </c>
      <c r="O53" s="99">
        <v>144</v>
      </c>
      <c r="P53" s="99">
        <v>144</v>
      </c>
      <c r="Q53" s="99">
        <v>144</v>
      </c>
      <c r="R53" s="99">
        <v>144</v>
      </c>
      <c r="S53" s="99">
        <v>144</v>
      </c>
      <c r="T53" s="99">
        <v>144</v>
      </c>
      <c r="U53" s="99">
        <v>144</v>
      </c>
      <c r="V53" s="99">
        <v>144</v>
      </c>
      <c r="W53" s="99">
        <v>144</v>
      </c>
      <c r="X53" s="99">
        <v>144</v>
      </c>
      <c r="Y53" s="99">
        <v>144</v>
      </c>
      <c r="Z53" s="99">
        <v>144</v>
      </c>
      <c r="AA53" s="99">
        <v>160</v>
      </c>
      <c r="AB53" s="99">
        <v>160</v>
      </c>
      <c r="AC53" s="99">
        <v>160</v>
      </c>
      <c r="AD53" s="99">
        <v>160</v>
      </c>
      <c r="AE53" s="99">
        <v>144</v>
      </c>
      <c r="AF53" s="99">
        <v>144</v>
      </c>
      <c r="AG53" s="99">
        <v>144</v>
      </c>
      <c r="AH53" s="99">
        <v>144</v>
      </c>
      <c r="AI53" s="99">
        <v>160</v>
      </c>
      <c r="AJ53" s="99">
        <v>160</v>
      </c>
      <c r="AK53" s="99">
        <v>160</v>
      </c>
      <c r="AL53" s="99">
        <v>160</v>
      </c>
      <c r="AM53" s="99">
        <v>160</v>
      </c>
      <c r="AN53" s="99">
        <v>160</v>
      </c>
      <c r="AO53" s="99">
        <v>160</v>
      </c>
      <c r="AP53" s="99">
        <v>160</v>
      </c>
      <c r="AQ53" s="99">
        <v>144</v>
      </c>
      <c r="AR53" s="99">
        <v>144</v>
      </c>
      <c r="AS53" s="99">
        <v>144</v>
      </c>
      <c r="AT53" s="99">
        <v>144</v>
      </c>
      <c r="AU53" s="99">
        <v>160</v>
      </c>
      <c r="AV53" s="99">
        <v>160</v>
      </c>
      <c r="AW53" s="99">
        <v>160</v>
      </c>
      <c r="AX53" s="99">
        <v>160</v>
      </c>
    </row>
    <row r="55" spans="2:51">
      <c r="B55" s="173" t="s">
        <v>325</v>
      </c>
      <c r="C55" s="174"/>
      <c r="D55" s="174"/>
      <c r="E55" s="174"/>
      <c r="F55" s="174"/>
      <c r="G55" s="174"/>
      <c r="H55" s="174"/>
      <c r="I55" s="174"/>
      <c r="J55" s="174"/>
      <c r="K55" s="174"/>
      <c r="L55" s="174"/>
      <c r="M55" s="174"/>
      <c r="N55" s="174"/>
      <c r="O55" s="174"/>
      <c r="P55" s="174"/>
      <c r="Q55" s="174"/>
      <c r="R55" s="174"/>
      <c r="S55" s="174"/>
      <c r="T55" s="174"/>
      <c r="U55" s="174"/>
      <c r="V55" s="174"/>
      <c r="W55" s="174"/>
      <c r="X55" s="174"/>
      <c r="Y55" s="174"/>
      <c r="Z55" s="174"/>
      <c r="AA55" s="174"/>
      <c r="AB55" s="174"/>
      <c r="AC55" s="174"/>
      <c r="AD55" s="174"/>
      <c r="AE55" s="174"/>
      <c r="AF55" s="174"/>
      <c r="AG55" s="174"/>
      <c r="AH55" s="174"/>
      <c r="AI55" s="174"/>
      <c r="AJ55" s="174"/>
      <c r="AK55" s="174"/>
      <c r="AL55" s="174"/>
      <c r="AM55" s="174"/>
      <c r="AN55" s="174"/>
      <c r="AO55" s="174"/>
      <c r="AP55" s="174"/>
      <c r="AQ55" s="174"/>
      <c r="AR55" s="174"/>
      <c r="AS55" s="174"/>
      <c r="AT55" s="174"/>
      <c r="AU55" s="174"/>
      <c r="AV55" s="174"/>
      <c r="AW55" s="174"/>
      <c r="AX55" s="174"/>
    </row>
    <row r="56" spans="2:51">
      <c r="B56" s="104" t="s">
        <v>273</v>
      </c>
      <c r="C56" s="104" t="s">
        <v>92</v>
      </c>
      <c r="D56" s="100"/>
      <c r="E56" s="100"/>
      <c r="F56" s="100"/>
      <c r="G56" s="104" t="s">
        <v>93</v>
      </c>
      <c r="H56" s="100"/>
      <c r="I56" s="100"/>
      <c r="J56" s="100"/>
      <c r="K56" s="104" t="s">
        <v>94</v>
      </c>
      <c r="L56" s="100"/>
      <c r="M56" s="100"/>
      <c r="N56" s="100"/>
      <c r="O56" s="104" t="s">
        <v>95</v>
      </c>
      <c r="P56" s="100"/>
      <c r="Q56" s="100"/>
      <c r="R56" s="100"/>
      <c r="S56" s="104" t="s">
        <v>96</v>
      </c>
      <c r="T56" s="100"/>
      <c r="U56" s="100"/>
      <c r="V56" s="100"/>
      <c r="W56" s="104" t="s">
        <v>97</v>
      </c>
      <c r="X56" s="100"/>
      <c r="Y56" s="100"/>
      <c r="Z56" s="100"/>
      <c r="AA56" s="104" t="s">
        <v>98</v>
      </c>
      <c r="AB56" s="100"/>
      <c r="AC56" s="100"/>
      <c r="AD56" s="100"/>
      <c r="AE56" s="104" t="s">
        <v>99</v>
      </c>
      <c r="AF56" s="100"/>
      <c r="AG56" s="100"/>
      <c r="AH56" s="100"/>
      <c r="AI56" s="104" t="s">
        <v>100</v>
      </c>
      <c r="AJ56" s="100"/>
      <c r="AK56" s="100"/>
      <c r="AL56" s="100"/>
      <c r="AM56" s="104" t="s">
        <v>101</v>
      </c>
      <c r="AN56" s="100"/>
      <c r="AO56" s="100"/>
      <c r="AP56" s="100"/>
      <c r="AQ56" s="104" t="s">
        <v>102</v>
      </c>
      <c r="AR56" s="100"/>
      <c r="AS56" s="100"/>
      <c r="AT56" s="100"/>
      <c r="AU56" s="104" t="s">
        <v>103</v>
      </c>
      <c r="AV56" s="100"/>
      <c r="AW56" s="100"/>
    </row>
    <row r="57" spans="2:51">
      <c r="B57" s="104" t="s">
        <v>324</v>
      </c>
      <c r="C57" s="104">
        <v>1</v>
      </c>
      <c r="D57" s="104">
        <v>2</v>
      </c>
      <c r="E57" s="104">
        <v>3</v>
      </c>
      <c r="F57" s="104">
        <v>4</v>
      </c>
      <c r="G57" s="104">
        <v>1</v>
      </c>
      <c r="H57" s="104">
        <v>2</v>
      </c>
      <c r="I57" s="104">
        <v>3</v>
      </c>
      <c r="J57" s="104">
        <v>4</v>
      </c>
      <c r="K57" s="104">
        <v>1</v>
      </c>
      <c r="L57" s="104">
        <v>2</v>
      </c>
      <c r="M57" s="104">
        <v>3</v>
      </c>
      <c r="N57" s="104">
        <v>4</v>
      </c>
      <c r="O57" s="104">
        <v>1</v>
      </c>
      <c r="P57" s="104">
        <v>2</v>
      </c>
      <c r="Q57" s="104">
        <v>3</v>
      </c>
      <c r="R57" s="104">
        <v>4</v>
      </c>
      <c r="S57" s="104">
        <v>1</v>
      </c>
      <c r="T57" s="104">
        <v>2</v>
      </c>
      <c r="U57" s="104">
        <v>3</v>
      </c>
      <c r="V57" s="104">
        <v>4</v>
      </c>
      <c r="W57" s="104">
        <v>1</v>
      </c>
      <c r="X57" s="104">
        <v>2</v>
      </c>
      <c r="Y57" s="104">
        <v>3</v>
      </c>
      <c r="Z57" s="104">
        <v>4</v>
      </c>
      <c r="AA57" s="104">
        <v>1</v>
      </c>
      <c r="AB57" s="104">
        <v>2</v>
      </c>
      <c r="AC57" s="104">
        <v>3</v>
      </c>
      <c r="AD57" s="104">
        <v>4</v>
      </c>
      <c r="AE57" s="104">
        <v>1</v>
      </c>
      <c r="AF57" s="104">
        <v>2</v>
      </c>
      <c r="AG57" s="104">
        <v>3</v>
      </c>
      <c r="AH57" s="104">
        <v>4</v>
      </c>
      <c r="AI57" s="104">
        <v>1</v>
      </c>
      <c r="AJ57" s="104">
        <v>2</v>
      </c>
      <c r="AK57" s="104">
        <v>3</v>
      </c>
      <c r="AL57" s="104">
        <v>4</v>
      </c>
      <c r="AM57" s="104">
        <v>1</v>
      </c>
      <c r="AN57" s="104">
        <v>2</v>
      </c>
      <c r="AO57" s="104">
        <v>3</v>
      </c>
      <c r="AP57" s="104">
        <v>4</v>
      </c>
      <c r="AQ57" s="104">
        <v>1</v>
      </c>
      <c r="AR57" s="104">
        <v>2</v>
      </c>
      <c r="AS57" s="104">
        <v>3</v>
      </c>
      <c r="AT57" s="104">
        <v>4</v>
      </c>
      <c r="AU57" s="104">
        <v>1</v>
      </c>
      <c r="AV57" s="104">
        <v>2</v>
      </c>
      <c r="AW57" s="104">
        <v>3</v>
      </c>
      <c r="AX57" s="104">
        <v>4</v>
      </c>
    </row>
    <row r="58" spans="2:51">
      <c r="B58" s="104" t="s">
        <v>104</v>
      </c>
      <c r="C58" s="99">
        <v>802422.50624455418</v>
      </c>
      <c r="D58" s="99">
        <v>802422.50624455418</v>
      </c>
      <c r="E58" s="99">
        <v>802422.50624455418</v>
      </c>
      <c r="F58" s="99">
        <v>802422.50624455418</v>
      </c>
      <c r="G58" s="99">
        <v>700250.30399362405</v>
      </c>
      <c r="H58" s="99">
        <v>700250.30399362405</v>
      </c>
      <c r="I58" s="99">
        <v>700250.30399362405</v>
      </c>
      <c r="J58" s="99">
        <v>700250.30399362405</v>
      </c>
      <c r="K58" s="99">
        <v>663071.79213537974</v>
      </c>
      <c r="L58" s="99">
        <v>663071.79213537974</v>
      </c>
      <c r="M58" s="99">
        <v>663071.79213537974</v>
      </c>
      <c r="N58" s="99">
        <v>663071.79213537974</v>
      </c>
      <c r="O58" s="99">
        <v>702010.35998718883</v>
      </c>
      <c r="P58" s="99">
        <v>702010.35998718883</v>
      </c>
      <c r="Q58" s="99">
        <v>702010.35998718883</v>
      </c>
      <c r="R58" s="99">
        <v>702010.35998718883</v>
      </c>
      <c r="S58" s="99">
        <v>825264.07018800569</v>
      </c>
      <c r="T58" s="99">
        <v>825264.07018800569</v>
      </c>
      <c r="U58" s="99">
        <v>825264.07018800569</v>
      </c>
      <c r="V58" s="99">
        <v>825264.07018800569</v>
      </c>
      <c r="W58" s="99">
        <v>586161.90204401826</v>
      </c>
      <c r="X58" s="99">
        <v>586161.90204401826</v>
      </c>
      <c r="Y58" s="99">
        <v>586161.90204401826</v>
      </c>
      <c r="Z58" s="99">
        <v>586161.90204401826</v>
      </c>
      <c r="AA58" s="99">
        <v>691011.5498398639</v>
      </c>
      <c r="AB58" s="99">
        <v>691011.5498398639</v>
      </c>
      <c r="AC58" s="99">
        <v>691011.5498398639</v>
      </c>
      <c r="AD58" s="99">
        <v>691011.5498398639</v>
      </c>
      <c r="AE58" s="99">
        <v>710566.51180871762</v>
      </c>
      <c r="AF58" s="99">
        <v>710566.51180871762</v>
      </c>
      <c r="AG58" s="99">
        <v>710566.51180871762</v>
      </c>
      <c r="AH58" s="99">
        <v>710566.51180871762</v>
      </c>
      <c r="AI58" s="99">
        <v>700116.42520043277</v>
      </c>
      <c r="AJ58" s="99">
        <v>700116.42520043277</v>
      </c>
      <c r="AK58" s="99">
        <v>700116.42520043277</v>
      </c>
      <c r="AL58" s="99">
        <v>700116.42520043277</v>
      </c>
      <c r="AM58" s="99">
        <v>557679.68874093192</v>
      </c>
      <c r="AN58" s="99">
        <v>557679.68874093192</v>
      </c>
      <c r="AO58" s="99">
        <v>557679.68874093192</v>
      </c>
      <c r="AP58" s="99">
        <v>557679.68874093192</v>
      </c>
      <c r="AQ58" s="99">
        <v>698292.0287405072</v>
      </c>
      <c r="AR58" s="99">
        <v>698292.0287405072</v>
      </c>
      <c r="AS58" s="99">
        <v>698292.0287405072</v>
      </c>
      <c r="AT58" s="99">
        <v>698292.0287405072</v>
      </c>
      <c r="AU58" s="99">
        <v>677373.30232345022</v>
      </c>
      <c r="AV58" s="99">
        <v>677373.30232345022</v>
      </c>
      <c r="AW58" s="99">
        <v>677373.30232345022</v>
      </c>
      <c r="AX58" s="99">
        <v>677373.30232345022</v>
      </c>
    </row>
    <row r="59" spans="2:51">
      <c r="B59" s="104" t="s">
        <v>105</v>
      </c>
      <c r="C59" s="99">
        <v>946827.14527384948</v>
      </c>
      <c r="D59" s="99">
        <v>946827.14527384948</v>
      </c>
      <c r="E59" s="99">
        <v>946827.14527384948</v>
      </c>
      <c r="F59" s="99">
        <v>946827.14527384948</v>
      </c>
      <c r="G59" s="99">
        <v>940467.33239581645</v>
      </c>
      <c r="H59" s="99">
        <v>940467.33239581645</v>
      </c>
      <c r="I59" s="99">
        <v>940467.33239581645</v>
      </c>
      <c r="J59" s="99">
        <v>940467.33239581645</v>
      </c>
      <c r="K59" s="99">
        <v>945977.57944204507</v>
      </c>
      <c r="L59" s="99">
        <v>945977.57944204507</v>
      </c>
      <c r="M59" s="99">
        <v>945977.57944204507</v>
      </c>
      <c r="N59" s="99">
        <v>945977.57944204507</v>
      </c>
      <c r="O59" s="99">
        <v>925671.76571050601</v>
      </c>
      <c r="P59" s="99">
        <v>925671.76571050601</v>
      </c>
      <c r="Q59" s="99">
        <v>925671.76571050601</v>
      </c>
      <c r="R59" s="99">
        <v>925671.76571050601</v>
      </c>
      <c r="S59" s="99">
        <v>1032063.8336838403</v>
      </c>
      <c r="T59" s="99">
        <v>1032063.8336838403</v>
      </c>
      <c r="U59" s="99">
        <v>1032063.8336838403</v>
      </c>
      <c r="V59" s="99">
        <v>1032063.8336838403</v>
      </c>
      <c r="W59" s="99">
        <v>883361.41657387943</v>
      </c>
      <c r="X59" s="99">
        <v>883361.41657387943</v>
      </c>
      <c r="Y59" s="99">
        <v>883361.41657387943</v>
      </c>
      <c r="Z59" s="99">
        <v>883361.41657387943</v>
      </c>
      <c r="AA59" s="99">
        <v>918527.56406966224</v>
      </c>
      <c r="AB59" s="99">
        <v>918527.56406966224</v>
      </c>
      <c r="AC59" s="99">
        <v>918527.56406966224</v>
      </c>
      <c r="AD59" s="99">
        <v>918527.56406966224</v>
      </c>
      <c r="AE59" s="99">
        <v>953787.55744608713</v>
      </c>
      <c r="AF59" s="99">
        <v>953787.55744608713</v>
      </c>
      <c r="AG59" s="99">
        <v>953787.55744608713</v>
      </c>
      <c r="AH59" s="99">
        <v>953787.55744608713</v>
      </c>
      <c r="AI59" s="99">
        <v>910362.96453419747</v>
      </c>
      <c r="AJ59" s="99">
        <v>910362.96453419747</v>
      </c>
      <c r="AK59" s="99">
        <v>910362.96453419747</v>
      </c>
      <c r="AL59" s="99">
        <v>910362.96453419747</v>
      </c>
      <c r="AM59" s="99">
        <v>973314.24931329058</v>
      </c>
      <c r="AN59" s="99">
        <v>973314.24931329058</v>
      </c>
      <c r="AO59" s="99">
        <v>973314.24931329058</v>
      </c>
      <c r="AP59" s="99">
        <v>973314.24931329058</v>
      </c>
      <c r="AQ59" s="99">
        <v>869996.31833057769</v>
      </c>
      <c r="AR59" s="99">
        <v>869996.31833057769</v>
      </c>
      <c r="AS59" s="99">
        <v>869996.31833057769</v>
      </c>
      <c r="AT59" s="99">
        <v>869996.31833057769</v>
      </c>
      <c r="AU59" s="99">
        <v>858759.81885219202</v>
      </c>
      <c r="AV59" s="99">
        <v>858759.81885219202</v>
      </c>
      <c r="AW59" s="99">
        <v>858759.81885219202</v>
      </c>
      <c r="AX59" s="99">
        <v>858759.81885219202</v>
      </c>
    </row>
    <row r="60" spans="2:51">
      <c r="B60" s="104" t="s">
        <v>106</v>
      </c>
      <c r="C60" s="99">
        <v>3625406.1998546948</v>
      </c>
      <c r="D60" s="99">
        <v>3625406.1998546948</v>
      </c>
      <c r="E60" s="99">
        <v>3625406.1998546948</v>
      </c>
      <c r="F60" s="99">
        <v>3625406.1998546948</v>
      </c>
      <c r="G60" s="99">
        <v>3409180.7373777614</v>
      </c>
      <c r="H60" s="99">
        <v>3409180.7373777614</v>
      </c>
      <c r="I60" s="99">
        <v>3409180.7373777614</v>
      </c>
      <c r="J60" s="99">
        <v>3409180.7373777614</v>
      </c>
      <c r="K60" s="99">
        <v>3164570.3082763804</v>
      </c>
      <c r="L60" s="99">
        <v>3651001.6692165616</v>
      </c>
      <c r="M60" s="99">
        <v>3651001.6692165616</v>
      </c>
      <c r="N60" s="99">
        <v>3651001.6692165616</v>
      </c>
      <c r="O60" s="99">
        <v>3627666.5990838553</v>
      </c>
      <c r="P60" s="99">
        <v>3627666.5990838553</v>
      </c>
      <c r="Q60" s="99">
        <v>3627666.5990838553</v>
      </c>
      <c r="R60" s="99">
        <v>3627666.5990838553</v>
      </c>
      <c r="S60" s="99">
        <v>3728291.2371073565</v>
      </c>
      <c r="T60" s="99">
        <v>3728291.2371073565</v>
      </c>
      <c r="U60" s="99">
        <v>3728291.2371073565</v>
      </c>
      <c r="V60" s="99">
        <v>3728291.2371073565</v>
      </c>
      <c r="W60" s="99">
        <v>3423096.6059564846</v>
      </c>
      <c r="X60" s="99">
        <v>3423096.6059564846</v>
      </c>
      <c r="Y60" s="99">
        <v>3423096.6059564846</v>
      </c>
      <c r="Z60" s="99">
        <v>3423096.6059564846</v>
      </c>
      <c r="AA60" s="99">
        <v>3488705.7517383951</v>
      </c>
      <c r="AB60" s="99">
        <v>3488705.7517383951</v>
      </c>
      <c r="AC60" s="99">
        <v>3488705.7517383951</v>
      </c>
      <c r="AD60" s="99">
        <v>3488705.7517383951</v>
      </c>
      <c r="AE60" s="99">
        <v>3556807.1195895886</v>
      </c>
      <c r="AF60" s="99">
        <v>3556807.1195895886</v>
      </c>
      <c r="AG60" s="99">
        <v>3556807.1195895886</v>
      </c>
      <c r="AH60" s="99">
        <v>3556807.1195895886</v>
      </c>
      <c r="AI60" s="99">
        <v>3618099.0191673762</v>
      </c>
      <c r="AJ60" s="99">
        <v>3618099.0191673762</v>
      </c>
      <c r="AK60" s="99">
        <v>3618099.0191673762</v>
      </c>
      <c r="AL60" s="99">
        <v>3618099.0191673762</v>
      </c>
      <c r="AM60" s="99">
        <v>3338090.8175213197</v>
      </c>
      <c r="AN60" s="99">
        <v>3338090.8175213197</v>
      </c>
      <c r="AO60" s="99">
        <v>3338090.8175213197</v>
      </c>
      <c r="AP60" s="99">
        <v>3338090.8175213197</v>
      </c>
      <c r="AQ60" s="99">
        <v>3491891.7352932477</v>
      </c>
      <c r="AR60" s="99">
        <v>3491891.7352932477</v>
      </c>
      <c r="AS60" s="99">
        <v>3491891.7352932477</v>
      </c>
      <c r="AT60" s="99">
        <v>3491891.7352932477</v>
      </c>
      <c r="AU60" s="99">
        <v>4112254.8996235225</v>
      </c>
      <c r="AV60" s="99">
        <v>4112254.8996235225</v>
      </c>
      <c r="AW60" s="99">
        <v>4112254.8996235225</v>
      </c>
      <c r="AX60" s="99">
        <v>4112254.8996235225</v>
      </c>
    </row>
    <row r="61" spans="2:51">
      <c r="B61" s="104" t="s">
        <v>107</v>
      </c>
      <c r="C61" s="99">
        <v>2518105.7794708339</v>
      </c>
      <c r="D61" s="99">
        <v>2518105.7794708339</v>
      </c>
      <c r="E61" s="99">
        <v>1882201.8387534374</v>
      </c>
      <c r="F61" s="99">
        <v>2518105.7794708339</v>
      </c>
      <c r="G61" s="99">
        <v>2397989.4017493888</v>
      </c>
      <c r="H61" s="99">
        <v>2397989.4017493888</v>
      </c>
      <c r="I61" s="99">
        <v>2397989.4017493888</v>
      </c>
      <c r="J61" s="99">
        <v>2397989.4017493888</v>
      </c>
      <c r="K61" s="99">
        <v>2328202.3647635812</v>
      </c>
      <c r="L61" s="99">
        <v>2328202.3647635812</v>
      </c>
      <c r="M61" s="99">
        <v>2328202.3647635812</v>
      </c>
      <c r="N61" s="99">
        <v>2328202.3647635812</v>
      </c>
      <c r="O61" s="99">
        <v>2218912.9748572242</v>
      </c>
      <c r="P61" s="99">
        <v>2218912.9748572242</v>
      </c>
      <c r="Q61" s="99">
        <v>2218912.9748572242</v>
      </c>
      <c r="R61" s="99">
        <v>2218912.9748572242</v>
      </c>
      <c r="S61" s="99">
        <v>2221292.8515454168</v>
      </c>
      <c r="T61" s="99">
        <v>2221292.8515454168</v>
      </c>
      <c r="U61" s="99">
        <v>2221292.8515454168</v>
      </c>
      <c r="V61" s="99">
        <v>2221292.8515454168</v>
      </c>
      <c r="W61" s="99">
        <v>2438091.2511980818</v>
      </c>
      <c r="X61" s="99">
        <v>2438091.2511980818</v>
      </c>
      <c r="Y61" s="99">
        <v>2438091.2511980818</v>
      </c>
      <c r="Z61" s="99">
        <v>2438091.2511980818</v>
      </c>
      <c r="AA61" s="99">
        <v>2323077.9322198424</v>
      </c>
      <c r="AB61" s="99">
        <v>2323077.9322198424</v>
      </c>
      <c r="AC61" s="99">
        <v>2323077.9322198424</v>
      </c>
      <c r="AD61" s="99">
        <v>2323077.9322198424</v>
      </c>
      <c r="AE61" s="99">
        <v>2425633.9181156596</v>
      </c>
      <c r="AF61" s="99">
        <v>2425633.9181156596</v>
      </c>
      <c r="AG61" s="99">
        <v>2425633.9181156596</v>
      </c>
      <c r="AH61" s="99">
        <v>2425633.9181156596</v>
      </c>
      <c r="AI61" s="99">
        <v>2275791.8434609934</v>
      </c>
      <c r="AJ61" s="99">
        <v>2275791.8434609934</v>
      </c>
      <c r="AK61" s="99">
        <v>2275791.8434609934</v>
      </c>
      <c r="AL61" s="99">
        <v>2275791.8434609934</v>
      </c>
      <c r="AM61" s="99">
        <v>2226277.4015983939</v>
      </c>
      <c r="AN61" s="99">
        <v>2230366.6181569346</v>
      </c>
      <c r="AO61" s="99">
        <v>2501047.7242843108</v>
      </c>
      <c r="AP61" s="99">
        <v>2501047.7242843108</v>
      </c>
      <c r="AQ61" s="99">
        <v>2283987.428947804</v>
      </c>
      <c r="AR61" s="99">
        <v>2283987.428947804</v>
      </c>
      <c r="AS61" s="99">
        <v>2283987.428947804</v>
      </c>
      <c r="AT61" s="99">
        <v>2283987.428947804</v>
      </c>
      <c r="AU61" s="99">
        <v>2354521.4667620617</v>
      </c>
      <c r="AV61" s="99">
        <v>2354521.4667620617</v>
      </c>
      <c r="AW61" s="99">
        <v>2354521.4667620617</v>
      </c>
      <c r="AX61" s="99">
        <v>2354521.4667620617</v>
      </c>
    </row>
    <row r="62" spans="2:51">
      <c r="B62" s="104" t="s">
        <v>108</v>
      </c>
      <c r="C62" s="99">
        <v>249902.37049288768</v>
      </c>
      <c r="D62" s="99">
        <v>249902.37049288768</v>
      </c>
      <c r="E62" s="99">
        <v>249902.37049288768</v>
      </c>
      <c r="F62" s="99">
        <v>249902.37049288768</v>
      </c>
      <c r="G62" s="99">
        <v>247966.41830619829</v>
      </c>
      <c r="H62" s="99">
        <v>247966.41830619829</v>
      </c>
      <c r="I62" s="99">
        <v>247966.41830619829</v>
      </c>
      <c r="J62" s="99">
        <v>247966.41830619829</v>
      </c>
      <c r="K62" s="99">
        <v>244450.87215274802</v>
      </c>
      <c r="L62" s="99">
        <v>244450.87215274802</v>
      </c>
      <c r="M62" s="99">
        <v>244450.87215274802</v>
      </c>
      <c r="N62" s="99">
        <v>244450.87215274802</v>
      </c>
      <c r="O62" s="99">
        <v>249197.3586458443</v>
      </c>
      <c r="P62" s="99">
        <v>249197.3586458443</v>
      </c>
      <c r="Q62" s="99">
        <v>249197.3586458443</v>
      </c>
      <c r="R62" s="99">
        <v>249197.3586458443</v>
      </c>
      <c r="S62" s="99">
        <v>245208.68241800606</v>
      </c>
      <c r="T62" s="99">
        <v>245208.68241800606</v>
      </c>
      <c r="U62" s="99">
        <v>245208.68241800606</v>
      </c>
      <c r="V62" s="99">
        <v>245208.68241800606</v>
      </c>
      <c r="W62" s="99">
        <v>245875.50526368199</v>
      </c>
      <c r="X62" s="99">
        <v>245875.50526368199</v>
      </c>
      <c r="Y62" s="99">
        <v>245875.50526368199</v>
      </c>
      <c r="Z62" s="99">
        <v>245875.50526368199</v>
      </c>
      <c r="AA62" s="99">
        <v>252067.9042019351</v>
      </c>
      <c r="AB62" s="99">
        <v>252067.9042019351</v>
      </c>
      <c r="AC62" s="99">
        <v>252067.9042019351</v>
      </c>
      <c r="AD62" s="99">
        <v>252067.9042019351</v>
      </c>
      <c r="AE62" s="99">
        <v>246271.70420973751</v>
      </c>
      <c r="AF62" s="99">
        <v>246271.70420973751</v>
      </c>
      <c r="AG62" s="99">
        <v>246271.70420973751</v>
      </c>
      <c r="AH62" s="99">
        <v>246271.70420973751</v>
      </c>
      <c r="AI62" s="99">
        <v>253357.85121891863</v>
      </c>
      <c r="AJ62" s="99">
        <v>253357.85121891863</v>
      </c>
      <c r="AK62" s="99">
        <v>253357.85121891863</v>
      </c>
      <c r="AL62" s="99">
        <v>253357.85121891863</v>
      </c>
      <c r="AM62" s="99">
        <v>257639.13018879999</v>
      </c>
      <c r="AN62" s="99">
        <v>257639.13018879999</v>
      </c>
      <c r="AO62" s="99">
        <v>257639.13018879999</v>
      </c>
      <c r="AP62" s="99">
        <v>257639.13018879999</v>
      </c>
      <c r="AQ62" s="99">
        <v>250840.64037745292</v>
      </c>
      <c r="AR62" s="99">
        <v>250840.64037745292</v>
      </c>
      <c r="AS62" s="99">
        <v>250840.64037745292</v>
      </c>
      <c r="AT62" s="99">
        <v>250840.64037745292</v>
      </c>
      <c r="AU62" s="99">
        <v>252980.22833783965</v>
      </c>
      <c r="AV62" s="99">
        <v>252980.22833783965</v>
      </c>
      <c r="AW62" s="99">
        <v>252980.22833783965</v>
      </c>
      <c r="AX62" s="99">
        <v>252980.22833783965</v>
      </c>
    </row>
    <row r="63" spans="2:51">
      <c r="B63" s="104" t="s">
        <v>109</v>
      </c>
      <c r="C63" s="99">
        <v>246836.23337842748</v>
      </c>
      <c r="D63" s="99">
        <v>246836.23337842748</v>
      </c>
      <c r="E63" s="99">
        <v>246836.23337842748</v>
      </c>
      <c r="F63" s="99">
        <v>246836.23337842748</v>
      </c>
      <c r="G63" s="99">
        <v>243973.71929227872</v>
      </c>
      <c r="H63" s="99">
        <v>243973.71929227872</v>
      </c>
      <c r="I63" s="99">
        <v>243973.71929227872</v>
      </c>
      <c r="J63" s="99">
        <v>243973.71929227872</v>
      </c>
      <c r="K63" s="99">
        <v>235716.6135520399</v>
      </c>
      <c r="L63" s="99">
        <v>235716.6135520399</v>
      </c>
      <c r="M63" s="99">
        <v>235716.6135520399</v>
      </c>
      <c r="N63" s="99">
        <v>235716.6135520399</v>
      </c>
      <c r="O63" s="99">
        <v>238134.78146433647</v>
      </c>
      <c r="P63" s="99">
        <v>238134.78146433647</v>
      </c>
      <c r="Q63" s="99">
        <v>238134.78146433647</v>
      </c>
      <c r="R63" s="99">
        <v>238134.78146433647</v>
      </c>
      <c r="S63" s="99">
        <v>231827.71134034375</v>
      </c>
      <c r="T63" s="99">
        <v>231827.71134034375</v>
      </c>
      <c r="U63" s="99">
        <v>231827.71134034375</v>
      </c>
      <c r="V63" s="99">
        <v>231827.71134034375</v>
      </c>
      <c r="W63" s="99">
        <v>238277.01296897861</v>
      </c>
      <c r="X63" s="99">
        <v>238277.01296897861</v>
      </c>
      <c r="Y63" s="99">
        <v>238277.01296897861</v>
      </c>
      <c r="Z63" s="99">
        <v>238277.01296897861</v>
      </c>
      <c r="AA63" s="99">
        <v>245197.12426746491</v>
      </c>
      <c r="AB63" s="99">
        <v>245197.12426746491</v>
      </c>
      <c r="AC63" s="99">
        <v>245197.12426746491</v>
      </c>
      <c r="AD63" s="99">
        <v>245197.12426746491</v>
      </c>
      <c r="AE63" s="99">
        <v>240694.75830039204</v>
      </c>
      <c r="AF63" s="99">
        <v>240694.75830039204</v>
      </c>
      <c r="AG63" s="99">
        <v>240694.75830039204</v>
      </c>
      <c r="AH63" s="99">
        <v>240694.75830039204</v>
      </c>
      <c r="AI63" s="99">
        <v>250510.18343778321</v>
      </c>
      <c r="AJ63" s="99">
        <v>250510.18343778321</v>
      </c>
      <c r="AK63" s="99">
        <v>250510.18343778321</v>
      </c>
      <c r="AL63" s="99">
        <v>250510.18343778321</v>
      </c>
      <c r="AM63" s="99">
        <v>255829.86181200916</v>
      </c>
      <c r="AN63" s="99">
        <v>255829.86181200916</v>
      </c>
      <c r="AO63" s="99">
        <v>255829.86181200916</v>
      </c>
      <c r="AP63" s="99">
        <v>255829.86181200916</v>
      </c>
      <c r="AQ63" s="99">
        <v>231994.78319768741</v>
      </c>
      <c r="AR63" s="99">
        <v>231994.78319768741</v>
      </c>
      <c r="AS63" s="99">
        <v>231994.78319768741</v>
      </c>
      <c r="AT63" s="99">
        <v>231994.78319768741</v>
      </c>
      <c r="AU63" s="99">
        <v>243958.42618137042</v>
      </c>
      <c r="AV63" s="99">
        <v>243958.42618137042</v>
      </c>
      <c r="AW63" s="99">
        <v>243958.42618137042</v>
      </c>
      <c r="AX63" s="99">
        <v>243958.42618137042</v>
      </c>
    </row>
    <row r="64" spans="2:51">
      <c r="B64" s="100"/>
    </row>
    <row r="65" spans="1:14">
      <c r="B65" s="103" t="s">
        <v>326</v>
      </c>
    </row>
    <row r="66" spans="1:14">
      <c r="B66" s="98" t="s">
        <v>327</v>
      </c>
      <c r="C66" s="98" t="s">
        <v>92</v>
      </c>
      <c r="D66" s="98" t="s">
        <v>93</v>
      </c>
      <c r="E66" s="98" t="s">
        <v>94</v>
      </c>
      <c r="F66" s="98" t="s">
        <v>95</v>
      </c>
      <c r="G66" s="98" t="s">
        <v>96</v>
      </c>
      <c r="H66" s="98" t="s">
        <v>97</v>
      </c>
      <c r="I66" s="98" t="s">
        <v>98</v>
      </c>
      <c r="J66" s="98" t="s">
        <v>99</v>
      </c>
      <c r="K66" s="98" t="s">
        <v>100</v>
      </c>
      <c r="L66" s="98" t="s">
        <v>101</v>
      </c>
      <c r="M66" s="98" t="s">
        <v>102</v>
      </c>
      <c r="N66" s="98" t="s">
        <v>103</v>
      </c>
    </row>
    <row r="67" spans="1:14">
      <c r="B67" s="98" t="s">
        <v>328</v>
      </c>
      <c r="C67" s="99">
        <v>0</v>
      </c>
      <c r="D67" s="99">
        <v>0</v>
      </c>
      <c r="E67" s="99">
        <v>0</v>
      </c>
      <c r="F67" s="99">
        <v>0</v>
      </c>
      <c r="G67" s="99">
        <v>0</v>
      </c>
      <c r="H67" s="99">
        <v>0</v>
      </c>
      <c r="I67" s="99">
        <v>0</v>
      </c>
      <c r="J67" s="99">
        <v>0</v>
      </c>
      <c r="K67" s="99">
        <v>0</v>
      </c>
      <c r="L67" s="99">
        <v>0</v>
      </c>
      <c r="M67" s="99">
        <v>0</v>
      </c>
      <c r="N67" s="99">
        <v>0</v>
      </c>
    </row>
    <row r="68" spans="1:14">
      <c r="B68" s="98" t="s">
        <v>329</v>
      </c>
      <c r="C68" s="99">
        <v>0</v>
      </c>
      <c r="D68" s="99">
        <v>0</v>
      </c>
      <c r="E68" s="99">
        <v>0</v>
      </c>
      <c r="F68" s="99">
        <v>0</v>
      </c>
      <c r="G68" s="99">
        <v>0</v>
      </c>
      <c r="H68" s="99">
        <v>0</v>
      </c>
      <c r="I68" s="99">
        <v>0</v>
      </c>
      <c r="J68" s="99">
        <v>0</v>
      </c>
      <c r="K68" s="99">
        <v>0</v>
      </c>
      <c r="L68" s="99">
        <v>0</v>
      </c>
      <c r="M68" s="99">
        <v>0</v>
      </c>
      <c r="N68" s="99">
        <v>0</v>
      </c>
    </row>
    <row r="70" spans="1:14">
      <c r="B70" s="103" t="s">
        <v>330</v>
      </c>
    </row>
    <row r="71" spans="1:14">
      <c r="A71" s="104" t="s">
        <v>121</v>
      </c>
      <c r="B71" s="104" t="s">
        <v>331</v>
      </c>
      <c r="C71" s="104" t="s">
        <v>22</v>
      </c>
      <c r="D71" s="104" t="s">
        <v>59</v>
      </c>
    </row>
    <row r="72" spans="1:14">
      <c r="A72" s="104" t="s">
        <v>104</v>
      </c>
      <c r="B72" s="104" t="s">
        <v>92</v>
      </c>
      <c r="C72" s="99">
        <v>0</v>
      </c>
      <c r="D72" s="99">
        <v>0</v>
      </c>
    </row>
    <row r="73" spans="1:14">
      <c r="B73" s="104" t="s">
        <v>93</v>
      </c>
      <c r="C73" s="99">
        <v>0</v>
      </c>
      <c r="D73" s="99">
        <v>0</v>
      </c>
    </row>
    <row r="74" spans="1:14">
      <c r="B74" s="104" t="s">
        <v>94</v>
      </c>
      <c r="C74" s="99">
        <v>0</v>
      </c>
      <c r="D74" s="99">
        <v>0</v>
      </c>
    </row>
    <row r="75" spans="1:14">
      <c r="B75" s="104" t="s">
        <v>95</v>
      </c>
      <c r="C75" s="99">
        <v>0</v>
      </c>
      <c r="D75" s="99">
        <v>0</v>
      </c>
    </row>
    <row r="76" spans="1:14">
      <c r="B76" s="104" t="s">
        <v>96</v>
      </c>
      <c r="C76" s="99">
        <v>0</v>
      </c>
      <c r="D76" s="99">
        <v>0</v>
      </c>
    </row>
    <row r="77" spans="1:14">
      <c r="B77" s="104" t="s">
        <v>97</v>
      </c>
      <c r="C77" s="99">
        <v>0</v>
      </c>
      <c r="D77" s="99">
        <v>0</v>
      </c>
    </row>
    <row r="78" spans="1:14">
      <c r="B78" s="104" t="s">
        <v>98</v>
      </c>
      <c r="C78" s="99">
        <v>0</v>
      </c>
      <c r="D78" s="99">
        <v>0</v>
      </c>
    </row>
    <row r="79" spans="1:14">
      <c r="B79" s="104" t="s">
        <v>99</v>
      </c>
      <c r="C79" s="99">
        <v>0</v>
      </c>
      <c r="D79" s="99">
        <v>0</v>
      </c>
    </row>
    <row r="80" spans="1:14">
      <c r="B80" s="104" t="s">
        <v>100</v>
      </c>
      <c r="C80" s="99">
        <v>0</v>
      </c>
      <c r="D80" s="99">
        <v>0</v>
      </c>
    </row>
    <row r="81" spans="2:50">
      <c r="B81" s="104" t="s">
        <v>101</v>
      </c>
      <c r="C81" s="99">
        <v>0</v>
      </c>
      <c r="D81" s="99">
        <v>0</v>
      </c>
    </row>
    <row r="82" spans="2:50">
      <c r="B82" s="104" t="s">
        <v>102</v>
      </c>
      <c r="C82" s="99">
        <v>0</v>
      </c>
      <c r="D82" s="99">
        <v>0</v>
      </c>
    </row>
    <row r="83" spans="2:50">
      <c r="B83" s="104" t="s">
        <v>103</v>
      </c>
      <c r="C83" s="99">
        <v>0</v>
      </c>
      <c r="D83" s="99">
        <v>0</v>
      </c>
    </row>
    <row r="85" spans="2:50">
      <c r="B85" s="102" t="s">
        <v>332</v>
      </c>
    </row>
    <row r="86" spans="2:50">
      <c r="B86" s="98" t="s">
        <v>273</v>
      </c>
      <c r="C86" s="98" t="s">
        <v>92</v>
      </c>
      <c r="D86" s="100"/>
      <c r="E86" s="100"/>
      <c r="F86" s="100"/>
      <c r="G86" s="98" t="s">
        <v>93</v>
      </c>
      <c r="H86" s="100"/>
      <c r="I86" s="100"/>
      <c r="J86" s="100"/>
      <c r="K86" s="98" t="s">
        <v>94</v>
      </c>
      <c r="L86" s="100"/>
      <c r="M86" s="100"/>
      <c r="N86" s="100"/>
      <c r="O86" s="98" t="s">
        <v>95</v>
      </c>
      <c r="P86" s="100"/>
      <c r="Q86" s="100"/>
      <c r="R86" s="100"/>
      <c r="S86" s="98" t="s">
        <v>96</v>
      </c>
      <c r="T86" s="100"/>
      <c r="U86" s="100"/>
      <c r="V86" s="100"/>
      <c r="W86" s="98" t="s">
        <v>97</v>
      </c>
      <c r="X86" s="100"/>
      <c r="Y86" s="100"/>
      <c r="Z86" s="100"/>
      <c r="AA86" s="98" t="s">
        <v>98</v>
      </c>
      <c r="AB86" s="100"/>
      <c r="AC86" s="100"/>
      <c r="AD86" s="100"/>
      <c r="AE86" s="98" t="s">
        <v>99</v>
      </c>
      <c r="AF86" s="100"/>
      <c r="AG86" s="100"/>
      <c r="AH86" s="100"/>
      <c r="AI86" s="98" t="s">
        <v>100</v>
      </c>
      <c r="AJ86" s="100"/>
      <c r="AK86" s="100"/>
      <c r="AL86" s="100"/>
      <c r="AM86" s="98" t="s">
        <v>101</v>
      </c>
      <c r="AN86" s="100"/>
      <c r="AO86" s="100"/>
      <c r="AP86" s="100"/>
      <c r="AQ86" s="98" t="s">
        <v>102</v>
      </c>
      <c r="AR86" s="100"/>
      <c r="AS86" s="100"/>
      <c r="AT86" s="100"/>
      <c r="AU86" s="98" t="s">
        <v>103</v>
      </c>
      <c r="AV86" s="100"/>
      <c r="AW86" s="100"/>
    </row>
    <row r="87" spans="2:50">
      <c r="B87" s="98" t="s">
        <v>333</v>
      </c>
      <c r="C87" s="98">
        <v>1</v>
      </c>
      <c r="D87" s="98">
        <v>2</v>
      </c>
      <c r="E87" s="98">
        <v>3</v>
      </c>
      <c r="F87" s="98">
        <v>4</v>
      </c>
      <c r="G87" s="98">
        <v>1</v>
      </c>
      <c r="H87" s="98">
        <v>2</v>
      </c>
      <c r="I87" s="98">
        <v>3</v>
      </c>
      <c r="J87" s="98">
        <v>4</v>
      </c>
      <c r="K87" s="98">
        <v>1</v>
      </c>
      <c r="L87" s="98">
        <v>2</v>
      </c>
      <c r="M87" s="98">
        <v>3</v>
      </c>
      <c r="N87" s="98">
        <v>4</v>
      </c>
      <c r="O87" s="98">
        <v>1</v>
      </c>
      <c r="P87" s="98">
        <v>2</v>
      </c>
      <c r="Q87" s="98">
        <v>3</v>
      </c>
      <c r="R87" s="98">
        <v>4</v>
      </c>
      <c r="S87" s="98">
        <v>1</v>
      </c>
      <c r="T87" s="98">
        <v>2</v>
      </c>
      <c r="U87" s="98">
        <v>3</v>
      </c>
      <c r="V87" s="98">
        <v>4</v>
      </c>
      <c r="W87" s="98">
        <v>1</v>
      </c>
      <c r="X87" s="98">
        <v>2</v>
      </c>
      <c r="Y87" s="98">
        <v>3</v>
      </c>
      <c r="Z87" s="98">
        <v>4</v>
      </c>
      <c r="AA87" s="98">
        <v>1</v>
      </c>
      <c r="AB87" s="98">
        <v>2</v>
      </c>
      <c r="AC87" s="98">
        <v>3</v>
      </c>
      <c r="AD87" s="98">
        <v>4</v>
      </c>
      <c r="AE87" s="98">
        <v>1</v>
      </c>
      <c r="AF87" s="98">
        <v>2</v>
      </c>
      <c r="AG87" s="98">
        <v>3</v>
      </c>
      <c r="AH87" s="98">
        <v>4</v>
      </c>
      <c r="AI87" s="98">
        <v>1</v>
      </c>
      <c r="AJ87" s="98">
        <v>2</v>
      </c>
      <c r="AK87" s="98">
        <v>3</v>
      </c>
      <c r="AL87" s="98">
        <v>4</v>
      </c>
      <c r="AM87" s="98">
        <v>1</v>
      </c>
      <c r="AN87" s="98">
        <v>2</v>
      </c>
      <c r="AO87" s="98">
        <v>3</v>
      </c>
      <c r="AP87" s="98">
        <v>4</v>
      </c>
      <c r="AQ87" s="98">
        <v>1</v>
      </c>
      <c r="AR87" s="98">
        <v>2</v>
      </c>
      <c r="AS87" s="98">
        <v>3</v>
      </c>
      <c r="AT87" s="98">
        <v>4</v>
      </c>
      <c r="AU87" s="98">
        <v>1</v>
      </c>
      <c r="AV87" s="98">
        <v>2</v>
      </c>
      <c r="AW87" s="98">
        <v>3</v>
      </c>
      <c r="AX87" s="98">
        <v>4</v>
      </c>
    </row>
    <row r="88" spans="2:50">
      <c r="B88" s="98" t="s">
        <v>104</v>
      </c>
      <c r="C88" s="99">
        <f>C48+$C$67/4</f>
        <v>454.5</v>
      </c>
      <c r="D88" s="99">
        <f>D48+$C$67/4</f>
        <v>454.5</v>
      </c>
      <c r="E88" s="99">
        <f>E48+$C$67/4</f>
        <v>454.5</v>
      </c>
      <c r="F88" s="99">
        <f>F48+$C$67/4</f>
        <v>454.5</v>
      </c>
      <c r="G88" s="99">
        <f>G48+$D$67/4</f>
        <v>454.5</v>
      </c>
      <c r="H88" s="99">
        <f>H48+$D$67/4</f>
        <v>454.5</v>
      </c>
      <c r="I88" s="99">
        <f>I48+$D$67/4</f>
        <v>454.5</v>
      </c>
      <c r="J88" s="99">
        <f>J48+$D$67/4</f>
        <v>454.5</v>
      </c>
      <c r="K88" s="99">
        <f>K48+$E$67/4</f>
        <v>505</v>
      </c>
      <c r="L88" s="99">
        <f>L48+$E$67/4</f>
        <v>505</v>
      </c>
      <c r="M88" s="99">
        <f>M48+$E$67/4</f>
        <v>505</v>
      </c>
      <c r="N88" s="99">
        <f>N48+$E$67/4</f>
        <v>505</v>
      </c>
      <c r="O88" s="99">
        <f>O48+$F$67/4</f>
        <v>454.5</v>
      </c>
      <c r="P88" s="99">
        <f>P48+$F$67/4</f>
        <v>454.5</v>
      </c>
      <c r="Q88" s="99">
        <f>Q48+$F$67/4</f>
        <v>454.5</v>
      </c>
      <c r="R88" s="99">
        <f>R48+$F$67/4</f>
        <v>454.5</v>
      </c>
      <c r="S88" s="99">
        <f>S48+$G$67/4</f>
        <v>454.5</v>
      </c>
      <c r="T88" s="99">
        <f>T48+$G$67/4</f>
        <v>454.5</v>
      </c>
      <c r="U88" s="99">
        <f>U48+$G$67/4</f>
        <v>454.5</v>
      </c>
      <c r="V88" s="99">
        <f>V48+$G$67/4</f>
        <v>454.5</v>
      </c>
      <c r="W88" s="99">
        <f>W48+$H$67/4</f>
        <v>555.5</v>
      </c>
      <c r="X88" s="99">
        <f>X48+$H$67/4</f>
        <v>555.5</v>
      </c>
      <c r="Y88" s="99">
        <f>Y48+$H$67/4</f>
        <v>555.5</v>
      </c>
      <c r="Z88" s="99">
        <f>Z48+$H$67/4</f>
        <v>555.5</v>
      </c>
      <c r="AA88" s="99">
        <f>AA48+$I$67/4</f>
        <v>505</v>
      </c>
      <c r="AB88" s="99">
        <f>AB48+$I$67/4</f>
        <v>505</v>
      </c>
      <c r="AC88" s="99">
        <f>AC48+$I$67/4</f>
        <v>505</v>
      </c>
      <c r="AD88" s="99">
        <f>AD48+$I$67/4</f>
        <v>505</v>
      </c>
      <c r="AE88" s="99">
        <f>AE48+$J$67/4</f>
        <v>505</v>
      </c>
      <c r="AF88" s="99">
        <f>AF48+$J$67/4</f>
        <v>505</v>
      </c>
      <c r="AG88" s="99">
        <f>AG48+$J$67/4</f>
        <v>505</v>
      </c>
      <c r="AH88" s="99">
        <f>AH48+$J$67/4</f>
        <v>505</v>
      </c>
      <c r="AI88" s="99">
        <f>AI48+$K$67/4</f>
        <v>505</v>
      </c>
      <c r="AJ88" s="99">
        <f>AJ48+$K$67/4</f>
        <v>505</v>
      </c>
      <c r="AK88" s="99">
        <f>AK48+$K$67/4</f>
        <v>505</v>
      </c>
      <c r="AL88" s="99">
        <f>AL48+$K$67/4</f>
        <v>505</v>
      </c>
      <c r="AM88" s="99">
        <f>AM48+$L$67/4</f>
        <v>555.5</v>
      </c>
      <c r="AN88" s="99">
        <f>AN48+$L$67/4</f>
        <v>555.5</v>
      </c>
      <c r="AO88" s="99">
        <f>AO48+$L$67/4</f>
        <v>555.5</v>
      </c>
      <c r="AP88" s="99">
        <f>AP48+$L$67/4</f>
        <v>555.5</v>
      </c>
      <c r="AQ88" s="99">
        <f>AQ48+$M$67/4</f>
        <v>505</v>
      </c>
      <c r="AR88" s="99">
        <f>AR48+$M$67/4</f>
        <v>505</v>
      </c>
      <c r="AS88" s="99">
        <f>AS48+$M$67/4</f>
        <v>505</v>
      </c>
      <c r="AT88" s="99">
        <f>AT48+$M$67/4</f>
        <v>505</v>
      </c>
      <c r="AU88" s="99">
        <f>AU48+$N$67/4</f>
        <v>505</v>
      </c>
      <c r="AV88" s="99">
        <f>AV48+$N$67/4</f>
        <v>505</v>
      </c>
      <c r="AW88" s="99">
        <f>AW48+$N$67/4</f>
        <v>505</v>
      </c>
      <c r="AX88" s="99">
        <f>AX48+$N$67/4</f>
        <v>505</v>
      </c>
    </row>
    <row r="89" spans="2:50">
      <c r="B89" s="98" t="s">
        <v>105</v>
      </c>
      <c r="C89" s="99">
        <f>C49</f>
        <v>660</v>
      </c>
      <c r="D89" s="99">
        <f t="shared" ref="D89:AX93" si="3">D49</f>
        <v>660</v>
      </c>
      <c r="E89" s="99">
        <f t="shared" si="3"/>
        <v>660</v>
      </c>
      <c r="F89" s="99">
        <f t="shared" si="3"/>
        <v>660</v>
      </c>
      <c r="G89" s="99">
        <f t="shared" si="3"/>
        <v>660</v>
      </c>
      <c r="H89" s="99">
        <f t="shared" si="3"/>
        <v>660</v>
      </c>
      <c r="I89" s="99">
        <f t="shared" si="3"/>
        <v>660</v>
      </c>
      <c r="J89" s="99">
        <f t="shared" si="3"/>
        <v>660</v>
      </c>
      <c r="K89" s="99">
        <f t="shared" si="3"/>
        <v>660</v>
      </c>
      <c r="L89" s="99">
        <f t="shared" si="3"/>
        <v>660</v>
      </c>
      <c r="M89" s="99">
        <f t="shared" si="3"/>
        <v>660</v>
      </c>
      <c r="N89" s="99">
        <f t="shared" si="3"/>
        <v>660</v>
      </c>
      <c r="O89" s="99">
        <f t="shared" si="3"/>
        <v>594</v>
      </c>
      <c r="P89" s="99">
        <f t="shared" si="3"/>
        <v>594</v>
      </c>
      <c r="Q89" s="99">
        <f t="shared" si="3"/>
        <v>594</v>
      </c>
      <c r="R89" s="99">
        <f t="shared" si="3"/>
        <v>594</v>
      </c>
      <c r="S89" s="99">
        <f t="shared" si="3"/>
        <v>594</v>
      </c>
      <c r="T89" s="99">
        <f t="shared" si="3"/>
        <v>594</v>
      </c>
      <c r="U89" s="99">
        <f t="shared" si="3"/>
        <v>594</v>
      </c>
      <c r="V89" s="99">
        <f t="shared" si="3"/>
        <v>594</v>
      </c>
      <c r="W89" s="99">
        <f t="shared" si="3"/>
        <v>660</v>
      </c>
      <c r="X89" s="99">
        <f t="shared" si="3"/>
        <v>660</v>
      </c>
      <c r="Y89" s="99">
        <f t="shared" si="3"/>
        <v>660</v>
      </c>
      <c r="Z89" s="99">
        <f t="shared" si="3"/>
        <v>660</v>
      </c>
      <c r="AA89" s="99">
        <f t="shared" si="3"/>
        <v>726.00000000000011</v>
      </c>
      <c r="AB89" s="99">
        <f t="shared" si="3"/>
        <v>726.00000000000011</v>
      </c>
      <c r="AC89" s="99">
        <f t="shared" si="3"/>
        <v>726.00000000000011</v>
      </c>
      <c r="AD89" s="99">
        <f t="shared" si="3"/>
        <v>726.00000000000011</v>
      </c>
      <c r="AE89" s="99">
        <f t="shared" si="3"/>
        <v>660</v>
      </c>
      <c r="AF89" s="99">
        <f t="shared" si="3"/>
        <v>660</v>
      </c>
      <c r="AG89" s="99">
        <f t="shared" si="3"/>
        <v>660</v>
      </c>
      <c r="AH89" s="99">
        <f t="shared" si="3"/>
        <v>660</v>
      </c>
      <c r="AI89" s="99">
        <f t="shared" si="3"/>
        <v>660</v>
      </c>
      <c r="AJ89" s="99">
        <f t="shared" si="3"/>
        <v>660</v>
      </c>
      <c r="AK89" s="99">
        <f t="shared" si="3"/>
        <v>660</v>
      </c>
      <c r="AL89" s="99">
        <f t="shared" si="3"/>
        <v>660</v>
      </c>
      <c r="AM89" s="99">
        <f t="shared" si="3"/>
        <v>660</v>
      </c>
      <c r="AN89" s="99">
        <f t="shared" si="3"/>
        <v>660</v>
      </c>
      <c r="AO89" s="99">
        <f t="shared" si="3"/>
        <v>660</v>
      </c>
      <c r="AP89" s="99">
        <f t="shared" si="3"/>
        <v>660</v>
      </c>
      <c r="AQ89" s="99">
        <f t="shared" si="3"/>
        <v>660</v>
      </c>
      <c r="AR89" s="99">
        <f t="shared" si="3"/>
        <v>660</v>
      </c>
      <c r="AS89" s="99">
        <f t="shared" si="3"/>
        <v>660</v>
      </c>
      <c r="AT89" s="99">
        <f t="shared" si="3"/>
        <v>660</v>
      </c>
      <c r="AU89" s="99">
        <f t="shared" si="3"/>
        <v>660</v>
      </c>
      <c r="AV89" s="99">
        <f t="shared" si="3"/>
        <v>660</v>
      </c>
      <c r="AW89" s="99">
        <f t="shared" si="3"/>
        <v>660</v>
      </c>
      <c r="AX89" s="99">
        <f t="shared" si="3"/>
        <v>660</v>
      </c>
    </row>
    <row r="90" spans="2:50">
      <c r="B90" s="98" t="s">
        <v>106</v>
      </c>
      <c r="C90" s="99">
        <f t="shared" ref="C90:R93" si="4">C50</f>
        <v>2353</v>
      </c>
      <c r="D90" s="99">
        <f t="shared" si="4"/>
        <v>2353</v>
      </c>
      <c r="E90" s="99">
        <f t="shared" si="4"/>
        <v>2353</v>
      </c>
      <c r="F90" s="99">
        <f t="shared" si="4"/>
        <v>2353</v>
      </c>
      <c r="G90" s="99">
        <f t="shared" si="4"/>
        <v>2353</v>
      </c>
      <c r="H90" s="99">
        <f t="shared" si="4"/>
        <v>2353</v>
      </c>
      <c r="I90" s="99">
        <f t="shared" si="4"/>
        <v>2353</v>
      </c>
      <c r="J90" s="99">
        <f t="shared" si="4"/>
        <v>2353</v>
      </c>
      <c r="K90" s="99">
        <f t="shared" si="4"/>
        <v>2039.5043908517712</v>
      </c>
      <c r="L90" s="99">
        <f t="shared" si="4"/>
        <v>2353</v>
      </c>
      <c r="M90" s="99">
        <f t="shared" si="4"/>
        <v>2353</v>
      </c>
      <c r="N90" s="99">
        <f t="shared" si="4"/>
        <v>2353</v>
      </c>
      <c r="O90" s="99">
        <f t="shared" si="4"/>
        <v>2353</v>
      </c>
      <c r="P90" s="99">
        <f t="shared" si="4"/>
        <v>2353</v>
      </c>
      <c r="Q90" s="99">
        <f t="shared" si="4"/>
        <v>2353</v>
      </c>
      <c r="R90" s="99">
        <f t="shared" si="4"/>
        <v>2353</v>
      </c>
      <c r="S90" s="99">
        <f t="shared" si="3"/>
        <v>2353</v>
      </c>
      <c r="T90" s="99">
        <f t="shared" si="3"/>
        <v>2353</v>
      </c>
      <c r="U90" s="99">
        <f t="shared" si="3"/>
        <v>2353</v>
      </c>
      <c r="V90" s="99">
        <f t="shared" si="3"/>
        <v>2353</v>
      </c>
      <c r="W90" s="99">
        <f t="shared" si="3"/>
        <v>2353</v>
      </c>
      <c r="X90" s="99">
        <f t="shared" si="3"/>
        <v>2353</v>
      </c>
      <c r="Y90" s="99">
        <f t="shared" si="3"/>
        <v>2353</v>
      </c>
      <c r="Z90" s="99">
        <f t="shared" si="3"/>
        <v>2353</v>
      </c>
      <c r="AA90" s="99">
        <f t="shared" si="3"/>
        <v>2353</v>
      </c>
      <c r="AB90" s="99">
        <f t="shared" si="3"/>
        <v>2353</v>
      </c>
      <c r="AC90" s="99">
        <f t="shared" si="3"/>
        <v>2353</v>
      </c>
      <c r="AD90" s="99">
        <f t="shared" si="3"/>
        <v>2353</v>
      </c>
      <c r="AE90" s="99">
        <f t="shared" si="3"/>
        <v>2588.3000000000002</v>
      </c>
      <c r="AF90" s="99">
        <f t="shared" si="3"/>
        <v>2588.3000000000002</v>
      </c>
      <c r="AG90" s="99">
        <f t="shared" si="3"/>
        <v>2588.3000000000002</v>
      </c>
      <c r="AH90" s="99">
        <f t="shared" si="3"/>
        <v>2588.3000000000002</v>
      </c>
      <c r="AI90" s="99">
        <f t="shared" si="3"/>
        <v>2588.3000000000002</v>
      </c>
      <c r="AJ90" s="99">
        <f t="shared" si="3"/>
        <v>2588.3000000000002</v>
      </c>
      <c r="AK90" s="99">
        <f t="shared" si="3"/>
        <v>2588.3000000000002</v>
      </c>
      <c r="AL90" s="99">
        <f t="shared" si="3"/>
        <v>2588.3000000000002</v>
      </c>
      <c r="AM90" s="99">
        <f t="shared" si="3"/>
        <v>2353</v>
      </c>
      <c r="AN90" s="99">
        <f t="shared" si="3"/>
        <v>2353</v>
      </c>
      <c r="AO90" s="99">
        <f t="shared" si="3"/>
        <v>2353</v>
      </c>
      <c r="AP90" s="99">
        <f t="shared" si="3"/>
        <v>2353</v>
      </c>
      <c r="AQ90" s="99">
        <f t="shared" si="3"/>
        <v>2353</v>
      </c>
      <c r="AR90" s="99">
        <f t="shared" si="3"/>
        <v>2353</v>
      </c>
      <c r="AS90" s="99">
        <f t="shared" si="3"/>
        <v>2353</v>
      </c>
      <c r="AT90" s="99">
        <f t="shared" si="3"/>
        <v>2353</v>
      </c>
      <c r="AU90" s="99">
        <f t="shared" si="3"/>
        <v>2117.7000000000003</v>
      </c>
      <c r="AV90" s="99">
        <f t="shared" si="3"/>
        <v>2117.7000000000003</v>
      </c>
      <c r="AW90" s="99">
        <f t="shared" si="3"/>
        <v>2117.7000000000003</v>
      </c>
      <c r="AX90" s="99">
        <f t="shared" si="3"/>
        <v>2117.7000000000003</v>
      </c>
    </row>
    <row r="91" spans="2:50">
      <c r="B91" s="98" t="s">
        <v>107</v>
      </c>
      <c r="C91" s="99">
        <f t="shared" si="4"/>
        <v>1616</v>
      </c>
      <c r="D91" s="99">
        <f t="shared" si="3"/>
        <v>1616</v>
      </c>
      <c r="E91" s="99">
        <f t="shared" si="3"/>
        <v>1207.907227815004</v>
      </c>
      <c r="F91" s="99">
        <f t="shared" si="3"/>
        <v>1616</v>
      </c>
      <c r="G91" s="99">
        <f t="shared" si="3"/>
        <v>1616</v>
      </c>
      <c r="H91" s="99">
        <f t="shared" si="3"/>
        <v>1616</v>
      </c>
      <c r="I91" s="99">
        <f t="shared" si="3"/>
        <v>1616</v>
      </c>
      <c r="J91" s="99">
        <f t="shared" si="3"/>
        <v>1616</v>
      </c>
      <c r="K91" s="99">
        <f t="shared" si="3"/>
        <v>1616</v>
      </c>
      <c r="L91" s="99">
        <f t="shared" si="3"/>
        <v>1616</v>
      </c>
      <c r="M91" s="99">
        <f t="shared" si="3"/>
        <v>1616</v>
      </c>
      <c r="N91" s="99">
        <f t="shared" si="3"/>
        <v>1616</v>
      </c>
      <c r="O91" s="99">
        <f t="shared" si="3"/>
        <v>1616</v>
      </c>
      <c r="P91" s="99">
        <f t="shared" si="3"/>
        <v>1616</v>
      </c>
      <c r="Q91" s="99">
        <f t="shared" si="3"/>
        <v>1616</v>
      </c>
      <c r="R91" s="99">
        <f t="shared" si="3"/>
        <v>1616</v>
      </c>
      <c r="S91" s="99">
        <f t="shared" si="3"/>
        <v>1616</v>
      </c>
      <c r="T91" s="99">
        <f t="shared" si="3"/>
        <v>1616</v>
      </c>
      <c r="U91" s="99">
        <f t="shared" si="3"/>
        <v>1616</v>
      </c>
      <c r="V91" s="99">
        <f t="shared" si="3"/>
        <v>1616</v>
      </c>
      <c r="W91" s="99">
        <f t="shared" si="3"/>
        <v>1616</v>
      </c>
      <c r="X91" s="99">
        <f t="shared" si="3"/>
        <v>1616</v>
      </c>
      <c r="Y91" s="99">
        <f t="shared" si="3"/>
        <v>1616</v>
      </c>
      <c r="Z91" s="99">
        <f t="shared" si="3"/>
        <v>1616</v>
      </c>
      <c r="AA91" s="99">
        <f t="shared" si="3"/>
        <v>1616</v>
      </c>
      <c r="AB91" s="99">
        <f t="shared" si="3"/>
        <v>1616</v>
      </c>
      <c r="AC91" s="99">
        <f t="shared" si="3"/>
        <v>1616</v>
      </c>
      <c r="AD91" s="99">
        <f t="shared" si="3"/>
        <v>1616</v>
      </c>
      <c r="AE91" s="99">
        <f t="shared" si="3"/>
        <v>1616</v>
      </c>
      <c r="AF91" s="99">
        <f t="shared" si="3"/>
        <v>1616</v>
      </c>
      <c r="AG91" s="99">
        <f t="shared" si="3"/>
        <v>1616</v>
      </c>
      <c r="AH91" s="99">
        <f t="shared" si="3"/>
        <v>1616</v>
      </c>
      <c r="AI91" s="99">
        <f t="shared" si="3"/>
        <v>1616</v>
      </c>
      <c r="AJ91" s="99">
        <f t="shared" si="3"/>
        <v>1616</v>
      </c>
      <c r="AK91" s="99">
        <f t="shared" si="3"/>
        <v>1616</v>
      </c>
      <c r="AL91" s="99">
        <f t="shared" si="3"/>
        <v>1616</v>
      </c>
      <c r="AM91" s="99">
        <f t="shared" si="3"/>
        <v>1294.6165806617096</v>
      </c>
      <c r="AN91" s="99">
        <f t="shared" si="3"/>
        <v>1296.9945267140758</v>
      </c>
      <c r="AO91" s="99">
        <f t="shared" si="3"/>
        <v>1454.4</v>
      </c>
      <c r="AP91" s="99">
        <f t="shared" si="3"/>
        <v>1454.4</v>
      </c>
      <c r="AQ91" s="99">
        <f t="shared" si="3"/>
        <v>1616</v>
      </c>
      <c r="AR91" s="99">
        <f t="shared" si="3"/>
        <v>1616</v>
      </c>
      <c r="AS91" s="99">
        <f t="shared" si="3"/>
        <v>1616</v>
      </c>
      <c r="AT91" s="99">
        <f t="shared" si="3"/>
        <v>1616</v>
      </c>
      <c r="AU91" s="99">
        <f t="shared" si="3"/>
        <v>1777.6000000000001</v>
      </c>
      <c r="AV91" s="99">
        <f t="shared" si="3"/>
        <v>1777.6000000000001</v>
      </c>
      <c r="AW91" s="99">
        <f t="shared" si="3"/>
        <v>1777.6000000000001</v>
      </c>
      <c r="AX91" s="99">
        <f t="shared" si="3"/>
        <v>1777.6000000000001</v>
      </c>
    </row>
    <row r="92" spans="2:50">
      <c r="B92" s="98" t="s">
        <v>108</v>
      </c>
      <c r="C92" s="99">
        <f t="shared" si="4"/>
        <v>165</v>
      </c>
      <c r="D92" s="99">
        <f t="shared" si="4"/>
        <v>165</v>
      </c>
      <c r="E92" s="99">
        <f t="shared" si="4"/>
        <v>165</v>
      </c>
      <c r="F92" s="99">
        <f t="shared" si="4"/>
        <v>165</v>
      </c>
      <c r="G92" s="99">
        <f t="shared" si="4"/>
        <v>165</v>
      </c>
      <c r="H92" s="99">
        <f t="shared" si="4"/>
        <v>165</v>
      </c>
      <c r="I92" s="99">
        <f t="shared" si="4"/>
        <v>165</v>
      </c>
      <c r="J92" s="99">
        <f t="shared" si="4"/>
        <v>165</v>
      </c>
      <c r="K92" s="99">
        <f t="shared" si="4"/>
        <v>165</v>
      </c>
      <c r="L92" s="99">
        <f t="shared" si="4"/>
        <v>165</v>
      </c>
      <c r="M92" s="99">
        <f t="shared" si="4"/>
        <v>165</v>
      </c>
      <c r="N92" s="99">
        <f t="shared" si="4"/>
        <v>165</v>
      </c>
      <c r="O92" s="99">
        <f t="shared" si="4"/>
        <v>165</v>
      </c>
      <c r="P92" s="99">
        <f t="shared" si="4"/>
        <v>165</v>
      </c>
      <c r="Q92" s="99">
        <f t="shared" si="4"/>
        <v>165</v>
      </c>
      <c r="R92" s="99">
        <f t="shared" si="4"/>
        <v>165</v>
      </c>
      <c r="S92" s="99">
        <f t="shared" si="3"/>
        <v>165</v>
      </c>
      <c r="T92" s="99">
        <f t="shared" si="3"/>
        <v>165</v>
      </c>
      <c r="U92" s="99">
        <f t="shared" si="3"/>
        <v>165</v>
      </c>
      <c r="V92" s="99">
        <f t="shared" si="3"/>
        <v>165</v>
      </c>
      <c r="W92" s="99">
        <f t="shared" si="3"/>
        <v>165</v>
      </c>
      <c r="X92" s="99">
        <f t="shared" si="3"/>
        <v>165</v>
      </c>
      <c r="Y92" s="99">
        <f t="shared" si="3"/>
        <v>165</v>
      </c>
      <c r="Z92" s="99">
        <f t="shared" si="3"/>
        <v>165</v>
      </c>
      <c r="AA92" s="99">
        <f t="shared" si="3"/>
        <v>165</v>
      </c>
      <c r="AB92" s="99">
        <f t="shared" si="3"/>
        <v>165</v>
      </c>
      <c r="AC92" s="99">
        <f t="shared" si="3"/>
        <v>165</v>
      </c>
      <c r="AD92" s="99">
        <f t="shared" si="3"/>
        <v>165</v>
      </c>
      <c r="AE92" s="99">
        <f t="shared" si="3"/>
        <v>165</v>
      </c>
      <c r="AF92" s="99">
        <f t="shared" si="3"/>
        <v>165</v>
      </c>
      <c r="AG92" s="99">
        <f t="shared" si="3"/>
        <v>165</v>
      </c>
      <c r="AH92" s="99">
        <f t="shared" si="3"/>
        <v>165</v>
      </c>
      <c r="AI92" s="99">
        <f t="shared" si="3"/>
        <v>165</v>
      </c>
      <c r="AJ92" s="99">
        <f t="shared" si="3"/>
        <v>165</v>
      </c>
      <c r="AK92" s="99">
        <f t="shared" si="3"/>
        <v>165</v>
      </c>
      <c r="AL92" s="99">
        <f t="shared" si="3"/>
        <v>165</v>
      </c>
      <c r="AM92" s="99">
        <f t="shared" si="3"/>
        <v>165</v>
      </c>
      <c r="AN92" s="99">
        <f t="shared" si="3"/>
        <v>165</v>
      </c>
      <c r="AO92" s="99">
        <f t="shared" si="3"/>
        <v>165</v>
      </c>
      <c r="AP92" s="99">
        <f t="shared" si="3"/>
        <v>165</v>
      </c>
      <c r="AQ92" s="99">
        <f t="shared" si="3"/>
        <v>165</v>
      </c>
      <c r="AR92" s="99">
        <f t="shared" si="3"/>
        <v>165</v>
      </c>
      <c r="AS92" s="99">
        <f t="shared" si="3"/>
        <v>165</v>
      </c>
      <c r="AT92" s="99">
        <f t="shared" si="3"/>
        <v>165</v>
      </c>
      <c r="AU92" s="99">
        <f t="shared" si="3"/>
        <v>165</v>
      </c>
      <c r="AV92" s="99">
        <f t="shared" si="3"/>
        <v>165</v>
      </c>
      <c r="AW92" s="99">
        <f t="shared" si="3"/>
        <v>165</v>
      </c>
      <c r="AX92" s="99">
        <f t="shared" si="3"/>
        <v>165</v>
      </c>
    </row>
    <row r="93" spans="2:50">
      <c r="B93" s="98" t="s">
        <v>109</v>
      </c>
      <c r="C93" s="99">
        <f t="shared" si="4"/>
        <v>160</v>
      </c>
      <c r="D93" s="99">
        <f t="shared" si="4"/>
        <v>160</v>
      </c>
      <c r="E93" s="99">
        <f t="shared" si="4"/>
        <v>160</v>
      </c>
      <c r="F93" s="99">
        <f t="shared" si="4"/>
        <v>160</v>
      </c>
      <c r="G93" s="99">
        <f t="shared" si="4"/>
        <v>160</v>
      </c>
      <c r="H93" s="99">
        <f t="shared" si="4"/>
        <v>160</v>
      </c>
      <c r="I93" s="99">
        <f t="shared" si="4"/>
        <v>160</v>
      </c>
      <c r="J93" s="99">
        <f t="shared" si="4"/>
        <v>160</v>
      </c>
      <c r="K93" s="99">
        <f t="shared" si="4"/>
        <v>144</v>
      </c>
      <c r="L93" s="99">
        <f t="shared" si="4"/>
        <v>144</v>
      </c>
      <c r="M93" s="99">
        <f t="shared" si="4"/>
        <v>144</v>
      </c>
      <c r="N93" s="99">
        <f t="shared" si="4"/>
        <v>144</v>
      </c>
      <c r="O93" s="99">
        <f t="shared" si="4"/>
        <v>144</v>
      </c>
      <c r="P93" s="99">
        <f t="shared" si="4"/>
        <v>144</v>
      </c>
      <c r="Q93" s="99">
        <f t="shared" si="4"/>
        <v>144</v>
      </c>
      <c r="R93" s="99">
        <f t="shared" si="4"/>
        <v>144</v>
      </c>
      <c r="S93" s="99">
        <f t="shared" si="3"/>
        <v>144</v>
      </c>
      <c r="T93" s="99">
        <f t="shared" si="3"/>
        <v>144</v>
      </c>
      <c r="U93" s="99">
        <f t="shared" si="3"/>
        <v>144</v>
      </c>
      <c r="V93" s="99">
        <f t="shared" si="3"/>
        <v>144</v>
      </c>
      <c r="W93" s="99">
        <f t="shared" si="3"/>
        <v>144</v>
      </c>
      <c r="X93" s="99">
        <f t="shared" si="3"/>
        <v>144</v>
      </c>
      <c r="Y93" s="99">
        <f t="shared" si="3"/>
        <v>144</v>
      </c>
      <c r="Z93" s="99">
        <f t="shared" si="3"/>
        <v>144</v>
      </c>
      <c r="AA93" s="99">
        <f t="shared" si="3"/>
        <v>160</v>
      </c>
      <c r="AB93" s="99">
        <f t="shared" si="3"/>
        <v>160</v>
      </c>
      <c r="AC93" s="99">
        <f t="shared" si="3"/>
        <v>160</v>
      </c>
      <c r="AD93" s="99">
        <f t="shared" si="3"/>
        <v>160</v>
      </c>
      <c r="AE93" s="99">
        <f t="shared" si="3"/>
        <v>144</v>
      </c>
      <c r="AF93" s="99">
        <f t="shared" si="3"/>
        <v>144</v>
      </c>
      <c r="AG93" s="99">
        <f t="shared" si="3"/>
        <v>144</v>
      </c>
      <c r="AH93" s="99">
        <f t="shared" si="3"/>
        <v>144</v>
      </c>
      <c r="AI93" s="99">
        <f t="shared" si="3"/>
        <v>160</v>
      </c>
      <c r="AJ93" s="99">
        <f t="shared" si="3"/>
        <v>160</v>
      </c>
      <c r="AK93" s="99">
        <f t="shared" si="3"/>
        <v>160</v>
      </c>
      <c r="AL93" s="99">
        <f t="shared" si="3"/>
        <v>160</v>
      </c>
      <c r="AM93" s="99">
        <f t="shared" si="3"/>
        <v>160</v>
      </c>
      <c r="AN93" s="99">
        <f t="shared" si="3"/>
        <v>160</v>
      </c>
      <c r="AO93" s="99">
        <f t="shared" si="3"/>
        <v>160</v>
      </c>
      <c r="AP93" s="99">
        <f t="shared" si="3"/>
        <v>160</v>
      </c>
      <c r="AQ93" s="99">
        <f t="shared" si="3"/>
        <v>144</v>
      </c>
      <c r="AR93" s="99">
        <f t="shared" si="3"/>
        <v>144</v>
      </c>
      <c r="AS93" s="99">
        <f t="shared" si="3"/>
        <v>144</v>
      </c>
      <c r="AT93" s="99">
        <f t="shared" si="3"/>
        <v>144</v>
      </c>
      <c r="AU93" s="99">
        <f t="shared" si="3"/>
        <v>160</v>
      </c>
      <c r="AV93" s="99">
        <f t="shared" si="3"/>
        <v>160</v>
      </c>
      <c r="AW93" s="99">
        <f t="shared" si="3"/>
        <v>160</v>
      </c>
      <c r="AX93" s="99">
        <f t="shared" si="3"/>
        <v>160</v>
      </c>
    </row>
    <row r="94" spans="2:50">
      <c r="B94" s="100"/>
    </row>
    <row r="95" spans="2:50">
      <c r="B95" s="173" t="s">
        <v>334</v>
      </c>
    </row>
    <row r="96" spans="2:50">
      <c r="B96" s="174"/>
      <c r="C96" s="104" t="s">
        <v>92</v>
      </c>
      <c r="D96" s="100"/>
      <c r="E96" s="100"/>
      <c r="F96" s="100"/>
      <c r="G96" s="104" t="s">
        <v>93</v>
      </c>
      <c r="H96" s="100"/>
      <c r="I96" s="100"/>
      <c r="J96" s="100"/>
      <c r="K96" s="104" t="s">
        <v>94</v>
      </c>
      <c r="L96" s="100"/>
      <c r="M96" s="100"/>
      <c r="N96" s="100"/>
      <c r="O96" s="104" t="s">
        <v>95</v>
      </c>
      <c r="P96" s="100"/>
      <c r="Q96" s="100"/>
      <c r="R96" s="100"/>
      <c r="S96" s="104" t="s">
        <v>96</v>
      </c>
      <c r="T96" s="100"/>
      <c r="U96" s="100"/>
      <c r="V96" s="100"/>
      <c r="W96" s="104" t="s">
        <v>97</v>
      </c>
      <c r="X96" s="100"/>
      <c r="Y96" s="100"/>
      <c r="Z96" s="100"/>
      <c r="AA96" s="104" t="s">
        <v>98</v>
      </c>
      <c r="AB96" s="100"/>
      <c r="AC96" s="100"/>
      <c r="AD96" s="100"/>
      <c r="AE96" s="104" t="s">
        <v>99</v>
      </c>
      <c r="AF96" s="100"/>
      <c r="AG96" s="100"/>
      <c r="AH96" s="100"/>
      <c r="AI96" s="104" t="s">
        <v>100</v>
      </c>
      <c r="AJ96" s="100"/>
      <c r="AK96" s="100"/>
      <c r="AL96" s="100"/>
      <c r="AM96" s="104" t="s">
        <v>101</v>
      </c>
      <c r="AN96" s="100"/>
      <c r="AO96" s="100"/>
      <c r="AP96" s="100"/>
      <c r="AQ96" s="104" t="s">
        <v>102</v>
      </c>
      <c r="AR96" s="100"/>
      <c r="AS96" s="100"/>
      <c r="AT96" s="100"/>
      <c r="AU96" s="104" t="s">
        <v>103</v>
      </c>
      <c r="AV96" s="100"/>
      <c r="AW96" s="100"/>
    </row>
    <row r="97" spans="1:50">
      <c r="A97" s="175" t="s">
        <v>121</v>
      </c>
      <c r="B97" s="175" t="s">
        <v>335</v>
      </c>
      <c r="C97" s="104">
        <v>1</v>
      </c>
      <c r="D97" s="104">
        <v>2</v>
      </c>
      <c r="E97" s="104">
        <v>3</v>
      </c>
      <c r="F97" s="104">
        <v>4</v>
      </c>
      <c r="G97" s="104">
        <v>1</v>
      </c>
      <c r="H97" s="104">
        <v>2</v>
      </c>
      <c r="I97" s="104">
        <v>3</v>
      </c>
      <c r="J97" s="104">
        <v>4</v>
      </c>
      <c r="K97" s="104">
        <v>1</v>
      </c>
      <c r="L97" s="104">
        <v>2</v>
      </c>
      <c r="M97" s="104">
        <v>3</v>
      </c>
      <c r="N97" s="104">
        <v>4</v>
      </c>
      <c r="O97" s="104">
        <v>1</v>
      </c>
      <c r="P97" s="104">
        <v>2</v>
      </c>
      <c r="Q97" s="104">
        <v>3</v>
      </c>
      <c r="R97" s="104">
        <v>4</v>
      </c>
      <c r="S97" s="104">
        <v>1</v>
      </c>
      <c r="T97" s="104">
        <v>2</v>
      </c>
      <c r="U97" s="104">
        <v>3</v>
      </c>
      <c r="V97" s="104">
        <v>4</v>
      </c>
      <c r="W97" s="104">
        <v>1</v>
      </c>
      <c r="X97" s="104">
        <v>2</v>
      </c>
      <c r="Y97" s="104">
        <v>3</v>
      </c>
      <c r="Z97" s="104">
        <v>4</v>
      </c>
      <c r="AA97" s="104">
        <v>1</v>
      </c>
      <c r="AB97" s="104">
        <v>2</v>
      </c>
      <c r="AC97" s="104">
        <v>3</v>
      </c>
      <c r="AD97" s="104">
        <v>4</v>
      </c>
      <c r="AE97" s="104">
        <v>1</v>
      </c>
      <c r="AF97" s="104">
        <v>2</v>
      </c>
      <c r="AG97" s="104">
        <v>3</v>
      </c>
      <c r="AH97" s="104">
        <v>4</v>
      </c>
      <c r="AI97" s="104">
        <v>1</v>
      </c>
      <c r="AJ97" s="104">
        <v>2</v>
      </c>
      <c r="AK97" s="104">
        <v>3</v>
      </c>
      <c r="AL97" s="104">
        <v>4</v>
      </c>
      <c r="AM97" s="104">
        <v>1</v>
      </c>
      <c r="AN97" s="104">
        <v>2</v>
      </c>
      <c r="AO97" s="104">
        <v>3</v>
      </c>
      <c r="AP97" s="104">
        <v>4</v>
      </c>
      <c r="AQ97" s="104">
        <v>1</v>
      </c>
      <c r="AR97" s="104">
        <v>2</v>
      </c>
      <c r="AS97" s="104">
        <v>3</v>
      </c>
      <c r="AT97" s="104">
        <v>4</v>
      </c>
      <c r="AU97" s="104">
        <v>1</v>
      </c>
      <c r="AV97" s="104">
        <v>2</v>
      </c>
      <c r="AW97" s="104">
        <v>3</v>
      </c>
      <c r="AX97" s="104">
        <v>4</v>
      </c>
    </row>
    <row r="98" spans="1:50">
      <c r="A98" s="104" t="s">
        <v>104</v>
      </c>
      <c r="B98" s="104" t="s">
        <v>5</v>
      </c>
      <c r="C98" s="99">
        <v>31012.816408200004</v>
      </c>
      <c r="D98" s="99">
        <v>31012.816408200004</v>
      </c>
      <c r="E98" s="99">
        <v>31012.816408200004</v>
      </c>
      <c r="F98" s="99">
        <v>31012.816408200004</v>
      </c>
      <c r="G98" s="99">
        <v>31012.816408200004</v>
      </c>
      <c r="H98" s="99">
        <v>31012.816408200004</v>
      </c>
      <c r="I98" s="99">
        <v>31012.816408200004</v>
      </c>
      <c r="J98" s="99">
        <v>31012.816408200004</v>
      </c>
      <c r="K98" s="99">
        <v>34458.684898</v>
      </c>
      <c r="L98" s="99">
        <v>34458.684898</v>
      </c>
      <c r="M98" s="99">
        <v>34458.684898</v>
      </c>
      <c r="N98" s="99">
        <v>34458.684898</v>
      </c>
      <c r="O98" s="99">
        <v>31012.816408200004</v>
      </c>
      <c r="P98" s="99">
        <v>31012.816408200004</v>
      </c>
      <c r="Q98" s="99">
        <v>31012.816408200004</v>
      </c>
      <c r="R98" s="99">
        <v>31012.816408200004</v>
      </c>
      <c r="S98" s="99">
        <v>31012.816408200004</v>
      </c>
      <c r="T98" s="99">
        <v>31012.816408200004</v>
      </c>
      <c r="U98" s="99">
        <v>31012.816408200004</v>
      </c>
      <c r="V98" s="99">
        <v>31012.816408200004</v>
      </c>
      <c r="W98" s="99">
        <v>37904.553387799999</v>
      </c>
      <c r="X98" s="99">
        <v>37904.553387799999</v>
      </c>
      <c r="Y98" s="99">
        <v>37904.553387799999</v>
      </c>
      <c r="Z98" s="99">
        <v>37904.553387799999</v>
      </c>
      <c r="AA98" s="99">
        <v>34458.684898</v>
      </c>
      <c r="AB98" s="99">
        <v>34458.684898</v>
      </c>
      <c r="AC98" s="99">
        <v>34458.684898</v>
      </c>
      <c r="AD98" s="99">
        <v>34458.684898</v>
      </c>
      <c r="AE98" s="99">
        <v>34458.684898</v>
      </c>
      <c r="AF98" s="99">
        <v>34458.684898</v>
      </c>
      <c r="AG98" s="99">
        <v>34458.684898</v>
      </c>
      <c r="AH98" s="99">
        <v>34458.684898</v>
      </c>
      <c r="AI98" s="99">
        <v>34458.684898</v>
      </c>
      <c r="AJ98" s="99">
        <v>34458.684898</v>
      </c>
      <c r="AK98" s="99">
        <v>34458.684898</v>
      </c>
      <c r="AL98" s="99">
        <v>34458.684898</v>
      </c>
      <c r="AM98" s="99">
        <v>37904.553387799999</v>
      </c>
      <c r="AN98" s="99">
        <v>37904.553387799999</v>
      </c>
      <c r="AO98" s="99">
        <v>37904.553387799999</v>
      </c>
      <c r="AP98" s="99">
        <v>37904.553387799999</v>
      </c>
      <c r="AQ98" s="99">
        <v>34458.684898</v>
      </c>
      <c r="AR98" s="99">
        <v>34458.684898</v>
      </c>
      <c r="AS98" s="99">
        <v>34458.684898</v>
      </c>
      <c r="AT98" s="99">
        <v>34458.684898</v>
      </c>
      <c r="AU98" s="99">
        <v>34458.684898</v>
      </c>
      <c r="AV98" s="99">
        <v>34458.684898</v>
      </c>
      <c r="AW98" s="99">
        <v>34458.684898</v>
      </c>
      <c r="AX98" s="99">
        <v>34458.684898</v>
      </c>
    </row>
    <row r="99" spans="1:50">
      <c r="B99" s="104" t="s">
        <v>10</v>
      </c>
      <c r="C99" s="99">
        <v>0</v>
      </c>
      <c r="D99" s="99">
        <v>0</v>
      </c>
      <c r="E99" s="99">
        <v>0</v>
      </c>
      <c r="F99" s="99">
        <v>0</v>
      </c>
      <c r="G99" s="99">
        <v>0</v>
      </c>
      <c r="H99" s="99">
        <v>0</v>
      </c>
      <c r="I99" s="99">
        <v>0</v>
      </c>
      <c r="J99" s="99">
        <v>0</v>
      </c>
      <c r="K99" s="99">
        <v>0</v>
      </c>
      <c r="L99" s="99">
        <v>0</v>
      </c>
      <c r="M99" s="99">
        <v>0</v>
      </c>
      <c r="N99" s="99">
        <v>0</v>
      </c>
      <c r="O99" s="99">
        <v>0</v>
      </c>
      <c r="P99" s="99">
        <v>0</v>
      </c>
      <c r="Q99" s="99">
        <v>0</v>
      </c>
      <c r="R99" s="99">
        <v>0</v>
      </c>
      <c r="S99" s="99">
        <v>0</v>
      </c>
      <c r="T99" s="99">
        <v>0</v>
      </c>
      <c r="U99" s="99">
        <v>0</v>
      </c>
      <c r="V99" s="99">
        <v>0</v>
      </c>
      <c r="W99" s="99">
        <v>0</v>
      </c>
      <c r="X99" s="99">
        <v>0</v>
      </c>
      <c r="Y99" s="99">
        <v>0</v>
      </c>
      <c r="Z99" s="99">
        <v>0</v>
      </c>
      <c r="AA99" s="99">
        <v>0</v>
      </c>
      <c r="AB99" s="99">
        <v>0</v>
      </c>
      <c r="AC99" s="99">
        <v>0</v>
      </c>
      <c r="AD99" s="99">
        <v>0</v>
      </c>
      <c r="AE99" s="99">
        <v>0</v>
      </c>
      <c r="AF99" s="99">
        <v>0</v>
      </c>
      <c r="AG99" s="99">
        <v>0</v>
      </c>
      <c r="AH99" s="99">
        <v>0</v>
      </c>
      <c r="AI99" s="99">
        <v>0</v>
      </c>
      <c r="AJ99" s="99">
        <v>0</v>
      </c>
      <c r="AK99" s="99">
        <v>0</v>
      </c>
      <c r="AL99" s="99">
        <v>0</v>
      </c>
      <c r="AM99" s="99">
        <v>0</v>
      </c>
      <c r="AN99" s="99">
        <v>0</v>
      </c>
      <c r="AO99" s="99">
        <v>0</v>
      </c>
      <c r="AP99" s="99">
        <v>0</v>
      </c>
      <c r="AQ99" s="99">
        <v>0</v>
      </c>
      <c r="AR99" s="99">
        <v>0</v>
      </c>
      <c r="AS99" s="99">
        <v>0</v>
      </c>
      <c r="AT99" s="99">
        <v>0</v>
      </c>
      <c r="AU99" s="99">
        <v>0</v>
      </c>
      <c r="AV99" s="99">
        <v>0</v>
      </c>
      <c r="AW99" s="99">
        <v>0</v>
      </c>
      <c r="AX99" s="99">
        <v>0</v>
      </c>
    </row>
    <row r="100" spans="1:50">
      <c r="B100" s="104" t="s">
        <v>12</v>
      </c>
      <c r="C100" s="99">
        <v>0</v>
      </c>
      <c r="D100" s="99">
        <v>0</v>
      </c>
      <c r="E100" s="99">
        <v>0</v>
      </c>
      <c r="F100" s="99">
        <v>0</v>
      </c>
      <c r="G100" s="99">
        <v>0</v>
      </c>
      <c r="H100" s="99">
        <v>0</v>
      </c>
      <c r="I100" s="99">
        <v>0</v>
      </c>
      <c r="J100" s="99">
        <v>0</v>
      </c>
      <c r="K100" s="99">
        <v>0</v>
      </c>
      <c r="L100" s="99">
        <v>0</v>
      </c>
      <c r="M100" s="99">
        <v>0</v>
      </c>
      <c r="N100" s="99">
        <v>0</v>
      </c>
      <c r="O100" s="99">
        <v>0</v>
      </c>
      <c r="P100" s="99">
        <v>0</v>
      </c>
      <c r="Q100" s="99">
        <v>0</v>
      </c>
      <c r="R100" s="99">
        <v>0</v>
      </c>
      <c r="S100" s="99">
        <v>0</v>
      </c>
      <c r="T100" s="99">
        <v>0</v>
      </c>
      <c r="U100" s="99">
        <v>0</v>
      </c>
      <c r="V100" s="99">
        <v>0</v>
      </c>
      <c r="W100" s="99">
        <v>0</v>
      </c>
      <c r="X100" s="99">
        <v>0</v>
      </c>
      <c r="Y100" s="99">
        <v>0</v>
      </c>
      <c r="Z100" s="99">
        <v>0</v>
      </c>
      <c r="AA100" s="99">
        <v>0</v>
      </c>
      <c r="AB100" s="99">
        <v>0</v>
      </c>
      <c r="AC100" s="99">
        <v>0</v>
      </c>
      <c r="AD100" s="99">
        <v>0</v>
      </c>
      <c r="AE100" s="99">
        <v>0</v>
      </c>
      <c r="AF100" s="99">
        <v>0</v>
      </c>
      <c r="AG100" s="99">
        <v>0</v>
      </c>
      <c r="AH100" s="99">
        <v>0</v>
      </c>
      <c r="AI100" s="99">
        <v>0</v>
      </c>
      <c r="AJ100" s="99">
        <v>0</v>
      </c>
      <c r="AK100" s="99">
        <v>0</v>
      </c>
      <c r="AL100" s="99">
        <v>0</v>
      </c>
      <c r="AM100" s="99">
        <v>0</v>
      </c>
      <c r="AN100" s="99">
        <v>0</v>
      </c>
      <c r="AO100" s="99">
        <v>0</v>
      </c>
      <c r="AP100" s="99">
        <v>0</v>
      </c>
      <c r="AQ100" s="99">
        <v>0</v>
      </c>
      <c r="AR100" s="99">
        <v>0</v>
      </c>
      <c r="AS100" s="99">
        <v>0</v>
      </c>
      <c r="AT100" s="99">
        <v>0</v>
      </c>
      <c r="AU100" s="99">
        <v>0</v>
      </c>
      <c r="AV100" s="99">
        <v>0</v>
      </c>
      <c r="AW100" s="99">
        <v>0</v>
      </c>
      <c r="AX100" s="99">
        <v>0</v>
      </c>
    </row>
    <row r="101" spans="1:50">
      <c r="B101" s="104" t="s">
        <v>22</v>
      </c>
      <c r="C101" s="99">
        <v>0</v>
      </c>
      <c r="D101" s="99">
        <v>0</v>
      </c>
      <c r="E101" s="99">
        <v>0</v>
      </c>
      <c r="F101" s="99">
        <v>0</v>
      </c>
      <c r="G101" s="99">
        <v>0</v>
      </c>
      <c r="H101" s="99">
        <v>0</v>
      </c>
      <c r="I101" s="99">
        <v>0</v>
      </c>
      <c r="J101" s="99">
        <v>0</v>
      </c>
      <c r="K101" s="99">
        <v>0</v>
      </c>
      <c r="L101" s="99">
        <v>0</v>
      </c>
      <c r="M101" s="99">
        <v>0</v>
      </c>
      <c r="N101" s="99">
        <v>0</v>
      </c>
      <c r="O101" s="99">
        <v>0</v>
      </c>
      <c r="P101" s="99">
        <v>0</v>
      </c>
      <c r="Q101" s="99">
        <v>0</v>
      </c>
      <c r="R101" s="99">
        <v>0</v>
      </c>
      <c r="S101" s="99">
        <v>0</v>
      </c>
      <c r="T101" s="99">
        <v>0</v>
      </c>
      <c r="U101" s="99">
        <v>0</v>
      </c>
      <c r="V101" s="99">
        <v>0</v>
      </c>
      <c r="W101" s="99">
        <v>0</v>
      </c>
      <c r="X101" s="99">
        <v>0</v>
      </c>
      <c r="Y101" s="99">
        <v>0</v>
      </c>
      <c r="Z101" s="99">
        <v>0</v>
      </c>
      <c r="AA101" s="99">
        <v>0</v>
      </c>
      <c r="AB101" s="99">
        <v>0</v>
      </c>
      <c r="AC101" s="99">
        <v>0</v>
      </c>
      <c r="AD101" s="99">
        <v>0</v>
      </c>
      <c r="AE101" s="99">
        <v>0</v>
      </c>
      <c r="AF101" s="99">
        <v>0</v>
      </c>
      <c r="AG101" s="99">
        <v>0</v>
      </c>
      <c r="AH101" s="99">
        <v>0</v>
      </c>
      <c r="AI101" s="99">
        <v>0</v>
      </c>
      <c r="AJ101" s="99">
        <v>0</v>
      </c>
      <c r="AK101" s="99">
        <v>0</v>
      </c>
      <c r="AL101" s="99">
        <v>0</v>
      </c>
      <c r="AM101" s="99">
        <v>0</v>
      </c>
      <c r="AN101" s="99">
        <v>0</v>
      </c>
      <c r="AO101" s="99">
        <v>0</v>
      </c>
      <c r="AP101" s="99">
        <v>0</v>
      </c>
      <c r="AQ101" s="99">
        <v>0</v>
      </c>
      <c r="AR101" s="99">
        <v>0</v>
      </c>
      <c r="AS101" s="99">
        <v>0</v>
      </c>
      <c r="AT101" s="99">
        <v>0</v>
      </c>
      <c r="AU101" s="99">
        <v>0</v>
      </c>
      <c r="AV101" s="99">
        <v>0</v>
      </c>
      <c r="AW101" s="99">
        <v>0</v>
      </c>
      <c r="AX101" s="99">
        <v>0</v>
      </c>
    </row>
    <row r="102" spans="1:50">
      <c r="B102" s="104" t="s">
        <v>59</v>
      </c>
      <c r="C102" s="99">
        <v>36210.047633100003</v>
      </c>
      <c r="D102" s="99">
        <v>36210.047633100003</v>
      </c>
      <c r="E102" s="99">
        <v>36210.047633100003</v>
      </c>
      <c r="F102" s="99">
        <v>36210.047633100003</v>
      </c>
      <c r="G102" s="99">
        <v>36210.047633100003</v>
      </c>
      <c r="H102" s="99">
        <v>36210.047633100003</v>
      </c>
      <c r="I102" s="99">
        <v>36210.047633100003</v>
      </c>
      <c r="J102" s="99">
        <v>36210.047633100003</v>
      </c>
      <c r="K102" s="99">
        <v>40233.386259000006</v>
      </c>
      <c r="L102" s="99">
        <v>40233.386259000006</v>
      </c>
      <c r="M102" s="99">
        <v>40233.386259000006</v>
      </c>
      <c r="N102" s="99">
        <v>40233.386259000006</v>
      </c>
      <c r="O102" s="99">
        <v>36210.047633100003</v>
      </c>
      <c r="P102" s="99">
        <v>36210.047633100003</v>
      </c>
      <c r="Q102" s="99">
        <v>36210.047633100003</v>
      </c>
      <c r="R102" s="99">
        <v>36210.047633100003</v>
      </c>
      <c r="S102" s="99">
        <v>36210.047633100003</v>
      </c>
      <c r="T102" s="99">
        <v>36210.047633100003</v>
      </c>
      <c r="U102" s="99">
        <v>36210.047633100003</v>
      </c>
      <c r="V102" s="99">
        <v>36210.047633100003</v>
      </c>
      <c r="W102" s="99">
        <v>44256.724884899995</v>
      </c>
      <c r="X102" s="99">
        <v>44256.724884899995</v>
      </c>
      <c r="Y102" s="99">
        <v>44256.724884899995</v>
      </c>
      <c r="Z102" s="99">
        <v>44256.724884899995</v>
      </c>
      <c r="AA102" s="99">
        <v>40233.386259000006</v>
      </c>
      <c r="AB102" s="99">
        <v>40233.386259000006</v>
      </c>
      <c r="AC102" s="99">
        <v>40233.386259000006</v>
      </c>
      <c r="AD102" s="99">
        <v>40233.386259000006</v>
      </c>
      <c r="AE102" s="99">
        <v>40233.386259000006</v>
      </c>
      <c r="AF102" s="99">
        <v>40233.386259000006</v>
      </c>
      <c r="AG102" s="99">
        <v>40233.386259000006</v>
      </c>
      <c r="AH102" s="99">
        <v>40233.386259000006</v>
      </c>
      <c r="AI102" s="99">
        <v>40233.386259000006</v>
      </c>
      <c r="AJ102" s="99">
        <v>40233.386259000006</v>
      </c>
      <c r="AK102" s="99">
        <v>40233.386259000006</v>
      </c>
      <c r="AL102" s="99">
        <v>40233.386259000006</v>
      </c>
      <c r="AM102" s="99">
        <v>44256.724884899995</v>
      </c>
      <c r="AN102" s="99">
        <v>44256.724884899995</v>
      </c>
      <c r="AO102" s="99">
        <v>44256.724884899995</v>
      </c>
      <c r="AP102" s="99">
        <v>44256.724884899995</v>
      </c>
      <c r="AQ102" s="99">
        <v>40233.386259000006</v>
      </c>
      <c r="AR102" s="99">
        <v>40233.386259000006</v>
      </c>
      <c r="AS102" s="99">
        <v>40233.386259000006</v>
      </c>
      <c r="AT102" s="99">
        <v>40233.386259000006</v>
      </c>
      <c r="AU102" s="99">
        <v>40233.386259000006</v>
      </c>
      <c r="AV102" s="99">
        <v>40233.386259000006</v>
      </c>
      <c r="AW102" s="99">
        <v>40233.386259000006</v>
      </c>
      <c r="AX102" s="99">
        <v>40233.386259000006</v>
      </c>
    </row>
    <row r="103" spans="1:50">
      <c r="B103" s="99" t="s">
        <v>277</v>
      </c>
      <c r="C103" s="104">
        <f>SUM(C$98:C$102)</f>
        <v>67222.86404130001</v>
      </c>
      <c r="D103" s="104">
        <f t="shared" ref="D103:AX103" si="5">SUM(D$98:D$102)</f>
        <v>67222.86404130001</v>
      </c>
      <c r="E103" s="104">
        <f t="shared" si="5"/>
        <v>67222.86404130001</v>
      </c>
      <c r="F103" s="104">
        <f t="shared" si="5"/>
        <v>67222.86404130001</v>
      </c>
      <c r="G103" s="104">
        <f t="shared" si="5"/>
        <v>67222.86404130001</v>
      </c>
      <c r="H103" s="104">
        <f t="shared" si="5"/>
        <v>67222.86404130001</v>
      </c>
      <c r="I103" s="104">
        <f t="shared" si="5"/>
        <v>67222.86404130001</v>
      </c>
      <c r="J103" s="104">
        <f t="shared" si="5"/>
        <v>67222.86404130001</v>
      </c>
      <c r="K103" s="104">
        <f t="shared" si="5"/>
        <v>74692.071156999998</v>
      </c>
      <c r="L103" s="104">
        <f t="shared" si="5"/>
        <v>74692.071156999998</v>
      </c>
      <c r="M103" s="104">
        <f t="shared" si="5"/>
        <v>74692.071156999998</v>
      </c>
      <c r="N103" s="104">
        <f t="shared" si="5"/>
        <v>74692.071156999998</v>
      </c>
      <c r="O103" s="104">
        <f t="shared" si="5"/>
        <v>67222.86404130001</v>
      </c>
      <c r="P103" s="104">
        <f t="shared" si="5"/>
        <v>67222.86404130001</v>
      </c>
      <c r="Q103" s="104">
        <f t="shared" si="5"/>
        <v>67222.86404130001</v>
      </c>
      <c r="R103" s="104">
        <f t="shared" si="5"/>
        <v>67222.86404130001</v>
      </c>
      <c r="S103" s="104">
        <f t="shared" si="5"/>
        <v>67222.86404130001</v>
      </c>
      <c r="T103" s="104">
        <f t="shared" si="5"/>
        <v>67222.86404130001</v>
      </c>
      <c r="U103" s="104">
        <f t="shared" si="5"/>
        <v>67222.86404130001</v>
      </c>
      <c r="V103" s="104">
        <f t="shared" si="5"/>
        <v>67222.86404130001</v>
      </c>
      <c r="W103" s="104">
        <f t="shared" si="5"/>
        <v>82161.278272700001</v>
      </c>
      <c r="X103" s="104">
        <f t="shared" si="5"/>
        <v>82161.278272700001</v>
      </c>
      <c r="Y103" s="104">
        <f t="shared" si="5"/>
        <v>82161.278272700001</v>
      </c>
      <c r="Z103" s="104">
        <f t="shared" si="5"/>
        <v>82161.278272700001</v>
      </c>
      <c r="AA103" s="104">
        <f t="shared" si="5"/>
        <v>74692.071156999998</v>
      </c>
      <c r="AB103" s="104">
        <f t="shared" si="5"/>
        <v>74692.071156999998</v>
      </c>
      <c r="AC103" s="104">
        <f t="shared" si="5"/>
        <v>74692.071156999998</v>
      </c>
      <c r="AD103" s="104">
        <f t="shared" si="5"/>
        <v>74692.071156999998</v>
      </c>
      <c r="AE103" s="104">
        <f t="shared" si="5"/>
        <v>74692.071156999998</v>
      </c>
      <c r="AF103" s="104">
        <f t="shared" si="5"/>
        <v>74692.071156999998</v>
      </c>
      <c r="AG103" s="104">
        <f t="shared" si="5"/>
        <v>74692.071156999998</v>
      </c>
      <c r="AH103" s="104">
        <f t="shared" si="5"/>
        <v>74692.071156999998</v>
      </c>
      <c r="AI103" s="104">
        <f t="shared" si="5"/>
        <v>74692.071156999998</v>
      </c>
      <c r="AJ103" s="104">
        <f t="shared" si="5"/>
        <v>74692.071156999998</v>
      </c>
      <c r="AK103" s="104">
        <f t="shared" si="5"/>
        <v>74692.071156999998</v>
      </c>
      <c r="AL103" s="104">
        <f t="shared" si="5"/>
        <v>74692.071156999998</v>
      </c>
      <c r="AM103" s="104">
        <f t="shared" si="5"/>
        <v>82161.278272700001</v>
      </c>
      <c r="AN103" s="104">
        <f t="shared" si="5"/>
        <v>82161.278272700001</v>
      </c>
      <c r="AO103" s="104">
        <f t="shared" si="5"/>
        <v>82161.278272700001</v>
      </c>
      <c r="AP103" s="104">
        <f t="shared" si="5"/>
        <v>82161.278272700001</v>
      </c>
      <c r="AQ103" s="104">
        <f t="shared" si="5"/>
        <v>74692.071156999998</v>
      </c>
      <c r="AR103" s="104">
        <f t="shared" si="5"/>
        <v>74692.071156999998</v>
      </c>
      <c r="AS103" s="104">
        <f t="shared" si="5"/>
        <v>74692.071156999998</v>
      </c>
      <c r="AT103" s="104">
        <f t="shared" si="5"/>
        <v>74692.071156999998</v>
      </c>
      <c r="AU103" s="104">
        <f t="shared" si="5"/>
        <v>74692.071156999998</v>
      </c>
      <c r="AV103" s="104">
        <f t="shared" si="5"/>
        <v>74692.071156999998</v>
      </c>
      <c r="AW103" s="104">
        <f t="shared" si="5"/>
        <v>74692.071156999998</v>
      </c>
      <c r="AX103" s="104">
        <f t="shared" si="5"/>
        <v>74692.071156999998</v>
      </c>
    </row>
    <row r="104" spans="1:50">
      <c r="A104" s="104" t="s">
        <v>105</v>
      </c>
      <c r="B104" s="104" t="s">
        <v>5</v>
      </c>
      <c r="C104" s="99">
        <v>0</v>
      </c>
      <c r="D104" s="99">
        <v>0</v>
      </c>
      <c r="E104" s="99">
        <v>0</v>
      </c>
      <c r="F104" s="99">
        <v>0</v>
      </c>
      <c r="G104" s="99">
        <v>0</v>
      </c>
      <c r="H104" s="99">
        <v>0</v>
      </c>
      <c r="I104" s="99">
        <v>0</v>
      </c>
      <c r="J104" s="99">
        <v>0</v>
      </c>
      <c r="K104" s="99">
        <v>0</v>
      </c>
      <c r="L104" s="99">
        <v>0</v>
      </c>
      <c r="M104" s="99">
        <v>0</v>
      </c>
      <c r="N104" s="99">
        <v>0</v>
      </c>
      <c r="O104" s="99">
        <v>0</v>
      </c>
      <c r="P104" s="99">
        <v>0</v>
      </c>
      <c r="Q104" s="99">
        <v>0</v>
      </c>
      <c r="R104" s="99">
        <v>0</v>
      </c>
      <c r="S104" s="99">
        <v>0</v>
      </c>
      <c r="T104" s="99">
        <v>0</v>
      </c>
      <c r="U104" s="99">
        <v>0</v>
      </c>
      <c r="V104" s="99">
        <v>0</v>
      </c>
      <c r="W104" s="99">
        <v>0</v>
      </c>
      <c r="X104" s="99">
        <v>0</v>
      </c>
      <c r="Y104" s="99">
        <v>0</v>
      </c>
      <c r="Z104" s="99">
        <v>0</v>
      </c>
      <c r="AA104" s="99">
        <v>0</v>
      </c>
      <c r="AB104" s="99">
        <v>0</v>
      </c>
      <c r="AC104" s="99">
        <v>0</v>
      </c>
      <c r="AD104" s="99">
        <v>0</v>
      </c>
      <c r="AE104" s="99">
        <v>0</v>
      </c>
      <c r="AF104" s="99">
        <v>0</v>
      </c>
      <c r="AG104" s="99">
        <v>0</v>
      </c>
      <c r="AH104" s="99">
        <v>0</v>
      </c>
      <c r="AI104" s="99">
        <v>0</v>
      </c>
      <c r="AJ104" s="99">
        <v>0</v>
      </c>
      <c r="AK104" s="99">
        <v>0</v>
      </c>
      <c r="AL104" s="99">
        <v>0</v>
      </c>
      <c r="AM104" s="99">
        <v>0</v>
      </c>
      <c r="AN104" s="99">
        <v>0</v>
      </c>
      <c r="AO104" s="99">
        <v>0</v>
      </c>
      <c r="AP104" s="99">
        <v>0</v>
      </c>
      <c r="AQ104" s="99">
        <v>0</v>
      </c>
      <c r="AR104" s="99">
        <v>0</v>
      </c>
      <c r="AS104" s="99">
        <v>0</v>
      </c>
      <c r="AT104" s="99">
        <v>0</v>
      </c>
      <c r="AU104" s="99">
        <v>0</v>
      </c>
      <c r="AV104" s="99">
        <v>0</v>
      </c>
      <c r="AW104" s="99">
        <v>0</v>
      </c>
      <c r="AX104" s="99">
        <v>0</v>
      </c>
    </row>
    <row r="105" spans="1:50">
      <c r="B105" s="104" t="s">
        <v>10</v>
      </c>
      <c r="C105" s="99">
        <v>38611.235520000002</v>
      </c>
      <c r="D105" s="99">
        <v>38611.235520000002</v>
      </c>
      <c r="E105" s="99">
        <v>38611.235520000002</v>
      </c>
      <c r="F105" s="99">
        <v>38611.235520000002</v>
      </c>
      <c r="G105" s="99">
        <v>38611.235520000002</v>
      </c>
      <c r="H105" s="99">
        <v>38611.235520000002</v>
      </c>
      <c r="I105" s="99">
        <v>38611.235520000002</v>
      </c>
      <c r="J105" s="99">
        <v>38611.235520000002</v>
      </c>
      <c r="K105" s="99">
        <v>38611.235520000002</v>
      </c>
      <c r="L105" s="99">
        <v>38611.235520000002</v>
      </c>
      <c r="M105" s="99">
        <v>38611.235520000002</v>
      </c>
      <c r="N105" s="99">
        <v>38611.235520000002</v>
      </c>
      <c r="O105" s="99">
        <v>34750.111968000005</v>
      </c>
      <c r="P105" s="99">
        <v>34750.111968000005</v>
      </c>
      <c r="Q105" s="99">
        <v>34750.111968000005</v>
      </c>
      <c r="R105" s="99">
        <v>34750.111968000005</v>
      </c>
      <c r="S105" s="99">
        <v>34750.111968000005</v>
      </c>
      <c r="T105" s="99">
        <v>34750.111968000005</v>
      </c>
      <c r="U105" s="99">
        <v>34750.111968000005</v>
      </c>
      <c r="V105" s="99">
        <v>34750.111968000005</v>
      </c>
      <c r="W105" s="99">
        <v>38611.235520000002</v>
      </c>
      <c r="X105" s="99">
        <v>38611.235520000002</v>
      </c>
      <c r="Y105" s="99">
        <v>38611.235520000002</v>
      </c>
      <c r="Z105" s="99">
        <v>38611.235520000002</v>
      </c>
      <c r="AA105" s="99">
        <v>42472.359072000014</v>
      </c>
      <c r="AB105" s="99">
        <v>42472.359072000014</v>
      </c>
      <c r="AC105" s="99">
        <v>42472.359072000014</v>
      </c>
      <c r="AD105" s="99">
        <v>42472.359072000014</v>
      </c>
      <c r="AE105" s="99">
        <v>38611.235520000002</v>
      </c>
      <c r="AF105" s="99">
        <v>38611.235520000002</v>
      </c>
      <c r="AG105" s="99">
        <v>38611.235520000002</v>
      </c>
      <c r="AH105" s="99">
        <v>38611.235520000002</v>
      </c>
      <c r="AI105" s="99">
        <v>38611.235520000002</v>
      </c>
      <c r="AJ105" s="99">
        <v>38611.235520000002</v>
      </c>
      <c r="AK105" s="99">
        <v>38611.235520000002</v>
      </c>
      <c r="AL105" s="99">
        <v>38611.235520000002</v>
      </c>
      <c r="AM105" s="99">
        <v>38611.235520000002</v>
      </c>
      <c r="AN105" s="99">
        <v>38611.235520000002</v>
      </c>
      <c r="AO105" s="99">
        <v>38611.235520000002</v>
      </c>
      <c r="AP105" s="99">
        <v>38611.235520000002</v>
      </c>
      <c r="AQ105" s="99">
        <v>38611.235520000002</v>
      </c>
      <c r="AR105" s="99">
        <v>38611.235520000002</v>
      </c>
      <c r="AS105" s="99">
        <v>38611.235520000002</v>
      </c>
      <c r="AT105" s="99">
        <v>38611.235520000002</v>
      </c>
      <c r="AU105" s="99">
        <v>38611.235520000002</v>
      </c>
      <c r="AV105" s="99">
        <v>38611.235520000002</v>
      </c>
      <c r="AW105" s="99">
        <v>38611.235520000002</v>
      </c>
      <c r="AX105" s="99">
        <v>38611.235520000002</v>
      </c>
    </row>
    <row r="106" spans="1:50">
      <c r="B106" s="104" t="s">
        <v>12</v>
      </c>
      <c r="C106" s="99">
        <v>0</v>
      </c>
      <c r="D106" s="99">
        <v>0</v>
      </c>
      <c r="E106" s="99">
        <v>0</v>
      </c>
      <c r="F106" s="99">
        <v>0</v>
      </c>
      <c r="G106" s="99">
        <v>0</v>
      </c>
      <c r="H106" s="99">
        <v>0</v>
      </c>
      <c r="I106" s="99">
        <v>0</v>
      </c>
      <c r="J106" s="99">
        <v>0</v>
      </c>
      <c r="K106" s="99">
        <v>0</v>
      </c>
      <c r="L106" s="99">
        <v>0</v>
      </c>
      <c r="M106" s="99">
        <v>0</v>
      </c>
      <c r="N106" s="99">
        <v>0</v>
      </c>
      <c r="O106" s="99">
        <v>0</v>
      </c>
      <c r="P106" s="99">
        <v>0</v>
      </c>
      <c r="Q106" s="99">
        <v>0</v>
      </c>
      <c r="R106" s="99">
        <v>0</v>
      </c>
      <c r="S106" s="99">
        <v>0</v>
      </c>
      <c r="T106" s="99">
        <v>0</v>
      </c>
      <c r="U106" s="99">
        <v>0</v>
      </c>
      <c r="V106" s="99">
        <v>0</v>
      </c>
      <c r="W106" s="99">
        <v>0</v>
      </c>
      <c r="X106" s="99">
        <v>0</v>
      </c>
      <c r="Y106" s="99">
        <v>0</v>
      </c>
      <c r="Z106" s="99">
        <v>0</v>
      </c>
      <c r="AA106" s="99">
        <v>0</v>
      </c>
      <c r="AB106" s="99">
        <v>0</v>
      </c>
      <c r="AC106" s="99">
        <v>0</v>
      </c>
      <c r="AD106" s="99">
        <v>0</v>
      </c>
      <c r="AE106" s="99">
        <v>0</v>
      </c>
      <c r="AF106" s="99">
        <v>0</v>
      </c>
      <c r="AG106" s="99">
        <v>0</v>
      </c>
      <c r="AH106" s="99">
        <v>0</v>
      </c>
      <c r="AI106" s="99">
        <v>0</v>
      </c>
      <c r="AJ106" s="99">
        <v>0</v>
      </c>
      <c r="AK106" s="99">
        <v>0</v>
      </c>
      <c r="AL106" s="99">
        <v>0</v>
      </c>
      <c r="AM106" s="99">
        <v>0</v>
      </c>
      <c r="AN106" s="99">
        <v>0</v>
      </c>
      <c r="AO106" s="99">
        <v>0</v>
      </c>
      <c r="AP106" s="99">
        <v>0</v>
      </c>
      <c r="AQ106" s="99">
        <v>0</v>
      </c>
      <c r="AR106" s="99">
        <v>0</v>
      </c>
      <c r="AS106" s="99">
        <v>0</v>
      </c>
      <c r="AT106" s="99">
        <v>0</v>
      </c>
      <c r="AU106" s="99">
        <v>0</v>
      </c>
      <c r="AV106" s="99">
        <v>0</v>
      </c>
      <c r="AW106" s="99">
        <v>0</v>
      </c>
      <c r="AX106" s="99">
        <v>0</v>
      </c>
    </row>
    <row r="107" spans="1:50">
      <c r="B107" s="104" t="s">
        <v>22</v>
      </c>
      <c r="C107" s="99">
        <v>54589.740479999993</v>
      </c>
      <c r="D107" s="99">
        <v>54589.740479999993</v>
      </c>
      <c r="E107" s="99">
        <v>54589.740479999993</v>
      </c>
      <c r="F107" s="99">
        <v>54589.740479999993</v>
      </c>
      <c r="G107" s="99">
        <v>54589.740479999993</v>
      </c>
      <c r="H107" s="99">
        <v>54589.740479999993</v>
      </c>
      <c r="I107" s="99">
        <v>54589.740479999993</v>
      </c>
      <c r="J107" s="99">
        <v>54589.740479999993</v>
      </c>
      <c r="K107" s="99">
        <v>54589.740479999993</v>
      </c>
      <c r="L107" s="99">
        <v>54589.740479999993</v>
      </c>
      <c r="M107" s="99">
        <v>54589.740479999993</v>
      </c>
      <c r="N107" s="99">
        <v>54589.740479999993</v>
      </c>
      <c r="O107" s="99">
        <v>49130.766431999989</v>
      </c>
      <c r="P107" s="99">
        <v>49130.766431999989</v>
      </c>
      <c r="Q107" s="99">
        <v>49130.766431999989</v>
      </c>
      <c r="R107" s="99">
        <v>49130.766431999989</v>
      </c>
      <c r="S107" s="99">
        <v>49130.766431999989</v>
      </c>
      <c r="T107" s="99">
        <v>49130.766431999989</v>
      </c>
      <c r="U107" s="99">
        <v>49130.766431999989</v>
      </c>
      <c r="V107" s="99">
        <v>49130.766431999989</v>
      </c>
      <c r="W107" s="99">
        <v>54589.740479999993</v>
      </c>
      <c r="X107" s="99">
        <v>54589.740479999993</v>
      </c>
      <c r="Y107" s="99">
        <v>54589.740479999993</v>
      </c>
      <c r="Z107" s="99">
        <v>54589.740479999993</v>
      </c>
      <c r="AA107" s="99">
        <v>60048.714528000004</v>
      </c>
      <c r="AB107" s="99">
        <v>60048.714528000004</v>
      </c>
      <c r="AC107" s="99">
        <v>60048.714528000004</v>
      </c>
      <c r="AD107" s="99">
        <v>60048.714528000004</v>
      </c>
      <c r="AE107" s="99">
        <v>54589.740479999993</v>
      </c>
      <c r="AF107" s="99">
        <v>54589.740479999993</v>
      </c>
      <c r="AG107" s="99">
        <v>54589.740479999993</v>
      </c>
      <c r="AH107" s="99">
        <v>54589.740479999993</v>
      </c>
      <c r="AI107" s="99">
        <v>54589.740479999993</v>
      </c>
      <c r="AJ107" s="99">
        <v>54589.740479999993</v>
      </c>
      <c r="AK107" s="99">
        <v>54589.740479999993</v>
      </c>
      <c r="AL107" s="99">
        <v>54589.740479999993</v>
      </c>
      <c r="AM107" s="99">
        <v>54589.740479999993</v>
      </c>
      <c r="AN107" s="99">
        <v>54589.740479999993</v>
      </c>
      <c r="AO107" s="99">
        <v>54589.740479999993</v>
      </c>
      <c r="AP107" s="99">
        <v>54589.740479999993</v>
      </c>
      <c r="AQ107" s="99">
        <v>54589.740479999993</v>
      </c>
      <c r="AR107" s="99">
        <v>54589.740479999993</v>
      </c>
      <c r="AS107" s="99">
        <v>54589.740479999993</v>
      </c>
      <c r="AT107" s="99">
        <v>54589.740479999993</v>
      </c>
      <c r="AU107" s="99">
        <v>54589.740479999993</v>
      </c>
      <c r="AV107" s="99">
        <v>54589.740479999993</v>
      </c>
      <c r="AW107" s="99">
        <v>54589.740479999993</v>
      </c>
      <c r="AX107" s="99">
        <v>54589.740479999993</v>
      </c>
    </row>
    <row r="108" spans="1:50">
      <c r="B108" s="104" t="s">
        <v>59</v>
      </c>
      <c r="C108" s="99">
        <v>0</v>
      </c>
      <c r="D108" s="99">
        <v>0</v>
      </c>
      <c r="E108" s="99">
        <v>0</v>
      </c>
      <c r="F108" s="99">
        <v>0</v>
      </c>
      <c r="G108" s="99">
        <v>0</v>
      </c>
      <c r="H108" s="99">
        <v>0</v>
      </c>
      <c r="I108" s="99">
        <v>0</v>
      </c>
      <c r="J108" s="99">
        <v>0</v>
      </c>
      <c r="K108" s="99">
        <v>0</v>
      </c>
      <c r="L108" s="99">
        <v>0</v>
      </c>
      <c r="M108" s="99">
        <v>0</v>
      </c>
      <c r="N108" s="99">
        <v>0</v>
      </c>
      <c r="O108" s="99">
        <v>0</v>
      </c>
      <c r="P108" s="99">
        <v>0</v>
      </c>
      <c r="Q108" s="99">
        <v>0</v>
      </c>
      <c r="R108" s="99">
        <v>0</v>
      </c>
      <c r="S108" s="99">
        <v>0</v>
      </c>
      <c r="T108" s="99">
        <v>0</v>
      </c>
      <c r="U108" s="99">
        <v>0</v>
      </c>
      <c r="V108" s="99">
        <v>0</v>
      </c>
      <c r="W108" s="99">
        <v>0</v>
      </c>
      <c r="X108" s="99">
        <v>0</v>
      </c>
      <c r="Y108" s="99">
        <v>0</v>
      </c>
      <c r="Z108" s="99">
        <v>0</v>
      </c>
      <c r="AA108" s="99">
        <v>0</v>
      </c>
      <c r="AB108" s="99">
        <v>0</v>
      </c>
      <c r="AC108" s="99">
        <v>0</v>
      </c>
      <c r="AD108" s="99">
        <v>0</v>
      </c>
      <c r="AE108" s="99">
        <v>0</v>
      </c>
      <c r="AF108" s="99">
        <v>0</v>
      </c>
      <c r="AG108" s="99">
        <v>0</v>
      </c>
      <c r="AH108" s="99">
        <v>0</v>
      </c>
      <c r="AI108" s="99">
        <v>0</v>
      </c>
      <c r="AJ108" s="99">
        <v>0</v>
      </c>
      <c r="AK108" s="99">
        <v>0</v>
      </c>
      <c r="AL108" s="99">
        <v>0</v>
      </c>
      <c r="AM108" s="99">
        <v>0</v>
      </c>
      <c r="AN108" s="99">
        <v>0</v>
      </c>
      <c r="AO108" s="99">
        <v>0</v>
      </c>
      <c r="AP108" s="99">
        <v>0</v>
      </c>
      <c r="AQ108" s="99">
        <v>0</v>
      </c>
      <c r="AR108" s="99">
        <v>0</v>
      </c>
      <c r="AS108" s="99">
        <v>0</v>
      </c>
      <c r="AT108" s="99">
        <v>0</v>
      </c>
      <c r="AU108" s="99">
        <v>0</v>
      </c>
      <c r="AV108" s="99">
        <v>0</v>
      </c>
      <c r="AW108" s="99">
        <v>0</v>
      </c>
      <c r="AX108" s="99">
        <v>0</v>
      </c>
    </row>
    <row r="109" spans="1:50">
      <c r="B109" s="100" t="s">
        <v>277</v>
      </c>
      <c r="C109" s="104">
        <f>SUM(C$104:C$108)</f>
        <v>93200.975999999995</v>
      </c>
      <c r="D109" s="104">
        <f t="shared" ref="D109:AX109" si="6">SUM(D$104:D$108)</f>
        <v>93200.975999999995</v>
      </c>
      <c r="E109" s="104">
        <f t="shared" si="6"/>
        <v>93200.975999999995</v>
      </c>
      <c r="F109" s="104">
        <f t="shared" si="6"/>
        <v>93200.975999999995</v>
      </c>
      <c r="G109" s="104">
        <f t="shared" si="6"/>
        <v>93200.975999999995</v>
      </c>
      <c r="H109" s="104">
        <f t="shared" si="6"/>
        <v>93200.975999999995</v>
      </c>
      <c r="I109" s="104">
        <f t="shared" si="6"/>
        <v>93200.975999999995</v>
      </c>
      <c r="J109" s="104">
        <f t="shared" si="6"/>
        <v>93200.975999999995</v>
      </c>
      <c r="K109" s="104">
        <f t="shared" si="6"/>
        <v>93200.975999999995</v>
      </c>
      <c r="L109" s="104">
        <f t="shared" si="6"/>
        <v>93200.975999999995</v>
      </c>
      <c r="M109" s="104">
        <f t="shared" si="6"/>
        <v>93200.975999999995</v>
      </c>
      <c r="N109" s="104">
        <f t="shared" si="6"/>
        <v>93200.975999999995</v>
      </c>
      <c r="O109" s="104">
        <f t="shared" si="6"/>
        <v>83880.878399999987</v>
      </c>
      <c r="P109" s="104">
        <f t="shared" si="6"/>
        <v>83880.878399999987</v>
      </c>
      <c r="Q109" s="104">
        <f t="shared" si="6"/>
        <v>83880.878399999987</v>
      </c>
      <c r="R109" s="104">
        <f t="shared" si="6"/>
        <v>83880.878399999987</v>
      </c>
      <c r="S109" s="104">
        <f t="shared" si="6"/>
        <v>83880.878399999987</v>
      </c>
      <c r="T109" s="104">
        <f t="shared" si="6"/>
        <v>83880.878399999987</v>
      </c>
      <c r="U109" s="104">
        <f t="shared" si="6"/>
        <v>83880.878399999987</v>
      </c>
      <c r="V109" s="104">
        <f t="shared" si="6"/>
        <v>83880.878399999987</v>
      </c>
      <c r="W109" s="104">
        <f t="shared" si="6"/>
        <v>93200.975999999995</v>
      </c>
      <c r="X109" s="104">
        <f t="shared" si="6"/>
        <v>93200.975999999995</v>
      </c>
      <c r="Y109" s="104">
        <f t="shared" si="6"/>
        <v>93200.975999999995</v>
      </c>
      <c r="Z109" s="104">
        <f t="shared" si="6"/>
        <v>93200.975999999995</v>
      </c>
      <c r="AA109" s="104">
        <f t="shared" si="6"/>
        <v>102521.07360000002</v>
      </c>
      <c r="AB109" s="104">
        <f t="shared" si="6"/>
        <v>102521.07360000002</v>
      </c>
      <c r="AC109" s="104">
        <f t="shared" si="6"/>
        <v>102521.07360000002</v>
      </c>
      <c r="AD109" s="104">
        <f t="shared" si="6"/>
        <v>102521.07360000002</v>
      </c>
      <c r="AE109" s="104">
        <f t="shared" si="6"/>
        <v>93200.975999999995</v>
      </c>
      <c r="AF109" s="104">
        <f t="shared" si="6"/>
        <v>93200.975999999995</v>
      </c>
      <c r="AG109" s="104">
        <f t="shared" si="6"/>
        <v>93200.975999999995</v>
      </c>
      <c r="AH109" s="104">
        <f t="shared" si="6"/>
        <v>93200.975999999995</v>
      </c>
      <c r="AI109" s="104">
        <f t="shared" si="6"/>
        <v>93200.975999999995</v>
      </c>
      <c r="AJ109" s="104">
        <f t="shared" si="6"/>
        <v>93200.975999999995</v>
      </c>
      <c r="AK109" s="104">
        <f t="shared" si="6"/>
        <v>93200.975999999995</v>
      </c>
      <c r="AL109" s="104">
        <f t="shared" si="6"/>
        <v>93200.975999999995</v>
      </c>
      <c r="AM109" s="104">
        <f t="shared" si="6"/>
        <v>93200.975999999995</v>
      </c>
      <c r="AN109" s="104">
        <f t="shared" si="6"/>
        <v>93200.975999999995</v>
      </c>
      <c r="AO109" s="104">
        <f t="shared" si="6"/>
        <v>93200.975999999995</v>
      </c>
      <c r="AP109" s="104">
        <f t="shared" si="6"/>
        <v>93200.975999999995</v>
      </c>
      <c r="AQ109" s="104">
        <f t="shared" si="6"/>
        <v>93200.975999999995</v>
      </c>
      <c r="AR109" s="104">
        <f t="shared" si="6"/>
        <v>93200.975999999995</v>
      </c>
      <c r="AS109" s="104">
        <f t="shared" si="6"/>
        <v>93200.975999999995</v>
      </c>
      <c r="AT109" s="104">
        <f t="shared" si="6"/>
        <v>93200.975999999995</v>
      </c>
      <c r="AU109" s="104">
        <f t="shared" si="6"/>
        <v>93200.975999999995</v>
      </c>
      <c r="AV109" s="104">
        <f t="shared" si="6"/>
        <v>93200.975999999995</v>
      </c>
      <c r="AW109" s="104">
        <f t="shared" si="6"/>
        <v>93200.975999999995</v>
      </c>
      <c r="AX109" s="104">
        <f t="shared" si="6"/>
        <v>93200.975999999995</v>
      </c>
    </row>
    <row r="110" spans="1:50">
      <c r="A110" s="104" t="s">
        <v>106</v>
      </c>
      <c r="B110" s="104" t="s">
        <v>5</v>
      </c>
      <c r="C110" s="99">
        <v>0</v>
      </c>
      <c r="D110" s="99">
        <v>0</v>
      </c>
      <c r="E110" s="99">
        <v>0</v>
      </c>
      <c r="F110" s="99">
        <v>0</v>
      </c>
      <c r="G110" s="99">
        <v>0</v>
      </c>
      <c r="H110" s="99">
        <v>0</v>
      </c>
      <c r="I110" s="99">
        <v>0</v>
      </c>
      <c r="J110" s="99">
        <v>0</v>
      </c>
      <c r="K110" s="99">
        <v>0</v>
      </c>
      <c r="L110" s="99">
        <v>0</v>
      </c>
      <c r="M110" s="99">
        <v>0</v>
      </c>
      <c r="N110" s="99">
        <v>0</v>
      </c>
      <c r="O110" s="99">
        <v>0</v>
      </c>
      <c r="P110" s="99">
        <v>0</v>
      </c>
      <c r="Q110" s="99">
        <v>0</v>
      </c>
      <c r="R110" s="99">
        <v>0</v>
      </c>
      <c r="S110" s="99">
        <v>0</v>
      </c>
      <c r="T110" s="99">
        <v>0</v>
      </c>
      <c r="U110" s="99">
        <v>0</v>
      </c>
      <c r="V110" s="99">
        <v>0</v>
      </c>
      <c r="W110" s="99">
        <v>0</v>
      </c>
      <c r="X110" s="99">
        <v>0</v>
      </c>
      <c r="Y110" s="99">
        <v>0</v>
      </c>
      <c r="Z110" s="99">
        <v>0</v>
      </c>
      <c r="AA110" s="99">
        <v>0</v>
      </c>
      <c r="AB110" s="99">
        <v>0</v>
      </c>
      <c r="AC110" s="99">
        <v>0</v>
      </c>
      <c r="AD110" s="99">
        <v>0</v>
      </c>
      <c r="AE110" s="99">
        <v>0</v>
      </c>
      <c r="AF110" s="99">
        <v>0</v>
      </c>
      <c r="AG110" s="99">
        <v>0</v>
      </c>
      <c r="AH110" s="99">
        <v>0</v>
      </c>
      <c r="AI110" s="99">
        <v>0</v>
      </c>
      <c r="AJ110" s="99">
        <v>0</v>
      </c>
      <c r="AK110" s="99">
        <v>0</v>
      </c>
      <c r="AL110" s="99">
        <v>0</v>
      </c>
      <c r="AM110" s="99">
        <v>0</v>
      </c>
      <c r="AN110" s="99">
        <v>0</v>
      </c>
      <c r="AO110" s="99">
        <v>0</v>
      </c>
      <c r="AP110" s="99">
        <v>0</v>
      </c>
      <c r="AQ110" s="99">
        <v>0</v>
      </c>
      <c r="AR110" s="99">
        <v>0</v>
      </c>
      <c r="AS110" s="99">
        <v>0</v>
      </c>
      <c r="AT110" s="99">
        <v>0</v>
      </c>
      <c r="AU110" s="99">
        <v>0</v>
      </c>
      <c r="AV110" s="99">
        <v>0</v>
      </c>
      <c r="AW110" s="99">
        <v>0</v>
      </c>
      <c r="AX110" s="99">
        <v>0</v>
      </c>
    </row>
    <row r="111" spans="1:50">
      <c r="B111" s="104" t="s">
        <v>10</v>
      </c>
      <c r="C111" s="99">
        <v>0</v>
      </c>
      <c r="D111" s="99">
        <v>0</v>
      </c>
      <c r="E111" s="99">
        <v>0</v>
      </c>
      <c r="F111" s="99">
        <v>0</v>
      </c>
      <c r="G111" s="99">
        <v>0</v>
      </c>
      <c r="H111" s="99">
        <v>0</v>
      </c>
      <c r="I111" s="99">
        <v>0</v>
      </c>
      <c r="J111" s="99">
        <v>0</v>
      </c>
      <c r="K111" s="99">
        <v>0</v>
      </c>
      <c r="L111" s="99">
        <v>0</v>
      </c>
      <c r="M111" s="99">
        <v>0</v>
      </c>
      <c r="N111" s="99">
        <v>0</v>
      </c>
      <c r="O111" s="99">
        <v>0</v>
      </c>
      <c r="P111" s="99">
        <v>0</v>
      </c>
      <c r="Q111" s="99">
        <v>0</v>
      </c>
      <c r="R111" s="99">
        <v>0</v>
      </c>
      <c r="S111" s="99">
        <v>0</v>
      </c>
      <c r="T111" s="99">
        <v>0</v>
      </c>
      <c r="U111" s="99">
        <v>0</v>
      </c>
      <c r="V111" s="99">
        <v>0</v>
      </c>
      <c r="W111" s="99">
        <v>0</v>
      </c>
      <c r="X111" s="99">
        <v>0</v>
      </c>
      <c r="Y111" s="99">
        <v>0</v>
      </c>
      <c r="Z111" s="99">
        <v>0</v>
      </c>
      <c r="AA111" s="99">
        <v>0</v>
      </c>
      <c r="AB111" s="99">
        <v>0</v>
      </c>
      <c r="AC111" s="99">
        <v>0</v>
      </c>
      <c r="AD111" s="99">
        <v>0</v>
      </c>
      <c r="AE111" s="99">
        <v>0</v>
      </c>
      <c r="AF111" s="99">
        <v>0</v>
      </c>
      <c r="AG111" s="99">
        <v>0</v>
      </c>
      <c r="AH111" s="99">
        <v>0</v>
      </c>
      <c r="AI111" s="99">
        <v>0</v>
      </c>
      <c r="AJ111" s="99">
        <v>0</v>
      </c>
      <c r="AK111" s="99">
        <v>0</v>
      </c>
      <c r="AL111" s="99">
        <v>0</v>
      </c>
      <c r="AM111" s="99">
        <v>0</v>
      </c>
      <c r="AN111" s="99">
        <v>0</v>
      </c>
      <c r="AO111" s="99">
        <v>0</v>
      </c>
      <c r="AP111" s="99">
        <v>0</v>
      </c>
      <c r="AQ111" s="99">
        <v>0</v>
      </c>
      <c r="AR111" s="99">
        <v>0</v>
      </c>
      <c r="AS111" s="99">
        <v>0</v>
      </c>
      <c r="AT111" s="99">
        <v>0</v>
      </c>
      <c r="AU111" s="99">
        <v>0</v>
      </c>
      <c r="AV111" s="99">
        <v>0</v>
      </c>
      <c r="AW111" s="99">
        <v>0</v>
      </c>
      <c r="AX111" s="99">
        <v>0</v>
      </c>
    </row>
    <row r="112" spans="1:50">
      <c r="B112" s="104" t="s">
        <v>12</v>
      </c>
      <c r="C112" s="99">
        <v>546602.37060000002</v>
      </c>
      <c r="D112" s="99">
        <v>546602.37060000002</v>
      </c>
      <c r="E112" s="99">
        <v>546602.37060000002</v>
      </c>
      <c r="F112" s="99">
        <v>546602.37060000002</v>
      </c>
      <c r="G112" s="99">
        <v>546602.37060000002</v>
      </c>
      <c r="H112" s="99">
        <v>546602.37060000002</v>
      </c>
      <c r="I112" s="99">
        <v>546602.37060000002</v>
      </c>
      <c r="J112" s="99">
        <v>546602.37060000002</v>
      </c>
      <c r="K112" s="99">
        <v>473777.27789574466</v>
      </c>
      <c r="L112" s="99">
        <v>546602.37060000002</v>
      </c>
      <c r="M112" s="99">
        <v>546602.37060000002</v>
      </c>
      <c r="N112" s="99">
        <v>546602.37060000002</v>
      </c>
      <c r="O112" s="99">
        <v>546602.37060000002</v>
      </c>
      <c r="P112" s="99">
        <v>546602.37060000002</v>
      </c>
      <c r="Q112" s="99">
        <v>546602.37060000002</v>
      </c>
      <c r="R112" s="99">
        <v>546602.37060000002</v>
      </c>
      <c r="S112" s="99">
        <v>546602.37060000002</v>
      </c>
      <c r="T112" s="99">
        <v>546602.37060000002</v>
      </c>
      <c r="U112" s="99">
        <v>546602.37060000002</v>
      </c>
      <c r="V112" s="99">
        <v>546602.37060000002</v>
      </c>
      <c r="W112" s="99">
        <v>546602.37060000002</v>
      </c>
      <c r="X112" s="99">
        <v>546602.37060000002</v>
      </c>
      <c r="Y112" s="99">
        <v>546602.37060000002</v>
      </c>
      <c r="Z112" s="99">
        <v>546602.37060000002</v>
      </c>
      <c r="AA112" s="99">
        <v>546602.37060000002</v>
      </c>
      <c r="AB112" s="99">
        <v>546602.37060000002</v>
      </c>
      <c r="AC112" s="99">
        <v>546602.37060000002</v>
      </c>
      <c r="AD112" s="99">
        <v>546602.37060000002</v>
      </c>
      <c r="AE112" s="99">
        <v>601262.6076600001</v>
      </c>
      <c r="AF112" s="99">
        <v>601262.6076600001</v>
      </c>
      <c r="AG112" s="99">
        <v>601262.6076600001</v>
      </c>
      <c r="AH112" s="99">
        <v>601262.6076600001</v>
      </c>
      <c r="AI112" s="99">
        <v>601262.6076600001</v>
      </c>
      <c r="AJ112" s="99">
        <v>601262.6076600001</v>
      </c>
      <c r="AK112" s="99">
        <v>601262.6076600001</v>
      </c>
      <c r="AL112" s="99">
        <v>601262.6076600001</v>
      </c>
      <c r="AM112" s="99">
        <v>546602.37060000002</v>
      </c>
      <c r="AN112" s="99">
        <v>546602.37060000002</v>
      </c>
      <c r="AO112" s="99">
        <v>546602.37060000002</v>
      </c>
      <c r="AP112" s="99">
        <v>546602.37060000002</v>
      </c>
      <c r="AQ112" s="99">
        <v>546602.37060000002</v>
      </c>
      <c r="AR112" s="99">
        <v>546602.37060000002</v>
      </c>
      <c r="AS112" s="99">
        <v>546602.37060000002</v>
      </c>
      <c r="AT112" s="99">
        <v>546602.37060000002</v>
      </c>
      <c r="AU112" s="99">
        <v>491942.13354000007</v>
      </c>
      <c r="AV112" s="99">
        <v>491942.13354000007</v>
      </c>
      <c r="AW112" s="99">
        <v>491942.13354000007</v>
      </c>
      <c r="AX112" s="99">
        <v>491942.13354000007</v>
      </c>
    </row>
    <row r="113" spans="1:50">
      <c r="B113" s="104" t="s">
        <v>22</v>
      </c>
      <c r="C113" s="99">
        <v>4224.1056000000008</v>
      </c>
      <c r="D113" s="99">
        <v>4224.1056000000008</v>
      </c>
      <c r="E113" s="99">
        <v>4224.1056000000008</v>
      </c>
      <c r="F113" s="99">
        <v>4224.1056000000008</v>
      </c>
      <c r="G113" s="99">
        <v>4224.1056000000008</v>
      </c>
      <c r="H113" s="99">
        <v>4224.1056000000008</v>
      </c>
      <c r="I113" s="99">
        <v>4224.1056000000008</v>
      </c>
      <c r="J113" s="99">
        <v>4224.1056000000008</v>
      </c>
      <c r="K113" s="99">
        <v>3661.3182824570999</v>
      </c>
      <c r="L113" s="99">
        <v>4224.1056000000008</v>
      </c>
      <c r="M113" s="99">
        <v>4224.1056000000008</v>
      </c>
      <c r="N113" s="99">
        <v>4224.1056000000008</v>
      </c>
      <c r="O113" s="99">
        <v>4224.1056000000008</v>
      </c>
      <c r="P113" s="99">
        <v>4224.1056000000008</v>
      </c>
      <c r="Q113" s="99">
        <v>4224.1056000000008</v>
      </c>
      <c r="R113" s="99">
        <v>4224.1056000000008</v>
      </c>
      <c r="S113" s="99">
        <v>4224.1056000000008</v>
      </c>
      <c r="T113" s="99">
        <v>4224.1056000000008</v>
      </c>
      <c r="U113" s="99">
        <v>4224.1056000000008</v>
      </c>
      <c r="V113" s="99">
        <v>4224.1056000000008</v>
      </c>
      <c r="W113" s="99">
        <v>4224.1056000000008</v>
      </c>
      <c r="X113" s="99">
        <v>4224.1056000000008</v>
      </c>
      <c r="Y113" s="99">
        <v>4224.1056000000008</v>
      </c>
      <c r="Z113" s="99">
        <v>4224.1056000000008</v>
      </c>
      <c r="AA113" s="99">
        <v>4224.1056000000008</v>
      </c>
      <c r="AB113" s="99">
        <v>4224.1056000000008</v>
      </c>
      <c r="AC113" s="99">
        <v>4224.1056000000008</v>
      </c>
      <c r="AD113" s="99">
        <v>4224.1056000000008</v>
      </c>
      <c r="AE113" s="99">
        <v>4646.516160000001</v>
      </c>
      <c r="AF113" s="99">
        <v>4646.516160000001</v>
      </c>
      <c r="AG113" s="99">
        <v>4646.516160000001</v>
      </c>
      <c r="AH113" s="99">
        <v>4646.516160000001</v>
      </c>
      <c r="AI113" s="99">
        <v>4646.516160000001</v>
      </c>
      <c r="AJ113" s="99">
        <v>4646.516160000001</v>
      </c>
      <c r="AK113" s="99">
        <v>4646.516160000001</v>
      </c>
      <c r="AL113" s="99">
        <v>4646.516160000001</v>
      </c>
      <c r="AM113" s="99">
        <v>4224.1056000000008</v>
      </c>
      <c r="AN113" s="99">
        <v>4224.1056000000008</v>
      </c>
      <c r="AO113" s="99">
        <v>4224.1056000000008</v>
      </c>
      <c r="AP113" s="99">
        <v>4224.1056000000008</v>
      </c>
      <c r="AQ113" s="99">
        <v>4224.1056000000008</v>
      </c>
      <c r="AR113" s="99">
        <v>4224.1056000000008</v>
      </c>
      <c r="AS113" s="99">
        <v>4224.1056000000008</v>
      </c>
      <c r="AT113" s="99">
        <v>4224.1056000000008</v>
      </c>
      <c r="AU113" s="99">
        <v>3801.695040000001</v>
      </c>
      <c r="AV113" s="99">
        <v>3801.695040000001</v>
      </c>
      <c r="AW113" s="99">
        <v>3801.695040000001</v>
      </c>
      <c r="AX113" s="99">
        <v>3801.695040000001</v>
      </c>
    </row>
    <row r="114" spans="1:50">
      <c r="B114" s="104" t="s">
        <v>59</v>
      </c>
      <c r="C114" s="99">
        <v>0</v>
      </c>
      <c r="D114" s="99">
        <v>0</v>
      </c>
      <c r="E114" s="99">
        <v>0</v>
      </c>
      <c r="F114" s="99">
        <v>0</v>
      </c>
      <c r="G114" s="99">
        <v>0</v>
      </c>
      <c r="H114" s="99">
        <v>0</v>
      </c>
      <c r="I114" s="99">
        <v>0</v>
      </c>
      <c r="J114" s="99">
        <v>0</v>
      </c>
      <c r="K114" s="99">
        <v>0</v>
      </c>
      <c r="L114" s="99">
        <v>0</v>
      </c>
      <c r="M114" s="99">
        <v>0</v>
      </c>
      <c r="N114" s="99">
        <v>0</v>
      </c>
      <c r="O114" s="99">
        <v>0</v>
      </c>
      <c r="P114" s="99">
        <v>0</v>
      </c>
      <c r="Q114" s="99">
        <v>0</v>
      </c>
      <c r="R114" s="99">
        <v>0</v>
      </c>
      <c r="S114" s="99">
        <v>0</v>
      </c>
      <c r="T114" s="99">
        <v>0</v>
      </c>
      <c r="U114" s="99">
        <v>0</v>
      </c>
      <c r="V114" s="99">
        <v>0</v>
      </c>
      <c r="W114" s="99">
        <v>0</v>
      </c>
      <c r="X114" s="99">
        <v>0</v>
      </c>
      <c r="Y114" s="99">
        <v>0</v>
      </c>
      <c r="Z114" s="99">
        <v>0</v>
      </c>
      <c r="AA114" s="99">
        <v>0</v>
      </c>
      <c r="AB114" s="99">
        <v>0</v>
      </c>
      <c r="AC114" s="99">
        <v>0</v>
      </c>
      <c r="AD114" s="99">
        <v>0</v>
      </c>
      <c r="AE114" s="99">
        <v>0</v>
      </c>
      <c r="AF114" s="99">
        <v>0</v>
      </c>
      <c r="AG114" s="99">
        <v>0</v>
      </c>
      <c r="AH114" s="99">
        <v>0</v>
      </c>
      <c r="AI114" s="99">
        <v>0</v>
      </c>
      <c r="AJ114" s="99">
        <v>0</v>
      </c>
      <c r="AK114" s="99">
        <v>0</v>
      </c>
      <c r="AL114" s="99">
        <v>0</v>
      </c>
      <c r="AM114" s="99">
        <v>0</v>
      </c>
      <c r="AN114" s="99">
        <v>0</v>
      </c>
      <c r="AO114" s="99">
        <v>0</v>
      </c>
      <c r="AP114" s="99">
        <v>0</v>
      </c>
      <c r="AQ114" s="99">
        <v>0</v>
      </c>
      <c r="AR114" s="99">
        <v>0</v>
      </c>
      <c r="AS114" s="99">
        <v>0</v>
      </c>
      <c r="AT114" s="99">
        <v>0</v>
      </c>
      <c r="AU114" s="99">
        <v>0</v>
      </c>
      <c r="AV114" s="99">
        <v>0</v>
      </c>
      <c r="AW114" s="99">
        <v>0</v>
      </c>
      <c r="AX114" s="99">
        <v>0</v>
      </c>
    </row>
    <row r="115" spans="1:50">
      <c r="B115" s="99" t="s">
        <v>277</v>
      </c>
      <c r="C115" s="104">
        <f>SUM(C$110:C$114)</f>
        <v>550826.47620000003</v>
      </c>
      <c r="D115" s="104">
        <f t="shared" ref="D115:AX115" si="7">SUM(D$110:D$114)</f>
        <v>550826.47620000003</v>
      </c>
      <c r="E115" s="104">
        <f t="shared" si="7"/>
        <v>550826.47620000003</v>
      </c>
      <c r="F115" s="104">
        <f t="shared" si="7"/>
        <v>550826.47620000003</v>
      </c>
      <c r="G115" s="104">
        <f t="shared" si="7"/>
        <v>550826.47620000003</v>
      </c>
      <c r="H115" s="104">
        <f t="shared" si="7"/>
        <v>550826.47620000003</v>
      </c>
      <c r="I115" s="104">
        <f t="shared" si="7"/>
        <v>550826.47620000003</v>
      </c>
      <c r="J115" s="104">
        <f t="shared" si="7"/>
        <v>550826.47620000003</v>
      </c>
      <c r="K115" s="104">
        <f t="shared" si="7"/>
        <v>477438.59617820178</v>
      </c>
      <c r="L115" s="104">
        <f t="shared" si="7"/>
        <v>550826.47620000003</v>
      </c>
      <c r="M115" s="104">
        <f t="shared" si="7"/>
        <v>550826.47620000003</v>
      </c>
      <c r="N115" s="104">
        <f t="shared" si="7"/>
        <v>550826.47620000003</v>
      </c>
      <c r="O115" s="104">
        <f t="shared" si="7"/>
        <v>550826.47620000003</v>
      </c>
      <c r="P115" s="104">
        <f t="shared" si="7"/>
        <v>550826.47620000003</v>
      </c>
      <c r="Q115" s="104">
        <f t="shared" si="7"/>
        <v>550826.47620000003</v>
      </c>
      <c r="R115" s="104">
        <f t="shared" si="7"/>
        <v>550826.47620000003</v>
      </c>
      <c r="S115" s="104">
        <f t="shared" si="7"/>
        <v>550826.47620000003</v>
      </c>
      <c r="T115" s="104">
        <f t="shared" si="7"/>
        <v>550826.47620000003</v>
      </c>
      <c r="U115" s="104">
        <f t="shared" si="7"/>
        <v>550826.47620000003</v>
      </c>
      <c r="V115" s="104">
        <f t="shared" si="7"/>
        <v>550826.47620000003</v>
      </c>
      <c r="W115" s="104">
        <f t="shared" si="7"/>
        <v>550826.47620000003</v>
      </c>
      <c r="X115" s="104">
        <f t="shared" si="7"/>
        <v>550826.47620000003</v>
      </c>
      <c r="Y115" s="104">
        <f t="shared" si="7"/>
        <v>550826.47620000003</v>
      </c>
      <c r="Z115" s="104">
        <f t="shared" si="7"/>
        <v>550826.47620000003</v>
      </c>
      <c r="AA115" s="104">
        <f t="shared" si="7"/>
        <v>550826.47620000003</v>
      </c>
      <c r="AB115" s="104">
        <f t="shared" si="7"/>
        <v>550826.47620000003</v>
      </c>
      <c r="AC115" s="104">
        <f t="shared" si="7"/>
        <v>550826.47620000003</v>
      </c>
      <c r="AD115" s="104">
        <f t="shared" si="7"/>
        <v>550826.47620000003</v>
      </c>
      <c r="AE115" s="104">
        <f t="shared" si="7"/>
        <v>605909.1238200001</v>
      </c>
      <c r="AF115" s="104">
        <f t="shared" si="7"/>
        <v>605909.1238200001</v>
      </c>
      <c r="AG115" s="104">
        <f t="shared" si="7"/>
        <v>605909.1238200001</v>
      </c>
      <c r="AH115" s="104">
        <f t="shared" si="7"/>
        <v>605909.1238200001</v>
      </c>
      <c r="AI115" s="104">
        <f t="shared" si="7"/>
        <v>605909.1238200001</v>
      </c>
      <c r="AJ115" s="104">
        <f t="shared" si="7"/>
        <v>605909.1238200001</v>
      </c>
      <c r="AK115" s="104">
        <f t="shared" si="7"/>
        <v>605909.1238200001</v>
      </c>
      <c r="AL115" s="104">
        <f t="shared" si="7"/>
        <v>605909.1238200001</v>
      </c>
      <c r="AM115" s="104">
        <f t="shared" si="7"/>
        <v>550826.47620000003</v>
      </c>
      <c r="AN115" s="104">
        <f t="shared" si="7"/>
        <v>550826.47620000003</v>
      </c>
      <c r="AO115" s="104">
        <f t="shared" si="7"/>
        <v>550826.47620000003</v>
      </c>
      <c r="AP115" s="104">
        <f t="shared" si="7"/>
        <v>550826.47620000003</v>
      </c>
      <c r="AQ115" s="104">
        <f t="shared" si="7"/>
        <v>550826.47620000003</v>
      </c>
      <c r="AR115" s="104">
        <f t="shared" si="7"/>
        <v>550826.47620000003</v>
      </c>
      <c r="AS115" s="104">
        <f t="shared" si="7"/>
        <v>550826.47620000003</v>
      </c>
      <c r="AT115" s="104">
        <f t="shared" si="7"/>
        <v>550826.47620000003</v>
      </c>
      <c r="AU115" s="104">
        <f t="shared" si="7"/>
        <v>495743.82858000009</v>
      </c>
      <c r="AV115" s="104">
        <f t="shared" si="7"/>
        <v>495743.82858000009</v>
      </c>
      <c r="AW115" s="104">
        <f t="shared" si="7"/>
        <v>495743.82858000009</v>
      </c>
      <c r="AX115" s="104">
        <f t="shared" si="7"/>
        <v>495743.82858000009</v>
      </c>
    </row>
    <row r="116" spans="1:50">
      <c r="A116" s="104" t="s">
        <v>107</v>
      </c>
      <c r="B116" s="104" t="s">
        <v>5</v>
      </c>
      <c r="C116" s="99">
        <v>0</v>
      </c>
      <c r="D116" s="99">
        <v>0</v>
      </c>
      <c r="E116" s="99">
        <v>0</v>
      </c>
      <c r="F116" s="99">
        <v>0</v>
      </c>
      <c r="G116" s="99">
        <v>0</v>
      </c>
      <c r="H116" s="99">
        <v>0</v>
      </c>
      <c r="I116" s="99">
        <v>0</v>
      </c>
      <c r="J116" s="99">
        <v>0</v>
      </c>
      <c r="K116" s="99">
        <v>0</v>
      </c>
      <c r="L116" s="99">
        <v>0</v>
      </c>
      <c r="M116" s="99">
        <v>0</v>
      </c>
      <c r="N116" s="99">
        <v>0</v>
      </c>
      <c r="O116" s="99">
        <v>0</v>
      </c>
      <c r="P116" s="99">
        <v>0</v>
      </c>
      <c r="Q116" s="99">
        <v>0</v>
      </c>
      <c r="R116" s="99">
        <v>0</v>
      </c>
      <c r="S116" s="99">
        <v>0</v>
      </c>
      <c r="T116" s="99">
        <v>0</v>
      </c>
      <c r="U116" s="99">
        <v>0</v>
      </c>
      <c r="V116" s="99">
        <v>0</v>
      </c>
      <c r="W116" s="99">
        <v>0</v>
      </c>
      <c r="X116" s="99">
        <v>0</v>
      </c>
      <c r="Y116" s="99">
        <v>0</v>
      </c>
      <c r="Z116" s="99">
        <v>0</v>
      </c>
      <c r="AA116" s="99">
        <v>0</v>
      </c>
      <c r="AB116" s="99">
        <v>0</v>
      </c>
      <c r="AC116" s="99">
        <v>0</v>
      </c>
      <c r="AD116" s="99">
        <v>0</v>
      </c>
      <c r="AE116" s="99">
        <v>0</v>
      </c>
      <c r="AF116" s="99">
        <v>0</v>
      </c>
      <c r="AG116" s="99">
        <v>0</v>
      </c>
      <c r="AH116" s="99">
        <v>0</v>
      </c>
      <c r="AI116" s="99">
        <v>0</v>
      </c>
      <c r="AJ116" s="99">
        <v>0</v>
      </c>
      <c r="AK116" s="99">
        <v>0</v>
      </c>
      <c r="AL116" s="99">
        <v>0</v>
      </c>
      <c r="AM116" s="99">
        <v>0</v>
      </c>
      <c r="AN116" s="99">
        <v>0</v>
      </c>
      <c r="AO116" s="99">
        <v>0</v>
      </c>
      <c r="AP116" s="99">
        <v>0</v>
      </c>
      <c r="AQ116" s="99">
        <v>0</v>
      </c>
      <c r="AR116" s="99">
        <v>0</v>
      </c>
      <c r="AS116" s="99">
        <v>0</v>
      </c>
      <c r="AT116" s="99">
        <v>0</v>
      </c>
      <c r="AU116" s="99">
        <v>0</v>
      </c>
      <c r="AV116" s="99">
        <v>0</v>
      </c>
      <c r="AW116" s="99">
        <v>0</v>
      </c>
      <c r="AX116" s="99">
        <v>0</v>
      </c>
    </row>
    <row r="117" spans="1:50">
      <c r="B117" s="104" t="s">
        <v>10</v>
      </c>
      <c r="C117" s="99">
        <v>0</v>
      </c>
      <c r="D117" s="99">
        <v>0</v>
      </c>
      <c r="E117" s="99">
        <v>0</v>
      </c>
      <c r="F117" s="99">
        <v>0</v>
      </c>
      <c r="G117" s="99">
        <v>0</v>
      </c>
      <c r="H117" s="99">
        <v>0</v>
      </c>
      <c r="I117" s="99">
        <v>0</v>
      </c>
      <c r="J117" s="99">
        <v>0</v>
      </c>
      <c r="K117" s="99">
        <v>0</v>
      </c>
      <c r="L117" s="99">
        <v>0</v>
      </c>
      <c r="M117" s="99">
        <v>0</v>
      </c>
      <c r="N117" s="99">
        <v>0</v>
      </c>
      <c r="O117" s="99">
        <v>0</v>
      </c>
      <c r="P117" s="99">
        <v>0</v>
      </c>
      <c r="Q117" s="99">
        <v>0</v>
      </c>
      <c r="R117" s="99">
        <v>0</v>
      </c>
      <c r="S117" s="99">
        <v>0</v>
      </c>
      <c r="T117" s="99">
        <v>0</v>
      </c>
      <c r="U117" s="99">
        <v>0</v>
      </c>
      <c r="V117" s="99">
        <v>0</v>
      </c>
      <c r="W117" s="99">
        <v>0</v>
      </c>
      <c r="X117" s="99">
        <v>0</v>
      </c>
      <c r="Y117" s="99">
        <v>0</v>
      </c>
      <c r="Z117" s="99">
        <v>0</v>
      </c>
      <c r="AA117" s="99">
        <v>0</v>
      </c>
      <c r="AB117" s="99">
        <v>0</v>
      </c>
      <c r="AC117" s="99">
        <v>0</v>
      </c>
      <c r="AD117" s="99">
        <v>0</v>
      </c>
      <c r="AE117" s="99">
        <v>0</v>
      </c>
      <c r="AF117" s="99">
        <v>0</v>
      </c>
      <c r="AG117" s="99">
        <v>0</v>
      </c>
      <c r="AH117" s="99">
        <v>0</v>
      </c>
      <c r="AI117" s="99">
        <v>0</v>
      </c>
      <c r="AJ117" s="99">
        <v>0</v>
      </c>
      <c r="AK117" s="99">
        <v>0</v>
      </c>
      <c r="AL117" s="99">
        <v>0</v>
      </c>
      <c r="AM117" s="99">
        <v>0</v>
      </c>
      <c r="AN117" s="99">
        <v>0</v>
      </c>
      <c r="AO117" s="99">
        <v>0</v>
      </c>
      <c r="AP117" s="99">
        <v>0</v>
      </c>
      <c r="AQ117" s="99">
        <v>0</v>
      </c>
      <c r="AR117" s="99">
        <v>0</v>
      </c>
      <c r="AS117" s="99">
        <v>0</v>
      </c>
      <c r="AT117" s="99">
        <v>0</v>
      </c>
      <c r="AU117" s="99">
        <v>0</v>
      </c>
      <c r="AV117" s="99">
        <v>0</v>
      </c>
      <c r="AW117" s="99">
        <v>0</v>
      </c>
      <c r="AX117" s="99">
        <v>0</v>
      </c>
    </row>
    <row r="118" spans="1:50">
      <c r="B118" s="104" t="s">
        <v>12</v>
      </c>
      <c r="C118" s="99">
        <v>594236.25043199991</v>
      </c>
      <c r="D118" s="99">
        <v>594236.25043199991</v>
      </c>
      <c r="E118" s="99">
        <v>444172.19178620027</v>
      </c>
      <c r="F118" s="99">
        <v>594236.25043199991</v>
      </c>
      <c r="G118" s="99">
        <v>594236.25043199991</v>
      </c>
      <c r="H118" s="99">
        <v>594236.25043199991</v>
      </c>
      <c r="I118" s="99">
        <v>594236.25043199991</v>
      </c>
      <c r="J118" s="99">
        <v>594236.25043199991</v>
      </c>
      <c r="K118" s="99">
        <v>594236.25043199991</v>
      </c>
      <c r="L118" s="99">
        <v>594236.25043199991</v>
      </c>
      <c r="M118" s="99">
        <v>594236.25043199991</v>
      </c>
      <c r="N118" s="99">
        <v>594236.25043199991</v>
      </c>
      <c r="O118" s="99">
        <v>594236.25043199991</v>
      </c>
      <c r="P118" s="99">
        <v>594236.25043199991</v>
      </c>
      <c r="Q118" s="99">
        <v>594236.25043199991</v>
      </c>
      <c r="R118" s="99">
        <v>594236.25043199991</v>
      </c>
      <c r="S118" s="99">
        <v>594236.25043199991</v>
      </c>
      <c r="T118" s="99">
        <v>594236.25043199991</v>
      </c>
      <c r="U118" s="99">
        <v>594236.25043199991</v>
      </c>
      <c r="V118" s="99">
        <v>594236.25043199991</v>
      </c>
      <c r="W118" s="99">
        <v>594236.25043199991</v>
      </c>
      <c r="X118" s="99">
        <v>594236.25043199991</v>
      </c>
      <c r="Y118" s="99">
        <v>594236.25043199991</v>
      </c>
      <c r="Z118" s="99">
        <v>594236.25043199991</v>
      </c>
      <c r="AA118" s="99">
        <v>594236.25043199991</v>
      </c>
      <c r="AB118" s="99">
        <v>594236.25043199991</v>
      </c>
      <c r="AC118" s="99">
        <v>594236.25043199991</v>
      </c>
      <c r="AD118" s="99">
        <v>594236.25043199991</v>
      </c>
      <c r="AE118" s="99">
        <v>594236.25043199991</v>
      </c>
      <c r="AF118" s="99">
        <v>594236.25043199991</v>
      </c>
      <c r="AG118" s="99">
        <v>594236.25043199991</v>
      </c>
      <c r="AH118" s="99">
        <v>594236.25043199991</v>
      </c>
      <c r="AI118" s="99">
        <v>594236.25043199991</v>
      </c>
      <c r="AJ118" s="99">
        <v>594236.25043199991</v>
      </c>
      <c r="AK118" s="99">
        <v>594236.25043199991</v>
      </c>
      <c r="AL118" s="99">
        <v>594236.25043199991</v>
      </c>
      <c r="AM118" s="99">
        <v>476056.99420761829</v>
      </c>
      <c r="AN118" s="99">
        <v>476931.41360482603</v>
      </c>
      <c r="AO118" s="99">
        <v>534812.62538880005</v>
      </c>
      <c r="AP118" s="99">
        <v>534812.62538880005</v>
      </c>
      <c r="AQ118" s="99">
        <v>594236.25043199991</v>
      </c>
      <c r="AR118" s="99">
        <v>594236.25043199991</v>
      </c>
      <c r="AS118" s="99">
        <v>594236.25043199991</v>
      </c>
      <c r="AT118" s="99">
        <v>594236.25043199991</v>
      </c>
      <c r="AU118" s="99">
        <v>653659.87547520001</v>
      </c>
      <c r="AV118" s="99">
        <v>653659.87547520001</v>
      </c>
      <c r="AW118" s="99">
        <v>653659.87547520001</v>
      </c>
      <c r="AX118" s="99">
        <v>653659.87547520001</v>
      </c>
    </row>
    <row r="119" spans="1:50">
      <c r="B119" s="104" t="s">
        <v>22</v>
      </c>
      <c r="C119" s="99">
        <v>47090.259392</v>
      </c>
      <c r="D119" s="99">
        <v>47090.259392</v>
      </c>
      <c r="E119" s="99">
        <v>35198.431113415951</v>
      </c>
      <c r="F119" s="99">
        <v>47090.259392</v>
      </c>
      <c r="G119" s="99">
        <v>47090.259392</v>
      </c>
      <c r="H119" s="99">
        <v>47090.259392</v>
      </c>
      <c r="I119" s="99">
        <v>47090.259392</v>
      </c>
      <c r="J119" s="99">
        <v>47090.259392</v>
      </c>
      <c r="K119" s="99">
        <v>47090.259392</v>
      </c>
      <c r="L119" s="99">
        <v>47090.259392</v>
      </c>
      <c r="M119" s="99">
        <v>47090.259392</v>
      </c>
      <c r="N119" s="99">
        <v>47090.259392</v>
      </c>
      <c r="O119" s="99">
        <v>47090.259392</v>
      </c>
      <c r="P119" s="99">
        <v>47090.259392</v>
      </c>
      <c r="Q119" s="99">
        <v>47090.259392</v>
      </c>
      <c r="R119" s="99">
        <v>47090.259392</v>
      </c>
      <c r="S119" s="99">
        <v>47090.259392</v>
      </c>
      <c r="T119" s="99">
        <v>47090.259392</v>
      </c>
      <c r="U119" s="99">
        <v>47090.259392</v>
      </c>
      <c r="V119" s="99">
        <v>47090.259392</v>
      </c>
      <c r="W119" s="99">
        <v>47090.259392</v>
      </c>
      <c r="X119" s="99">
        <v>47090.259392</v>
      </c>
      <c r="Y119" s="99">
        <v>47090.259392</v>
      </c>
      <c r="Z119" s="99">
        <v>47090.259392</v>
      </c>
      <c r="AA119" s="99">
        <v>47090.259392</v>
      </c>
      <c r="AB119" s="99">
        <v>47090.259392</v>
      </c>
      <c r="AC119" s="99">
        <v>47090.259392</v>
      </c>
      <c r="AD119" s="99">
        <v>47090.259392</v>
      </c>
      <c r="AE119" s="99">
        <v>47090.259392</v>
      </c>
      <c r="AF119" s="99">
        <v>47090.259392</v>
      </c>
      <c r="AG119" s="99">
        <v>47090.259392</v>
      </c>
      <c r="AH119" s="99">
        <v>47090.259392</v>
      </c>
      <c r="AI119" s="99">
        <v>47090.259392</v>
      </c>
      <c r="AJ119" s="99">
        <v>47090.259392</v>
      </c>
      <c r="AK119" s="99">
        <v>47090.259392</v>
      </c>
      <c r="AL119" s="99">
        <v>47090.259392</v>
      </c>
      <c r="AM119" s="99">
        <v>37725.142695881186</v>
      </c>
      <c r="AN119" s="99">
        <v>37794.436072382487</v>
      </c>
      <c r="AO119" s="99">
        <v>42381.233452799999</v>
      </c>
      <c r="AP119" s="99">
        <v>42381.233452799999</v>
      </c>
      <c r="AQ119" s="99">
        <v>47090.259392</v>
      </c>
      <c r="AR119" s="99">
        <v>47090.259392</v>
      </c>
      <c r="AS119" s="99">
        <v>47090.259392</v>
      </c>
      <c r="AT119" s="99">
        <v>47090.259392</v>
      </c>
      <c r="AU119" s="99">
        <v>51799.285331200001</v>
      </c>
      <c r="AV119" s="99">
        <v>51799.285331200001</v>
      </c>
      <c r="AW119" s="99">
        <v>51799.285331200001</v>
      </c>
      <c r="AX119" s="99">
        <v>51799.285331200001</v>
      </c>
    </row>
    <row r="120" spans="1:50">
      <c r="B120" s="104" t="s">
        <v>59</v>
      </c>
      <c r="C120" s="99">
        <v>0</v>
      </c>
      <c r="D120" s="99">
        <v>0</v>
      </c>
      <c r="E120" s="99">
        <v>0</v>
      </c>
      <c r="F120" s="99">
        <v>0</v>
      </c>
      <c r="G120" s="99">
        <v>0</v>
      </c>
      <c r="H120" s="99">
        <v>0</v>
      </c>
      <c r="I120" s="99">
        <v>0</v>
      </c>
      <c r="J120" s="99">
        <v>0</v>
      </c>
      <c r="K120" s="99">
        <v>0</v>
      </c>
      <c r="L120" s="99">
        <v>0</v>
      </c>
      <c r="M120" s="99">
        <v>0</v>
      </c>
      <c r="N120" s="99">
        <v>0</v>
      </c>
      <c r="O120" s="99">
        <v>0</v>
      </c>
      <c r="P120" s="99">
        <v>0</v>
      </c>
      <c r="Q120" s="99">
        <v>0</v>
      </c>
      <c r="R120" s="99">
        <v>0</v>
      </c>
      <c r="S120" s="99">
        <v>0</v>
      </c>
      <c r="T120" s="99">
        <v>0</v>
      </c>
      <c r="U120" s="99">
        <v>0</v>
      </c>
      <c r="V120" s="99">
        <v>0</v>
      </c>
      <c r="W120" s="99">
        <v>0</v>
      </c>
      <c r="X120" s="99">
        <v>0</v>
      </c>
      <c r="Y120" s="99">
        <v>0</v>
      </c>
      <c r="Z120" s="99">
        <v>0</v>
      </c>
      <c r="AA120" s="99">
        <v>0</v>
      </c>
      <c r="AB120" s="99">
        <v>0</v>
      </c>
      <c r="AC120" s="99">
        <v>0</v>
      </c>
      <c r="AD120" s="99">
        <v>0</v>
      </c>
      <c r="AE120" s="99">
        <v>0</v>
      </c>
      <c r="AF120" s="99">
        <v>0</v>
      </c>
      <c r="AG120" s="99">
        <v>0</v>
      </c>
      <c r="AH120" s="99">
        <v>0</v>
      </c>
      <c r="AI120" s="99">
        <v>0</v>
      </c>
      <c r="AJ120" s="99">
        <v>0</v>
      </c>
      <c r="AK120" s="99">
        <v>0</v>
      </c>
      <c r="AL120" s="99">
        <v>0</v>
      </c>
      <c r="AM120" s="99">
        <v>0</v>
      </c>
      <c r="AN120" s="99">
        <v>0</v>
      </c>
      <c r="AO120" s="99">
        <v>0</v>
      </c>
      <c r="AP120" s="99">
        <v>0</v>
      </c>
      <c r="AQ120" s="99">
        <v>0</v>
      </c>
      <c r="AR120" s="99">
        <v>0</v>
      </c>
      <c r="AS120" s="99">
        <v>0</v>
      </c>
      <c r="AT120" s="99">
        <v>0</v>
      </c>
      <c r="AU120" s="99">
        <v>0</v>
      </c>
      <c r="AV120" s="99">
        <v>0</v>
      </c>
      <c r="AW120" s="99">
        <v>0</v>
      </c>
      <c r="AX120" s="99">
        <v>0</v>
      </c>
    </row>
    <row r="121" spans="1:50">
      <c r="B121" s="99" t="s">
        <v>277</v>
      </c>
      <c r="C121" s="104">
        <f>SUM(C$116:C$120)</f>
        <v>641326.50982399995</v>
      </c>
      <c r="D121" s="104">
        <f t="shared" ref="D121:AX121" si="8">SUM(D$116:D$120)</f>
        <v>641326.50982399995</v>
      </c>
      <c r="E121" s="104">
        <f t="shared" si="8"/>
        <v>479370.62289961625</v>
      </c>
      <c r="F121" s="104">
        <f t="shared" si="8"/>
        <v>641326.50982399995</v>
      </c>
      <c r="G121" s="104">
        <f t="shared" si="8"/>
        <v>641326.50982399995</v>
      </c>
      <c r="H121" s="104">
        <f t="shared" si="8"/>
        <v>641326.50982399995</v>
      </c>
      <c r="I121" s="104">
        <f t="shared" si="8"/>
        <v>641326.50982399995</v>
      </c>
      <c r="J121" s="104">
        <f t="shared" si="8"/>
        <v>641326.50982399995</v>
      </c>
      <c r="K121" s="104">
        <f t="shared" si="8"/>
        <v>641326.50982399995</v>
      </c>
      <c r="L121" s="104">
        <f t="shared" si="8"/>
        <v>641326.50982399995</v>
      </c>
      <c r="M121" s="104">
        <f t="shared" si="8"/>
        <v>641326.50982399995</v>
      </c>
      <c r="N121" s="104">
        <f t="shared" si="8"/>
        <v>641326.50982399995</v>
      </c>
      <c r="O121" s="104">
        <f t="shared" si="8"/>
        <v>641326.50982399995</v>
      </c>
      <c r="P121" s="104">
        <f t="shared" si="8"/>
        <v>641326.50982399995</v>
      </c>
      <c r="Q121" s="104">
        <f t="shared" si="8"/>
        <v>641326.50982399995</v>
      </c>
      <c r="R121" s="104">
        <f t="shared" si="8"/>
        <v>641326.50982399995</v>
      </c>
      <c r="S121" s="104">
        <f t="shared" si="8"/>
        <v>641326.50982399995</v>
      </c>
      <c r="T121" s="104">
        <f t="shared" si="8"/>
        <v>641326.50982399995</v>
      </c>
      <c r="U121" s="104">
        <f t="shared" si="8"/>
        <v>641326.50982399995</v>
      </c>
      <c r="V121" s="104">
        <f t="shared" si="8"/>
        <v>641326.50982399995</v>
      </c>
      <c r="W121" s="104">
        <f t="shared" si="8"/>
        <v>641326.50982399995</v>
      </c>
      <c r="X121" s="104">
        <f t="shared" si="8"/>
        <v>641326.50982399995</v>
      </c>
      <c r="Y121" s="104">
        <f t="shared" si="8"/>
        <v>641326.50982399995</v>
      </c>
      <c r="Z121" s="104">
        <f t="shared" si="8"/>
        <v>641326.50982399995</v>
      </c>
      <c r="AA121" s="104">
        <f t="shared" si="8"/>
        <v>641326.50982399995</v>
      </c>
      <c r="AB121" s="104">
        <f t="shared" si="8"/>
        <v>641326.50982399995</v>
      </c>
      <c r="AC121" s="104">
        <f t="shared" si="8"/>
        <v>641326.50982399995</v>
      </c>
      <c r="AD121" s="104">
        <f t="shared" si="8"/>
        <v>641326.50982399995</v>
      </c>
      <c r="AE121" s="104">
        <f t="shared" si="8"/>
        <v>641326.50982399995</v>
      </c>
      <c r="AF121" s="104">
        <f t="shared" si="8"/>
        <v>641326.50982399995</v>
      </c>
      <c r="AG121" s="104">
        <f t="shared" si="8"/>
        <v>641326.50982399995</v>
      </c>
      <c r="AH121" s="104">
        <f t="shared" si="8"/>
        <v>641326.50982399995</v>
      </c>
      <c r="AI121" s="104">
        <f t="shared" si="8"/>
        <v>641326.50982399995</v>
      </c>
      <c r="AJ121" s="104">
        <f t="shared" si="8"/>
        <v>641326.50982399995</v>
      </c>
      <c r="AK121" s="104">
        <f t="shared" si="8"/>
        <v>641326.50982399995</v>
      </c>
      <c r="AL121" s="104">
        <f t="shared" si="8"/>
        <v>641326.50982399995</v>
      </c>
      <c r="AM121" s="104">
        <f t="shared" si="8"/>
        <v>513782.13690349949</v>
      </c>
      <c r="AN121" s="104">
        <f t="shared" si="8"/>
        <v>514725.84967720852</v>
      </c>
      <c r="AO121" s="104">
        <f t="shared" si="8"/>
        <v>577193.85884160001</v>
      </c>
      <c r="AP121" s="104">
        <f t="shared" si="8"/>
        <v>577193.85884160001</v>
      </c>
      <c r="AQ121" s="104">
        <f t="shared" si="8"/>
        <v>641326.50982399995</v>
      </c>
      <c r="AR121" s="104">
        <f t="shared" si="8"/>
        <v>641326.50982399995</v>
      </c>
      <c r="AS121" s="104">
        <f t="shared" si="8"/>
        <v>641326.50982399995</v>
      </c>
      <c r="AT121" s="104">
        <f t="shared" si="8"/>
        <v>641326.50982399995</v>
      </c>
      <c r="AU121" s="104">
        <f t="shared" si="8"/>
        <v>705459.1608064</v>
      </c>
      <c r="AV121" s="104">
        <f t="shared" si="8"/>
        <v>705459.1608064</v>
      </c>
      <c r="AW121" s="104">
        <f t="shared" si="8"/>
        <v>705459.1608064</v>
      </c>
      <c r="AX121" s="104">
        <f t="shared" si="8"/>
        <v>705459.1608064</v>
      </c>
    </row>
    <row r="122" spans="1:50">
      <c r="A122" s="104" t="s">
        <v>108</v>
      </c>
      <c r="B122" s="104" t="s">
        <v>5</v>
      </c>
      <c r="C122" s="99">
        <v>0</v>
      </c>
      <c r="D122" s="99">
        <v>0</v>
      </c>
      <c r="E122" s="99">
        <v>0</v>
      </c>
      <c r="F122" s="99">
        <v>0</v>
      </c>
      <c r="G122" s="99">
        <v>0</v>
      </c>
      <c r="H122" s="99">
        <v>0</v>
      </c>
      <c r="I122" s="99">
        <v>0</v>
      </c>
      <c r="J122" s="99">
        <v>0</v>
      </c>
      <c r="K122" s="99">
        <v>0</v>
      </c>
      <c r="L122" s="99">
        <v>0</v>
      </c>
      <c r="M122" s="99">
        <v>0</v>
      </c>
      <c r="N122" s="99">
        <v>0</v>
      </c>
      <c r="O122" s="99">
        <v>0</v>
      </c>
      <c r="P122" s="99">
        <v>0</v>
      </c>
      <c r="Q122" s="99">
        <v>0</v>
      </c>
      <c r="R122" s="99">
        <v>0</v>
      </c>
      <c r="S122" s="99">
        <v>0</v>
      </c>
      <c r="T122" s="99">
        <v>0</v>
      </c>
      <c r="U122" s="99">
        <v>0</v>
      </c>
      <c r="V122" s="99">
        <v>0</v>
      </c>
      <c r="W122" s="99">
        <v>0</v>
      </c>
      <c r="X122" s="99">
        <v>0</v>
      </c>
      <c r="Y122" s="99">
        <v>0</v>
      </c>
      <c r="Z122" s="99">
        <v>0</v>
      </c>
      <c r="AA122" s="99">
        <v>0</v>
      </c>
      <c r="AB122" s="99">
        <v>0</v>
      </c>
      <c r="AC122" s="99">
        <v>0</v>
      </c>
      <c r="AD122" s="99">
        <v>0</v>
      </c>
      <c r="AE122" s="99">
        <v>0</v>
      </c>
      <c r="AF122" s="99">
        <v>0</v>
      </c>
      <c r="AG122" s="99">
        <v>0</v>
      </c>
      <c r="AH122" s="99">
        <v>0</v>
      </c>
      <c r="AI122" s="99">
        <v>0</v>
      </c>
      <c r="AJ122" s="99">
        <v>0</v>
      </c>
      <c r="AK122" s="99">
        <v>0</v>
      </c>
      <c r="AL122" s="99">
        <v>0</v>
      </c>
      <c r="AM122" s="99">
        <v>0</v>
      </c>
      <c r="AN122" s="99">
        <v>0</v>
      </c>
      <c r="AO122" s="99">
        <v>0</v>
      </c>
      <c r="AP122" s="99">
        <v>0</v>
      </c>
      <c r="AQ122" s="99">
        <v>0</v>
      </c>
      <c r="AR122" s="99">
        <v>0</v>
      </c>
      <c r="AS122" s="99">
        <v>0</v>
      </c>
      <c r="AT122" s="99">
        <v>0</v>
      </c>
      <c r="AU122" s="99">
        <v>0</v>
      </c>
      <c r="AV122" s="99">
        <v>0</v>
      </c>
      <c r="AW122" s="99">
        <v>0</v>
      </c>
      <c r="AX122" s="99">
        <v>0</v>
      </c>
    </row>
    <row r="123" spans="1:50">
      <c r="B123" s="104" t="s">
        <v>10</v>
      </c>
      <c r="C123" s="99">
        <v>0</v>
      </c>
      <c r="D123" s="99">
        <v>0</v>
      </c>
      <c r="E123" s="99">
        <v>0</v>
      </c>
      <c r="F123" s="99">
        <v>0</v>
      </c>
      <c r="G123" s="99">
        <v>0</v>
      </c>
      <c r="H123" s="99">
        <v>0</v>
      </c>
      <c r="I123" s="99">
        <v>0</v>
      </c>
      <c r="J123" s="99">
        <v>0</v>
      </c>
      <c r="K123" s="99">
        <v>0</v>
      </c>
      <c r="L123" s="99">
        <v>0</v>
      </c>
      <c r="M123" s="99">
        <v>0</v>
      </c>
      <c r="N123" s="99">
        <v>0</v>
      </c>
      <c r="O123" s="99">
        <v>0</v>
      </c>
      <c r="P123" s="99">
        <v>0</v>
      </c>
      <c r="Q123" s="99">
        <v>0</v>
      </c>
      <c r="R123" s="99">
        <v>0</v>
      </c>
      <c r="S123" s="99">
        <v>0</v>
      </c>
      <c r="T123" s="99">
        <v>0</v>
      </c>
      <c r="U123" s="99">
        <v>0</v>
      </c>
      <c r="V123" s="99">
        <v>0</v>
      </c>
      <c r="W123" s="99">
        <v>0</v>
      </c>
      <c r="X123" s="99">
        <v>0</v>
      </c>
      <c r="Y123" s="99">
        <v>0</v>
      </c>
      <c r="Z123" s="99">
        <v>0</v>
      </c>
      <c r="AA123" s="99">
        <v>0</v>
      </c>
      <c r="AB123" s="99">
        <v>0</v>
      </c>
      <c r="AC123" s="99">
        <v>0</v>
      </c>
      <c r="AD123" s="99">
        <v>0</v>
      </c>
      <c r="AE123" s="99">
        <v>0</v>
      </c>
      <c r="AF123" s="99">
        <v>0</v>
      </c>
      <c r="AG123" s="99">
        <v>0</v>
      </c>
      <c r="AH123" s="99">
        <v>0</v>
      </c>
      <c r="AI123" s="99">
        <v>0</v>
      </c>
      <c r="AJ123" s="99">
        <v>0</v>
      </c>
      <c r="AK123" s="99">
        <v>0</v>
      </c>
      <c r="AL123" s="99">
        <v>0</v>
      </c>
      <c r="AM123" s="99">
        <v>0</v>
      </c>
      <c r="AN123" s="99">
        <v>0</v>
      </c>
      <c r="AO123" s="99">
        <v>0</v>
      </c>
      <c r="AP123" s="99">
        <v>0</v>
      </c>
      <c r="AQ123" s="99">
        <v>0</v>
      </c>
      <c r="AR123" s="99">
        <v>0</v>
      </c>
      <c r="AS123" s="99">
        <v>0</v>
      </c>
      <c r="AT123" s="99">
        <v>0</v>
      </c>
      <c r="AU123" s="99">
        <v>0</v>
      </c>
      <c r="AV123" s="99">
        <v>0</v>
      </c>
      <c r="AW123" s="99">
        <v>0</v>
      </c>
      <c r="AX123" s="99">
        <v>0</v>
      </c>
    </row>
    <row r="124" spans="1:50">
      <c r="B124" s="104" t="s">
        <v>12</v>
      </c>
      <c r="C124" s="99">
        <v>0</v>
      </c>
      <c r="D124" s="99">
        <v>0</v>
      </c>
      <c r="E124" s="99">
        <v>0</v>
      </c>
      <c r="F124" s="99">
        <v>0</v>
      </c>
      <c r="G124" s="99">
        <v>0</v>
      </c>
      <c r="H124" s="99">
        <v>0</v>
      </c>
      <c r="I124" s="99">
        <v>0</v>
      </c>
      <c r="J124" s="99">
        <v>0</v>
      </c>
      <c r="K124" s="99">
        <v>0</v>
      </c>
      <c r="L124" s="99">
        <v>0</v>
      </c>
      <c r="M124" s="99">
        <v>0</v>
      </c>
      <c r="N124" s="99">
        <v>0</v>
      </c>
      <c r="O124" s="99">
        <v>0</v>
      </c>
      <c r="P124" s="99">
        <v>0</v>
      </c>
      <c r="Q124" s="99">
        <v>0</v>
      </c>
      <c r="R124" s="99">
        <v>0</v>
      </c>
      <c r="S124" s="99">
        <v>0</v>
      </c>
      <c r="T124" s="99">
        <v>0</v>
      </c>
      <c r="U124" s="99">
        <v>0</v>
      </c>
      <c r="V124" s="99">
        <v>0</v>
      </c>
      <c r="W124" s="99">
        <v>0</v>
      </c>
      <c r="X124" s="99">
        <v>0</v>
      </c>
      <c r="Y124" s="99">
        <v>0</v>
      </c>
      <c r="Z124" s="99">
        <v>0</v>
      </c>
      <c r="AA124" s="99">
        <v>0</v>
      </c>
      <c r="AB124" s="99">
        <v>0</v>
      </c>
      <c r="AC124" s="99">
        <v>0</v>
      </c>
      <c r="AD124" s="99">
        <v>0</v>
      </c>
      <c r="AE124" s="99">
        <v>0</v>
      </c>
      <c r="AF124" s="99">
        <v>0</v>
      </c>
      <c r="AG124" s="99">
        <v>0</v>
      </c>
      <c r="AH124" s="99">
        <v>0</v>
      </c>
      <c r="AI124" s="99">
        <v>0</v>
      </c>
      <c r="AJ124" s="99">
        <v>0</v>
      </c>
      <c r="AK124" s="99">
        <v>0</v>
      </c>
      <c r="AL124" s="99">
        <v>0</v>
      </c>
      <c r="AM124" s="99">
        <v>0</v>
      </c>
      <c r="AN124" s="99">
        <v>0</v>
      </c>
      <c r="AO124" s="99">
        <v>0</v>
      </c>
      <c r="AP124" s="99">
        <v>0</v>
      </c>
      <c r="AQ124" s="99">
        <v>0</v>
      </c>
      <c r="AR124" s="99">
        <v>0</v>
      </c>
      <c r="AS124" s="99">
        <v>0</v>
      </c>
      <c r="AT124" s="99">
        <v>0</v>
      </c>
      <c r="AU124" s="99">
        <v>0</v>
      </c>
      <c r="AV124" s="99">
        <v>0</v>
      </c>
      <c r="AW124" s="99">
        <v>0</v>
      </c>
      <c r="AX124" s="99">
        <v>0</v>
      </c>
    </row>
    <row r="125" spans="1:50">
      <c r="B125" s="104" t="s">
        <v>22</v>
      </c>
      <c r="C125" s="99">
        <v>0</v>
      </c>
      <c r="D125" s="99">
        <v>0</v>
      </c>
      <c r="E125" s="99">
        <v>0</v>
      </c>
      <c r="F125" s="99">
        <v>0</v>
      </c>
      <c r="G125" s="99">
        <v>0</v>
      </c>
      <c r="H125" s="99">
        <v>0</v>
      </c>
      <c r="I125" s="99">
        <v>0</v>
      </c>
      <c r="J125" s="99">
        <v>0</v>
      </c>
      <c r="K125" s="99">
        <v>0</v>
      </c>
      <c r="L125" s="99">
        <v>0</v>
      </c>
      <c r="M125" s="99">
        <v>0</v>
      </c>
      <c r="N125" s="99">
        <v>0</v>
      </c>
      <c r="O125" s="99">
        <v>0</v>
      </c>
      <c r="P125" s="99">
        <v>0</v>
      </c>
      <c r="Q125" s="99">
        <v>0</v>
      </c>
      <c r="R125" s="99">
        <v>0</v>
      </c>
      <c r="S125" s="99">
        <v>0</v>
      </c>
      <c r="T125" s="99">
        <v>0</v>
      </c>
      <c r="U125" s="99">
        <v>0</v>
      </c>
      <c r="V125" s="99">
        <v>0</v>
      </c>
      <c r="W125" s="99">
        <v>0</v>
      </c>
      <c r="X125" s="99">
        <v>0</v>
      </c>
      <c r="Y125" s="99">
        <v>0</v>
      </c>
      <c r="Z125" s="99">
        <v>0</v>
      </c>
      <c r="AA125" s="99">
        <v>0</v>
      </c>
      <c r="AB125" s="99">
        <v>0</v>
      </c>
      <c r="AC125" s="99">
        <v>0</v>
      </c>
      <c r="AD125" s="99">
        <v>0</v>
      </c>
      <c r="AE125" s="99">
        <v>0</v>
      </c>
      <c r="AF125" s="99">
        <v>0</v>
      </c>
      <c r="AG125" s="99">
        <v>0</v>
      </c>
      <c r="AH125" s="99">
        <v>0</v>
      </c>
      <c r="AI125" s="99">
        <v>0</v>
      </c>
      <c r="AJ125" s="99">
        <v>0</v>
      </c>
      <c r="AK125" s="99">
        <v>0</v>
      </c>
      <c r="AL125" s="99">
        <v>0</v>
      </c>
      <c r="AM125" s="99">
        <v>0</v>
      </c>
      <c r="AN125" s="99">
        <v>0</v>
      </c>
      <c r="AO125" s="99">
        <v>0</v>
      </c>
      <c r="AP125" s="99">
        <v>0</v>
      </c>
      <c r="AQ125" s="99">
        <v>0</v>
      </c>
      <c r="AR125" s="99">
        <v>0</v>
      </c>
      <c r="AS125" s="99">
        <v>0</v>
      </c>
      <c r="AT125" s="99">
        <v>0</v>
      </c>
      <c r="AU125" s="99">
        <v>0</v>
      </c>
      <c r="AV125" s="99">
        <v>0</v>
      </c>
      <c r="AW125" s="99">
        <v>0</v>
      </c>
      <c r="AX125" s="99">
        <v>0</v>
      </c>
    </row>
    <row r="126" spans="1:50">
      <c r="B126" s="104" t="s">
        <v>59</v>
      </c>
      <c r="C126" s="99">
        <v>41490.9</v>
      </c>
      <c r="D126" s="99">
        <v>41490.9</v>
      </c>
      <c r="E126" s="99">
        <v>41490.9</v>
      </c>
      <c r="F126" s="99">
        <v>41490.9</v>
      </c>
      <c r="G126" s="99">
        <v>41490.9</v>
      </c>
      <c r="H126" s="99">
        <v>41490.9</v>
      </c>
      <c r="I126" s="99">
        <v>41490.9</v>
      </c>
      <c r="J126" s="99">
        <v>41490.9</v>
      </c>
      <c r="K126" s="99">
        <v>41490.9</v>
      </c>
      <c r="L126" s="99">
        <v>41490.9</v>
      </c>
      <c r="M126" s="99">
        <v>41490.9</v>
      </c>
      <c r="N126" s="99">
        <v>41490.9</v>
      </c>
      <c r="O126" s="99">
        <v>41490.9</v>
      </c>
      <c r="P126" s="99">
        <v>41490.9</v>
      </c>
      <c r="Q126" s="99">
        <v>41490.9</v>
      </c>
      <c r="R126" s="99">
        <v>41490.9</v>
      </c>
      <c r="S126" s="99">
        <v>41490.9</v>
      </c>
      <c r="T126" s="99">
        <v>41490.9</v>
      </c>
      <c r="U126" s="99">
        <v>41490.9</v>
      </c>
      <c r="V126" s="99">
        <v>41490.9</v>
      </c>
      <c r="W126" s="99">
        <v>41490.9</v>
      </c>
      <c r="X126" s="99">
        <v>41490.9</v>
      </c>
      <c r="Y126" s="99">
        <v>41490.9</v>
      </c>
      <c r="Z126" s="99">
        <v>41490.9</v>
      </c>
      <c r="AA126" s="99">
        <v>41490.9</v>
      </c>
      <c r="AB126" s="99">
        <v>41490.9</v>
      </c>
      <c r="AC126" s="99">
        <v>41490.9</v>
      </c>
      <c r="AD126" s="99">
        <v>41490.9</v>
      </c>
      <c r="AE126" s="99">
        <v>41490.9</v>
      </c>
      <c r="AF126" s="99">
        <v>41490.9</v>
      </c>
      <c r="AG126" s="99">
        <v>41490.9</v>
      </c>
      <c r="AH126" s="99">
        <v>41490.9</v>
      </c>
      <c r="AI126" s="99">
        <v>41490.9</v>
      </c>
      <c r="AJ126" s="99">
        <v>41490.9</v>
      </c>
      <c r="AK126" s="99">
        <v>41490.9</v>
      </c>
      <c r="AL126" s="99">
        <v>41490.9</v>
      </c>
      <c r="AM126" s="99">
        <v>41490.9</v>
      </c>
      <c r="AN126" s="99">
        <v>41490.9</v>
      </c>
      <c r="AO126" s="99">
        <v>41490.9</v>
      </c>
      <c r="AP126" s="99">
        <v>41490.9</v>
      </c>
      <c r="AQ126" s="99">
        <v>41490.9</v>
      </c>
      <c r="AR126" s="99">
        <v>41490.9</v>
      </c>
      <c r="AS126" s="99">
        <v>41490.9</v>
      </c>
      <c r="AT126" s="99">
        <v>41490.9</v>
      </c>
      <c r="AU126" s="99">
        <v>41490.9</v>
      </c>
      <c r="AV126" s="99">
        <v>41490.9</v>
      </c>
      <c r="AW126" s="99">
        <v>41490.9</v>
      </c>
      <c r="AX126" s="99">
        <v>41490.9</v>
      </c>
    </row>
    <row r="127" spans="1:50">
      <c r="B127" s="99" t="s">
        <v>277</v>
      </c>
      <c r="C127" s="104">
        <f>SUM(C$122:C$126)</f>
        <v>41490.9</v>
      </c>
      <c r="D127" s="104">
        <f t="shared" ref="D127:AX127" si="9">SUM(D$122:D$126)</f>
        <v>41490.9</v>
      </c>
      <c r="E127" s="104">
        <f t="shared" si="9"/>
        <v>41490.9</v>
      </c>
      <c r="F127" s="104">
        <f t="shared" si="9"/>
        <v>41490.9</v>
      </c>
      <c r="G127" s="104">
        <f t="shared" si="9"/>
        <v>41490.9</v>
      </c>
      <c r="H127" s="104">
        <f t="shared" si="9"/>
        <v>41490.9</v>
      </c>
      <c r="I127" s="104">
        <f t="shared" si="9"/>
        <v>41490.9</v>
      </c>
      <c r="J127" s="104">
        <f t="shared" si="9"/>
        <v>41490.9</v>
      </c>
      <c r="K127" s="104">
        <f t="shared" si="9"/>
        <v>41490.9</v>
      </c>
      <c r="L127" s="104">
        <f t="shared" si="9"/>
        <v>41490.9</v>
      </c>
      <c r="M127" s="104">
        <f t="shared" si="9"/>
        <v>41490.9</v>
      </c>
      <c r="N127" s="104">
        <f t="shared" si="9"/>
        <v>41490.9</v>
      </c>
      <c r="O127" s="104">
        <f t="shared" si="9"/>
        <v>41490.9</v>
      </c>
      <c r="P127" s="104">
        <f t="shared" si="9"/>
        <v>41490.9</v>
      </c>
      <c r="Q127" s="104">
        <f t="shared" si="9"/>
        <v>41490.9</v>
      </c>
      <c r="R127" s="104">
        <f t="shared" si="9"/>
        <v>41490.9</v>
      </c>
      <c r="S127" s="104">
        <f t="shared" si="9"/>
        <v>41490.9</v>
      </c>
      <c r="T127" s="104">
        <f t="shared" si="9"/>
        <v>41490.9</v>
      </c>
      <c r="U127" s="104">
        <f t="shared" si="9"/>
        <v>41490.9</v>
      </c>
      <c r="V127" s="104">
        <f t="shared" si="9"/>
        <v>41490.9</v>
      </c>
      <c r="W127" s="104">
        <f t="shared" si="9"/>
        <v>41490.9</v>
      </c>
      <c r="X127" s="104">
        <f t="shared" si="9"/>
        <v>41490.9</v>
      </c>
      <c r="Y127" s="104">
        <f t="shared" si="9"/>
        <v>41490.9</v>
      </c>
      <c r="Z127" s="104">
        <f t="shared" si="9"/>
        <v>41490.9</v>
      </c>
      <c r="AA127" s="104">
        <f t="shared" si="9"/>
        <v>41490.9</v>
      </c>
      <c r="AB127" s="104">
        <f t="shared" si="9"/>
        <v>41490.9</v>
      </c>
      <c r="AC127" s="104">
        <f t="shared" si="9"/>
        <v>41490.9</v>
      </c>
      <c r="AD127" s="104">
        <f t="shared" si="9"/>
        <v>41490.9</v>
      </c>
      <c r="AE127" s="104">
        <f t="shared" si="9"/>
        <v>41490.9</v>
      </c>
      <c r="AF127" s="104">
        <f t="shared" si="9"/>
        <v>41490.9</v>
      </c>
      <c r="AG127" s="104">
        <f t="shared" si="9"/>
        <v>41490.9</v>
      </c>
      <c r="AH127" s="104">
        <f t="shared" si="9"/>
        <v>41490.9</v>
      </c>
      <c r="AI127" s="104">
        <f t="shared" si="9"/>
        <v>41490.9</v>
      </c>
      <c r="AJ127" s="104">
        <f t="shared" si="9"/>
        <v>41490.9</v>
      </c>
      <c r="AK127" s="104">
        <f t="shared" si="9"/>
        <v>41490.9</v>
      </c>
      <c r="AL127" s="104">
        <f t="shared" si="9"/>
        <v>41490.9</v>
      </c>
      <c r="AM127" s="104">
        <f t="shared" si="9"/>
        <v>41490.9</v>
      </c>
      <c r="AN127" s="104">
        <f t="shared" si="9"/>
        <v>41490.9</v>
      </c>
      <c r="AO127" s="104">
        <f t="shared" si="9"/>
        <v>41490.9</v>
      </c>
      <c r="AP127" s="104">
        <f t="shared" si="9"/>
        <v>41490.9</v>
      </c>
      <c r="AQ127" s="104">
        <f t="shared" si="9"/>
        <v>41490.9</v>
      </c>
      <c r="AR127" s="104">
        <f t="shared" si="9"/>
        <v>41490.9</v>
      </c>
      <c r="AS127" s="104">
        <f t="shared" si="9"/>
        <v>41490.9</v>
      </c>
      <c r="AT127" s="104">
        <f t="shared" si="9"/>
        <v>41490.9</v>
      </c>
      <c r="AU127" s="104">
        <f t="shared" si="9"/>
        <v>41490.9</v>
      </c>
      <c r="AV127" s="104">
        <f t="shared" si="9"/>
        <v>41490.9</v>
      </c>
      <c r="AW127" s="104">
        <f t="shared" si="9"/>
        <v>41490.9</v>
      </c>
      <c r="AX127" s="104">
        <f t="shared" si="9"/>
        <v>41490.9</v>
      </c>
    </row>
    <row r="128" spans="1:50">
      <c r="A128" s="104" t="s">
        <v>109</v>
      </c>
      <c r="B128" s="104" t="s">
        <v>5</v>
      </c>
      <c r="C128" s="99">
        <v>0</v>
      </c>
      <c r="D128" s="99">
        <v>0</v>
      </c>
      <c r="E128" s="99">
        <v>0</v>
      </c>
      <c r="F128" s="99">
        <v>0</v>
      </c>
      <c r="G128" s="99">
        <v>0</v>
      </c>
      <c r="H128" s="99">
        <v>0</v>
      </c>
      <c r="I128" s="99">
        <v>0</v>
      </c>
      <c r="J128" s="99">
        <v>0</v>
      </c>
      <c r="K128" s="99">
        <v>0</v>
      </c>
      <c r="L128" s="99">
        <v>0</v>
      </c>
      <c r="M128" s="99">
        <v>0</v>
      </c>
      <c r="N128" s="99">
        <v>0</v>
      </c>
      <c r="O128" s="99">
        <v>0</v>
      </c>
      <c r="P128" s="99">
        <v>0</v>
      </c>
      <c r="Q128" s="99">
        <v>0</v>
      </c>
      <c r="R128" s="99">
        <v>0</v>
      </c>
      <c r="S128" s="99">
        <v>0</v>
      </c>
      <c r="T128" s="99">
        <v>0</v>
      </c>
      <c r="U128" s="99">
        <v>0</v>
      </c>
      <c r="V128" s="99">
        <v>0</v>
      </c>
      <c r="W128" s="99">
        <v>0</v>
      </c>
      <c r="X128" s="99">
        <v>0</v>
      </c>
      <c r="Y128" s="99">
        <v>0</v>
      </c>
      <c r="Z128" s="99">
        <v>0</v>
      </c>
      <c r="AA128" s="99">
        <v>0</v>
      </c>
      <c r="AB128" s="99">
        <v>0</v>
      </c>
      <c r="AC128" s="99">
        <v>0</v>
      </c>
      <c r="AD128" s="99">
        <v>0</v>
      </c>
      <c r="AE128" s="99">
        <v>0</v>
      </c>
      <c r="AF128" s="99">
        <v>0</v>
      </c>
      <c r="AG128" s="99">
        <v>0</v>
      </c>
      <c r="AH128" s="99">
        <v>0</v>
      </c>
      <c r="AI128" s="99">
        <v>0</v>
      </c>
      <c r="AJ128" s="99">
        <v>0</v>
      </c>
      <c r="AK128" s="99">
        <v>0</v>
      </c>
      <c r="AL128" s="99">
        <v>0</v>
      </c>
      <c r="AM128" s="99">
        <v>0</v>
      </c>
      <c r="AN128" s="99">
        <v>0</v>
      </c>
      <c r="AO128" s="99">
        <v>0</v>
      </c>
      <c r="AP128" s="99">
        <v>0</v>
      </c>
      <c r="AQ128" s="99">
        <v>0</v>
      </c>
      <c r="AR128" s="99">
        <v>0</v>
      </c>
      <c r="AS128" s="99">
        <v>0</v>
      </c>
      <c r="AT128" s="99">
        <v>0</v>
      </c>
      <c r="AU128" s="99">
        <v>0</v>
      </c>
      <c r="AV128" s="99">
        <v>0</v>
      </c>
      <c r="AW128" s="99">
        <v>0</v>
      </c>
      <c r="AX128" s="99">
        <v>0</v>
      </c>
    </row>
    <row r="129" spans="2:50">
      <c r="B129" s="104" t="s">
        <v>10</v>
      </c>
      <c r="C129" s="99">
        <v>0</v>
      </c>
      <c r="D129" s="99">
        <v>0</v>
      </c>
      <c r="E129" s="99">
        <v>0</v>
      </c>
      <c r="F129" s="99">
        <v>0</v>
      </c>
      <c r="G129" s="99">
        <v>0</v>
      </c>
      <c r="H129" s="99">
        <v>0</v>
      </c>
      <c r="I129" s="99">
        <v>0</v>
      </c>
      <c r="J129" s="99">
        <v>0</v>
      </c>
      <c r="K129" s="99">
        <v>0</v>
      </c>
      <c r="L129" s="99">
        <v>0</v>
      </c>
      <c r="M129" s="99">
        <v>0</v>
      </c>
      <c r="N129" s="99">
        <v>0</v>
      </c>
      <c r="O129" s="99">
        <v>0</v>
      </c>
      <c r="P129" s="99">
        <v>0</v>
      </c>
      <c r="Q129" s="99">
        <v>0</v>
      </c>
      <c r="R129" s="99">
        <v>0</v>
      </c>
      <c r="S129" s="99">
        <v>0</v>
      </c>
      <c r="T129" s="99">
        <v>0</v>
      </c>
      <c r="U129" s="99">
        <v>0</v>
      </c>
      <c r="V129" s="99">
        <v>0</v>
      </c>
      <c r="W129" s="99">
        <v>0</v>
      </c>
      <c r="X129" s="99">
        <v>0</v>
      </c>
      <c r="Y129" s="99">
        <v>0</v>
      </c>
      <c r="Z129" s="99">
        <v>0</v>
      </c>
      <c r="AA129" s="99">
        <v>0</v>
      </c>
      <c r="AB129" s="99">
        <v>0</v>
      </c>
      <c r="AC129" s="99">
        <v>0</v>
      </c>
      <c r="AD129" s="99">
        <v>0</v>
      </c>
      <c r="AE129" s="99">
        <v>0</v>
      </c>
      <c r="AF129" s="99">
        <v>0</v>
      </c>
      <c r="AG129" s="99">
        <v>0</v>
      </c>
      <c r="AH129" s="99">
        <v>0</v>
      </c>
      <c r="AI129" s="99">
        <v>0</v>
      </c>
      <c r="AJ129" s="99">
        <v>0</v>
      </c>
      <c r="AK129" s="99">
        <v>0</v>
      </c>
      <c r="AL129" s="99">
        <v>0</v>
      </c>
      <c r="AM129" s="99">
        <v>0</v>
      </c>
      <c r="AN129" s="99">
        <v>0</v>
      </c>
      <c r="AO129" s="99">
        <v>0</v>
      </c>
      <c r="AP129" s="99">
        <v>0</v>
      </c>
      <c r="AQ129" s="99">
        <v>0</v>
      </c>
      <c r="AR129" s="99">
        <v>0</v>
      </c>
      <c r="AS129" s="99">
        <v>0</v>
      </c>
      <c r="AT129" s="99">
        <v>0</v>
      </c>
      <c r="AU129" s="99">
        <v>0</v>
      </c>
      <c r="AV129" s="99">
        <v>0</v>
      </c>
      <c r="AW129" s="99">
        <v>0</v>
      </c>
      <c r="AX129" s="99">
        <v>0</v>
      </c>
    </row>
    <row r="130" spans="2:50">
      <c r="B130" s="104" t="s">
        <v>12</v>
      </c>
      <c r="C130" s="99">
        <v>0</v>
      </c>
      <c r="D130" s="99">
        <v>0</v>
      </c>
      <c r="E130" s="99">
        <v>0</v>
      </c>
      <c r="F130" s="99">
        <v>0</v>
      </c>
      <c r="G130" s="99">
        <v>0</v>
      </c>
      <c r="H130" s="99">
        <v>0</v>
      </c>
      <c r="I130" s="99">
        <v>0</v>
      </c>
      <c r="J130" s="99">
        <v>0</v>
      </c>
      <c r="K130" s="99">
        <v>0</v>
      </c>
      <c r="L130" s="99">
        <v>0</v>
      </c>
      <c r="M130" s="99">
        <v>0</v>
      </c>
      <c r="N130" s="99">
        <v>0</v>
      </c>
      <c r="O130" s="99">
        <v>0</v>
      </c>
      <c r="P130" s="99">
        <v>0</v>
      </c>
      <c r="Q130" s="99">
        <v>0</v>
      </c>
      <c r="R130" s="99">
        <v>0</v>
      </c>
      <c r="S130" s="99">
        <v>0</v>
      </c>
      <c r="T130" s="99">
        <v>0</v>
      </c>
      <c r="U130" s="99">
        <v>0</v>
      </c>
      <c r="V130" s="99">
        <v>0</v>
      </c>
      <c r="W130" s="99">
        <v>0</v>
      </c>
      <c r="X130" s="99">
        <v>0</v>
      </c>
      <c r="Y130" s="99">
        <v>0</v>
      </c>
      <c r="Z130" s="99">
        <v>0</v>
      </c>
      <c r="AA130" s="99">
        <v>0</v>
      </c>
      <c r="AB130" s="99">
        <v>0</v>
      </c>
      <c r="AC130" s="99">
        <v>0</v>
      </c>
      <c r="AD130" s="99">
        <v>0</v>
      </c>
      <c r="AE130" s="99">
        <v>0</v>
      </c>
      <c r="AF130" s="99">
        <v>0</v>
      </c>
      <c r="AG130" s="99">
        <v>0</v>
      </c>
      <c r="AH130" s="99">
        <v>0</v>
      </c>
      <c r="AI130" s="99">
        <v>0</v>
      </c>
      <c r="AJ130" s="99">
        <v>0</v>
      </c>
      <c r="AK130" s="99">
        <v>0</v>
      </c>
      <c r="AL130" s="99">
        <v>0</v>
      </c>
      <c r="AM130" s="99">
        <v>0</v>
      </c>
      <c r="AN130" s="99">
        <v>0</v>
      </c>
      <c r="AO130" s="99">
        <v>0</v>
      </c>
      <c r="AP130" s="99">
        <v>0</v>
      </c>
      <c r="AQ130" s="99">
        <v>0</v>
      </c>
      <c r="AR130" s="99">
        <v>0</v>
      </c>
      <c r="AS130" s="99">
        <v>0</v>
      </c>
      <c r="AT130" s="99">
        <v>0</v>
      </c>
      <c r="AU130" s="99">
        <v>0</v>
      </c>
      <c r="AV130" s="99">
        <v>0</v>
      </c>
      <c r="AW130" s="99">
        <v>0</v>
      </c>
      <c r="AX130" s="99">
        <v>0</v>
      </c>
    </row>
    <row r="131" spans="2:50">
      <c r="B131" s="104" t="s">
        <v>22</v>
      </c>
      <c r="C131" s="99">
        <v>0</v>
      </c>
      <c r="D131" s="99">
        <v>0</v>
      </c>
      <c r="E131" s="99">
        <v>0</v>
      </c>
      <c r="F131" s="99">
        <v>0</v>
      </c>
      <c r="G131" s="99">
        <v>0</v>
      </c>
      <c r="H131" s="99">
        <v>0</v>
      </c>
      <c r="I131" s="99">
        <v>0</v>
      </c>
      <c r="J131" s="99">
        <v>0</v>
      </c>
      <c r="K131" s="99">
        <v>0</v>
      </c>
      <c r="L131" s="99">
        <v>0</v>
      </c>
      <c r="M131" s="99">
        <v>0</v>
      </c>
      <c r="N131" s="99">
        <v>0</v>
      </c>
      <c r="O131" s="99">
        <v>0</v>
      </c>
      <c r="P131" s="99">
        <v>0</v>
      </c>
      <c r="Q131" s="99">
        <v>0</v>
      </c>
      <c r="R131" s="99">
        <v>0</v>
      </c>
      <c r="S131" s="99">
        <v>0</v>
      </c>
      <c r="T131" s="99">
        <v>0</v>
      </c>
      <c r="U131" s="99">
        <v>0</v>
      </c>
      <c r="V131" s="99">
        <v>0</v>
      </c>
      <c r="W131" s="99">
        <v>0</v>
      </c>
      <c r="X131" s="99">
        <v>0</v>
      </c>
      <c r="Y131" s="99">
        <v>0</v>
      </c>
      <c r="Z131" s="99">
        <v>0</v>
      </c>
      <c r="AA131" s="99">
        <v>0</v>
      </c>
      <c r="AB131" s="99">
        <v>0</v>
      </c>
      <c r="AC131" s="99">
        <v>0</v>
      </c>
      <c r="AD131" s="99">
        <v>0</v>
      </c>
      <c r="AE131" s="99">
        <v>0</v>
      </c>
      <c r="AF131" s="99">
        <v>0</v>
      </c>
      <c r="AG131" s="99">
        <v>0</v>
      </c>
      <c r="AH131" s="99">
        <v>0</v>
      </c>
      <c r="AI131" s="99">
        <v>0</v>
      </c>
      <c r="AJ131" s="99">
        <v>0</v>
      </c>
      <c r="AK131" s="99">
        <v>0</v>
      </c>
      <c r="AL131" s="99">
        <v>0</v>
      </c>
      <c r="AM131" s="99">
        <v>0</v>
      </c>
      <c r="AN131" s="99">
        <v>0</v>
      </c>
      <c r="AO131" s="99">
        <v>0</v>
      </c>
      <c r="AP131" s="99">
        <v>0</v>
      </c>
      <c r="AQ131" s="99">
        <v>0</v>
      </c>
      <c r="AR131" s="99">
        <v>0</v>
      </c>
      <c r="AS131" s="99">
        <v>0</v>
      </c>
      <c r="AT131" s="99">
        <v>0</v>
      </c>
      <c r="AU131" s="99">
        <v>0</v>
      </c>
      <c r="AV131" s="99">
        <v>0</v>
      </c>
      <c r="AW131" s="99">
        <v>0</v>
      </c>
      <c r="AX131" s="99">
        <v>0</v>
      </c>
    </row>
    <row r="132" spans="2:50">
      <c r="B132" s="104" t="s">
        <v>59</v>
      </c>
      <c r="C132" s="99">
        <v>40233.599999999999</v>
      </c>
      <c r="D132" s="99">
        <v>40233.599999999999</v>
      </c>
      <c r="E132" s="99">
        <v>40233.599999999999</v>
      </c>
      <c r="F132" s="99">
        <v>40233.599999999999</v>
      </c>
      <c r="G132" s="99">
        <v>40233.599999999999</v>
      </c>
      <c r="H132" s="99">
        <v>40233.599999999999</v>
      </c>
      <c r="I132" s="99">
        <v>40233.599999999999</v>
      </c>
      <c r="J132" s="99">
        <v>40233.599999999999</v>
      </c>
      <c r="K132" s="99">
        <v>36210.239999999998</v>
      </c>
      <c r="L132" s="99">
        <v>36210.239999999998</v>
      </c>
      <c r="M132" s="99">
        <v>36210.239999999998</v>
      </c>
      <c r="N132" s="99">
        <v>36210.239999999998</v>
      </c>
      <c r="O132" s="99">
        <v>36210.239999999998</v>
      </c>
      <c r="P132" s="99">
        <v>36210.239999999998</v>
      </c>
      <c r="Q132" s="99">
        <v>36210.239999999998</v>
      </c>
      <c r="R132" s="99">
        <v>36210.239999999998</v>
      </c>
      <c r="S132" s="99">
        <v>36210.239999999998</v>
      </c>
      <c r="T132" s="99">
        <v>36210.239999999998</v>
      </c>
      <c r="U132" s="99">
        <v>36210.239999999998</v>
      </c>
      <c r="V132" s="99">
        <v>36210.239999999998</v>
      </c>
      <c r="W132" s="99">
        <v>36210.239999999998</v>
      </c>
      <c r="X132" s="99">
        <v>36210.239999999998</v>
      </c>
      <c r="Y132" s="99">
        <v>36210.239999999998</v>
      </c>
      <c r="Z132" s="99">
        <v>36210.239999999998</v>
      </c>
      <c r="AA132" s="99">
        <v>40233.599999999999</v>
      </c>
      <c r="AB132" s="99">
        <v>40233.599999999999</v>
      </c>
      <c r="AC132" s="99">
        <v>40233.599999999999</v>
      </c>
      <c r="AD132" s="99">
        <v>40233.599999999999</v>
      </c>
      <c r="AE132" s="99">
        <v>36210.239999999998</v>
      </c>
      <c r="AF132" s="99">
        <v>36210.239999999998</v>
      </c>
      <c r="AG132" s="99">
        <v>36210.239999999998</v>
      </c>
      <c r="AH132" s="99">
        <v>36210.239999999998</v>
      </c>
      <c r="AI132" s="99">
        <v>40233.599999999999</v>
      </c>
      <c r="AJ132" s="99">
        <v>40233.599999999999</v>
      </c>
      <c r="AK132" s="99">
        <v>40233.599999999999</v>
      </c>
      <c r="AL132" s="99">
        <v>40233.599999999999</v>
      </c>
      <c r="AM132" s="99">
        <v>40233.599999999999</v>
      </c>
      <c r="AN132" s="99">
        <v>40233.599999999999</v>
      </c>
      <c r="AO132" s="99">
        <v>40233.599999999999</v>
      </c>
      <c r="AP132" s="99">
        <v>40233.599999999999</v>
      </c>
      <c r="AQ132" s="99">
        <v>36210.239999999998</v>
      </c>
      <c r="AR132" s="99">
        <v>36210.239999999998</v>
      </c>
      <c r="AS132" s="99">
        <v>36210.239999999998</v>
      </c>
      <c r="AT132" s="99">
        <v>36210.239999999998</v>
      </c>
      <c r="AU132" s="99">
        <v>40233.599999999999</v>
      </c>
      <c r="AV132" s="99">
        <v>40233.599999999999</v>
      </c>
      <c r="AW132" s="99">
        <v>40233.599999999999</v>
      </c>
      <c r="AX132" s="99">
        <v>40233.599999999999</v>
      </c>
    </row>
    <row r="133" spans="2:50">
      <c r="B133" s="99" t="s">
        <v>277</v>
      </c>
      <c r="C133" s="104">
        <f>SUM(C$128:C$132)</f>
        <v>40233.599999999999</v>
      </c>
      <c r="D133" s="104">
        <f t="shared" ref="D133:AX133" si="10">SUM(D$128:D$132)</f>
        <v>40233.599999999999</v>
      </c>
      <c r="E133" s="104">
        <f t="shared" si="10"/>
        <v>40233.599999999999</v>
      </c>
      <c r="F133" s="104">
        <f t="shared" si="10"/>
        <v>40233.599999999999</v>
      </c>
      <c r="G133" s="104">
        <f t="shared" si="10"/>
        <v>40233.599999999999</v>
      </c>
      <c r="H133" s="104">
        <f t="shared" si="10"/>
        <v>40233.599999999999</v>
      </c>
      <c r="I133" s="104">
        <f t="shared" si="10"/>
        <v>40233.599999999999</v>
      </c>
      <c r="J133" s="104">
        <f t="shared" si="10"/>
        <v>40233.599999999999</v>
      </c>
      <c r="K133" s="104">
        <f t="shared" si="10"/>
        <v>36210.239999999998</v>
      </c>
      <c r="L133" s="104">
        <f t="shared" si="10"/>
        <v>36210.239999999998</v>
      </c>
      <c r="M133" s="104">
        <f t="shared" si="10"/>
        <v>36210.239999999998</v>
      </c>
      <c r="N133" s="104">
        <f t="shared" si="10"/>
        <v>36210.239999999998</v>
      </c>
      <c r="O133" s="104">
        <f t="shared" si="10"/>
        <v>36210.239999999998</v>
      </c>
      <c r="P133" s="104">
        <f t="shared" si="10"/>
        <v>36210.239999999998</v>
      </c>
      <c r="Q133" s="104">
        <f t="shared" si="10"/>
        <v>36210.239999999998</v>
      </c>
      <c r="R133" s="104">
        <f t="shared" si="10"/>
        <v>36210.239999999998</v>
      </c>
      <c r="S133" s="104">
        <f t="shared" si="10"/>
        <v>36210.239999999998</v>
      </c>
      <c r="T133" s="104">
        <f t="shared" si="10"/>
        <v>36210.239999999998</v>
      </c>
      <c r="U133" s="104">
        <f t="shared" si="10"/>
        <v>36210.239999999998</v>
      </c>
      <c r="V133" s="104">
        <f t="shared" si="10"/>
        <v>36210.239999999998</v>
      </c>
      <c r="W133" s="104">
        <f t="shared" si="10"/>
        <v>36210.239999999998</v>
      </c>
      <c r="X133" s="104">
        <f t="shared" si="10"/>
        <v>36210.239999999998</v>
      </c>
      <c r="Y133" s="104">
        <f t="shared" si="10"/>
        <v>36210.239999999998</v>
      </c>
      <c r="Z133" s="104">
        <f t="shared" si="10"/>
        <v>36210.239999999998</v>
      </c>
      <c r="AA133" s="104">
        <f t="shared" si="10"/>
        <v>40233.599999999999</v>
      </c>
      <c r="AB133" s="104">
        <f t="shared" si="10"/>
        <v>40233.599999999999</v>
      </c>
      <c r="AC133" s="104">
        <f t="shared" si="10"/>
        <v>40233.599999999999</v>
      </c>
      <c r="AD133" s="104">
        <f t="shared" si="10"/>
        <v>40233.599999999999</v>
      </c>
      <c r="AE133" s="104">
        <f t="shared" si="10"/>
        <v>36210.239999999998</v>
      </c>
      <c r="AF133" s="104">
        <f t="shared" si="10"/>
        <v>36210.239999999998</v>
      </c>
      <c r="AG133" s="104">
        <f t="shared" si="10"/>
        <v>36210.239999999998</v>
      </c>
      <c r="AH133" s="104">
        <f t="shared" si="10"/>
        <v>36210.239999999998</v>
      </c>
      <c r="AI133" s="104">
        <f t="shared" si="10"/>
        <v>40233.599999999999</v>
      </c>
      <c r="AJ133" s="104">
        <f t="shared" si="10"/>
        <v>40233.599999999999</v>
      </c>
      <c r="AK133" s="104">
        <f t="shared" si="10"/>
        <v>40233.599999999999</v>
      </c>
      <c r="AL133" s="104">
        <f t="shared" si="10"/>
        <v>40233.599999999999</v>
      </c>
      <c r="AM133" s="104">
        <f t="shared" si="10"/>
        <v>40233.599999999999</v>
      </c>
      <c r="AN133" s="104">
        <f t="shared" si="10"/>
        <v>40233.599999999999</v>
      </c>
      <c r="AO133" s="104">
        <f t="shared" si="10"/>
        <v>40233.599999999999</v>
      </c>
      <c r="AP133" s="104">
        <f t="shared" si="10"/>
        <v>40233.599999999999</v>
      </c>
      <c r="AQ133" s="104">
        <f t="shared" si="10"/>
        <v>36210.239999999998</v>
      </c>
      <c r="AR133" s="104">
        <f t="shared" si="10"/>
        <v>36210.239999999998</v>
      </c>
      <c r="AS133" s="104">
        <f t="shared" si="10"/>
        <v>36210.239999999998</v>
      </c>
      <c r="AT133" s="104">
        <f t="shared" si="10"/>
        <v>36210.239999999998</v>
      </c>
      <c r="AU133" s="104">
        <f t="shared" si="10"/>
        <v>40233.599999999999</v>
      </c>
      <c r="AV133" s="104">
        <f t="shared" si="10"/>
        <v>40233.599999999999</v>
      </c>
      <c r="AW133" s="104">
        <f t="shared" si="10"/>
        <v>40233.599999999999</v>
      </c>
      <c r="AX133" s="104">
        <f t="shared" si="10"/>
        <v>40233.599999999999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baseColWidth="10" defaultColWidth="8.83203125" defaultRowHeight="12" x14ac:dyDescent="0"/>
  <cols>
    <col min="1" max="1" width="14.6640625" style="99" customWidth="1"/>
    <col min="2" max="2" width="17.6640625" style="99" customWidth="1"/>
    <col min="3" max="51" width="8.83203125" style="99"/>
    <col min="52" max="52" width="10.6640625" style="99" customWidth="1"/>
    <col min="53" max="16384" width="8.83203125" style="99"/>
  </cols>
  <sheetData>
    <row r="1" spans="1:52">
      <c r="A1" s="101" t="s">
        <v>118</v>
      </c>
    </row>
    <row r="2" spans="1:52">
      <c r="A2" s="99" t="s">
        <v>302</v>
      </c>
      <c r="B2" s="106" t="s">
        <v>5</v>
      </c>
      <c r="E2" s="109"/>
    </row>
    <row r="3" spans="1:52">
      <c r="A3" s="99" t="s">
        <v>285</v>
      </c>
      <c r="B3" s="106">
        <v>345</v>
      </c>
      <c r="E3" s="109"/>
    </row>
    <row r="4" spans="1:52">
      <c r="A4" s="101"/>
      <c r="C4" s="110" t="s">
        <v>286</v>
      </c>
    </row>
    <row r="5" spans="1:52">
      <c r="B5" s="105"/>
      <c r="C5" s="111">
        <v>0</v>
      </c>
      <c r="D5" s="111">
        <v>1</v>
      </c>
      <c r="E5" s="111">
        <v>2</v>
      </c>
      <c r="F5" s="111">
        <v>3</v>
      </c>
      <c r="G5" s="111">
        <v>4</v>
      </c>
      <c r="H5" s="111">
        <v>5</v>
      </c>
      <c r="I5" s="111">
        <v>6</v>
      </c>
      <c r="J5" s="111">
        <v>7</v>
      </c>
      <c r="K5" s="111">
        <v>8</v>
      </c>
      <c r="L5" s="111">
        <v>9</v>
      </c>
      <c r="M5" s="111">
        <v>10</v>
      </c>
      <c r="N5" s="111">
        <v>11</v>
      </c>
      <c r="O5" s="111">
        <v>12</v>
      </c>
      <c r="P5" s="111">
        <v>13</v>
      </c>
      <c r="Q5" s="111">
        <v>14</v>
      </c>
      <c r="R5" s="111">
        <v>15</v>
      </c>
      <c r="S5" s="111">
        <v>16</v>
      </c>
      <c r="T5" s="111">
        <v>17</v>
      </c>
      <c r="U5" s="111">
        <v>18</v>
      </c>
      <c r="V5" s="111">
        <v>19</v>
      </c>
      <c r="W5" s="111">
        <v>20</v>
      </c>
      <c r="X5" s="111">
        <v>21</v>
      </c>
      <c r="Y5" s="111">
        <v>22</v>
      </c>
      <c r="Z5" s="111">
        <v>23</v>
      </c>
      <c r="AA5" s="111">
        <v>24</v>
      </c>
      <c r="AB5" s="111">
        <v>25</v>
      </c>
      <c r="AC5" s="111">
        <v>26</v>
      </c>
      <c r="AD5" s="111">
        <v>27</v>
      </c>
      <c r="AE5" s="111">
        <v>28</v>
      </c>
      <c r="AF5" s="111">
        <v>29</v>
      </c>
      <c r="AG5" s="111">
        <v>30</v>
      </c>
      <c r="AH5" s="111">
        <v>31</v>
      </c>
      <c r="AI5" s="111">
        <v>32</v>
      </c>
      <c r="AJ5" s="111">
        <v>33</v>
      </c>
      <c r="AK5" s="111">
        <v>34</v>
      </c>
      <c r="AL5" s="111">
        <v>35</v>
      </c>
      <c r="AM5" s="111">
        <v>36</v>
      </c>
      <c r="AN5" s="111">
        <v>37</v>
      </c>
      <c r="AO5" s="111">
        <v>38</v>
      </c>
      <c r="AP5" s="111">
        <v>39</v>
      </c>
      <c r="AQ5" s="111">
        <v>40</v>
      </c>
      <c r="AR5" s="111">
        <v>41</v>
      </c>
      <c r="AS5" s="111">
        <v>42</v>
      </c>
      <c r="AT5" s="111">
        <v>43</v>
      </c>
      <c r="AU5" s="111">
        <v>44</v>
      </c>
      <c r="AV5" s="111">
        <v>45</v>
      </c>
      <c r="AW5" s="111">
        <v>46</v>
      </c>
      <c r="AX5" s="111">
        <v>47</v>
      </c>
      <c r="AY5" s="111">
        <v>48</v>
      </c>
    </row>
    <row r="6" spans="1:52">
      <c r="A6" s="101" t="s">
        <v>303</v>
      </c>
      <c r="B6" s="113"/>
      <c r="C6" s="112" t="s">
        <v>287</v>
      </c>
      <c r="D6" s="111" t="s">
        <v>288</v>
      </c>
      <c r="E6" s="111" t="s">
        <v>288</v>
      </c>
      <c r="F6" s="111" t="s">
        <v>288</v>
      </c>
      <c r="G6" s="111" t="s">
        <v>288</v>
      </c>
      <c r="H6" s="111" t="s">
        <v>288</v>
      </c>
      <c r="I6" s="111" t="s">
        <v>288</v>
      </c>
      <c r="J6" s="111" t="s">
        <v>288</v>
      </c>
      <c r="K6" s="111" t="s">
        <v>288</v>
      </c>
      <c r="L6" s="111" t="s">
        <v>288</v>
      </c>
      <c r="M6" s="111" t="s">
        <v>288</v>
      </c>
      <c r="N6" s="111" t="s">
        <v>288</v>
      </c>
      <c r="O6" s="111" t="s">
        <v>288</v>
      </c>
      <c r="P6" s="111" t="s">
        <v>288</v>
      </c>
      <c r="Q6" s="111" t="s">
        <v>288</v>
      </c>
      <c r="R6" s="111" t="s">
        <v>288</v>
      </c>
      <c r="S6" s="111" t="s">
        <v>288</v>
      </c>
      <c r="T6" s="111" t="s">
        <v>288</v>
      </c>
      <c r="U6" s="111" t="s">
        <v>288</v>
      </c>
      <c r="V6" s="111" t="s">
        <v>288</v>
      </c>
      <c r="W6" s="111" t="s">
        <v>288</v>
      </c>
      <c r="X6" s="111" t="s">
        <v>288</v>
      </c>
      <c r="Y6" s="111" t="s">
        <v>288</v>
      </c>
      <c r="Z6" s="111" t="s">
        <v>288</v>
      </c>
      <c r="AA6" s="111" t="s">
        <v>288</v>
      </c>
      <c r="AB6" s="111" t="s">
        <v>288</v>
      </c>
      <c r="AC6" s="111" t="s">
        <v>288</v>
      </c>
      <c r="AD6" s="111" t="s">
        <v>288</v>
      </c>
      <c r="AE6" s="111" t="s">
        <v>288</v>
      </c>
      <c r="AF6" s="111" t="s">
        <v>288</v>
      </c>
      <c r="AG6" s="111" t="s">
        <v>288</v>
      </c>
      <c r="AH6" s="111" t="s">
        <v>288</v>
      </c>
      <c r="AI6" s="111" t="s">
        <v>288</v>
      </c>
      <c r="AJ6" s="111" t="s">
        <v>288</v>
      </c>
      <c r="AK6" s="111" t="s">
        <v>288</v>
      </c>
      <c r="AL6" s="111" t="s">
        <v>288</v>
      </c>
      <c r="AM6" s="111" t="s">
        <v>288</v>
      </c>
      <c r="AN6" s="111" t="s">
        <v>288</v>
      </c>
      <c r="AO6" s="111" t="s">
        <v>288</v>
      </c>
      <c r="AP6" s="111" t="s">
        <v>288</v>
      </c>
      <c r="AQ6" s="111" t="s">
        <v>288</v>
      </c>
      <c r="AR6" s="111" t="s">
        <v>288</v>
      </c>
      <c r="AS6" s="111" t="s">
        <v>288</v>
      </c>
      <c r="AT6" s="111" t="s">
        <v>288</v>
      </c>
      <c r="AU6" s="111" t="s">
        <v>288</v>
      </c>
      <c r="AV6" s="111" t="s">
        <v>288</v>
      </c>
      <c r="AW6" s="111" t="s">
        <v>288</v>
      </c>
      <c r="AX6" s="111" t="s">
        <v>288</v>
      </c>
      <c r="AY6" s="110" t="s">
        <v>289</v>
      </c>
      <c r="AZ6" s="141" t="s">
        <v>150</v>
      </c>
    </row>
    <row r="7" spans="1:52">
      <c r="A7" s="114" t="s">
        <v>125</v>
      </c>
      <c r="B7" s="142">
        <v>1</v>
      </c>
      <c r="C7" s="143" t="s">
        <v>292</v>
      </c>
      <c r="D7" s="143">
        <v>310.500765</v>
      </c>
      <c r="E7" s="143">
        <v>310.500765</v>
      </c>
      <c r="F7" s="143">
        <v>310.500765</v>
      </c>
      <c r="G7" s="143">
        <v>310.500765</v>
      </c>
      <c r="H7" s="143">
        <v>310.500765</v>
      </c>
      <c r="I7" s="143">
        <v>310.500765</v>
      </c>
      <c r="J7" s="143">
        <v>310.500765</v>
      </c>
      <c r="K7" s="143">
        <v>310.500765</v>
      </c>
      <c r="L7" s="143">
        <v>345.00085000000001</v>
      </c>
      <c r="M7" s="143">
        <v>345.00085000000001</v>
      </c>
      <c r="N7" s="143">
        <v>345.00085000000001</v>
      </c>
      <c r="O7" s="143">
        <v>345.00085000000001</v>
      </c>
      <c r="P7" s="143">
        <v>310.500765</v>
      </c>
      <c r="Q7" s="143">
        <v>310.500765</v>
      </c>
      <c r="R7" s="143">
        <v>310.500765</v>
      </c>
      <c r="S7" s="143">
        <v>310.500765</v>
      </c>
      <c r="T7" s="143">
        <v>310.500765</v>
      </c>
      <c r="U7" s="143">
        <v>310.500765</v>
      </c>
      <c r="V7" s="143">
        <v>310.500765</v>
      </c>
      <c r="W7" s="143">
        <v>310.500765</v>
      </c>
      <c r="X7" s="143">
        <v>379.50093500000003</v>
      </c>
      <c r="Y7" s="143">
        <v>379.50093500000003</v>
      </c>
      <c r="Z7" s="143">
        <v>379.50093500000003</v>
      </c>
      <c r="AA7" s="143">
        <v>379.50093500000003</v>
      </c>
      <c r="AB7" s="143">
        <v>345.00085000000001</v>
      </c>
      <c r="AC7" s="143">
        <v>345.00085000000001</v>
      </c>
      <c r="AD7" s="143">
        <v>345.00085000000001</v>
      </c>
      <c r="AE7" s="143">
        <v>345.00085000000001</v>
      </c>
      <c r="AF7" s="143">
        <v>345.00085000000001</v>
      </c>
      <c r="AG7" s="143">
        <v>345.00085000000001</v>
      </c>
      <c r="AH7" s="143">
        <v>345.00085000000001</v>
      </c>
      <c r="AI7" s="143">
        <v>345.00085000000001</v>
      </c>
      <c r="AJ7" s="143">
        <v>345.00085000000001</v>
      </c>
      <c r="AK7" s="143">
        <v>345.00085000000001</v>
      </c>
      <c r="AL7" s="143">
        <v>345.00085000000001</v>
      </c>
      <c r="AM7" s="143">
        <v>345.00085000000001</v>
      </c>
      <c r="AN7" s="143">
        <v>379.50093500000003</v>
      </c>
      <c r="AO7" s="143">
        <v>379.50093500000003</v>
      </c>
      <c r="AP7" s="143">
        <v>379.50093500000003</v>
      </c>
      <c r="AQ7" s="143">
        <v>379.50093500000003</v>
      </c>
      <c r="AR7" s="143">
        <v>345.00085000000001</v>
      </c>
      <c r="AS7" s="143">
        <v>345.00085000000001</v>
      </c>
      <c r="AT7" s="143">
        <v>345.00085000000001</v>
      </c>
      <c r="AU7" s="143">
        <v>345.00085000000001</v>
      </c>
      <c r="AV7" s="143">
        <v>345.00085000000001</v>
      </c>
      <c r="AW7" s="143">
        <v>345.00085000000001</v>
      </c>
      <c r="AX7" s="143">
        <v>345.00085000000001</v>
      </c>
      <c r="AY7" s="143">
        <v>345.00085000000001</v>
      </c>
      <c r="AZ7" s="105"/>
    </row>
    <row r="8" spans="1:52">
      <c r="A8" s="144"/>
      <c r="B8" s="145"/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44"/>
      <c r="AV8" s="144"/>
      <c r="AW8" s="144"/>
      <c r="AX8" s="144"/>
      <c r="AY8" s="144"/>
      <c r="AZ8" s="146"/>
    </row>
    <row r="9" spans="1:52">
      <c r="A9" s="101" t="s">
        <v>293</v>
      </c>
      <c r="B9" s="147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</row>
    <row r="10" spans="1:52">
      <c r="A10" s="148" t="s">
        <v>125</v>
      </c>
      <c r="B10" s="149">
        <v>1</v>
      </c>
      <c r="C10" s="143" t="s">
        <v>292</v>
      </c>
      <c r="D10" s="143">
        <f t="shared" ref="D10:AY10" si="0">MAX(SUM(D$14:D$16)+D$7-$B$3,0)</f>
        <v>0</v>
      </c>
      <c r="E10" s="143">
        <f t="shared" si="0"/>
        <v>276.00153</v>
      </c>
      <c r="F10" s="143">
        <f t="shared" si="0"/>
        <v>0</v>
      </c>
      <c r="G10" s="143">
        <f t="shared" si="0"/>
        <v>0</v>
      </c>
      <c r="H10" s="143">
        <f t="shared" si="0"/>
        <v>0</v>
      </c>
      <c r="I10" s="143">
        <f t="shared" si="0"/>
        <v>0</v>
      </c>
      <c r="J10" s="143">
        <f t="shared" si="0"/>
        <v>0</v>
      </c>
      <c r="K10" s="143">
        <f t="shared" si="0"/>
        <v>0</v>
      </c>
      <c r="L10" s="143">
        <f t="shared" si="0"/>
        <v>8.5000000001400622E-4</v>
      </c>
      <c r="M10" s="143">
        <f t="shared" si="0"/>
        <v>8.5000000001400622E-4</v>
      </c>
      <c r="N10" s="143">
        <f t="shared" si="0"/>
        <v>8.5000000001400622E-4</v>
      </c>
      <c r="O10" s="143">
        <f t="shared" si="0"/>
        <v>8.5000000001400622E-4</v>
      </c>
      <c r="P10" s="143">
        <f t="shared" si="0"/>
        <v>0</v>
      </c>
      <c r="Q10" s="143">
        <f t="shared" si="0"/>
        <v>0</v>
      </c>
      <c r="R10" s="143">
        <f t="shared" si="0"/>
        <v>0</v>
      </c>
      <c r="S10" s="143">
        <f t="shared" si="0"/>
        <v>0</v>
      </c>
      <c r="T10" s="143">
        <f t="shared" si="0"/>
        <v>0</v>
      </c>
      <c r="U10" s="143">
        <f t="shared" si="0"/>
        <v>0</v>
      </c>
      <c r="V10" s="143">
        <f t="shared" si="0"/>
        <v>0</v>
      </c>
      <c r="W10" s="143">
        <f t="shared" si="0"/>
        <v>0</v>
      </c>
      <c r="X10" s="143">
        <f t="shared" si="0"/>
        <v>34.500935000000027</v>
      </c>
      <c r="Y10" s="143">
        <f t="shared" si="0"/>
        <v>34.500935000000027</v>
      </c>
      <c r="Z10" s="143">
        <f t="shared" si="0"/>
        <v>34.500935000000027</v>
      </c>
      <c r="AA10" s="143">
        <f t="shared" si="0"/>
        <v>34.500935000000027</v>
      </c>
      <c r="AB10" s="143">
        <f t="shared" si="0"/>
        <v>8.5000000001400622E-4</v>
      </c>
      <c r="AC10" s="143">
        <f t="shared" si="0"/>
        <v>8.5000000001400622E-4</v>
      </c>
      <c r="AD10" s="143">
        <f t="shared" si="0"/>
        <v>8.5000000001400622E-4</v>
      </c>
      <c r="AE10" s="143">
        <f t="shared" si="0"/>
        <v>8.5000000001400622E-4</v>
      </c>
      <c r="AF10" s="143">
        <f t="shared" si="0"/>
        <v>8.5000000001400622E-4</v>
      </c>
      <c r="AG10" s="143">
        <f t="shared" si="0"/>
        <v>8.5000000001400622E-4</v>
      </c>
      <c r="AH10" s="143">
        <f t="shared" si="0"/>
        <v>8.5000000001400622E-4</v>
      </c>
      <c r="AI10" s="143">
        <f t="shared" si="0"/>
        <v>8.5000000001400622E-4</v>
      </c>
      <c r="AJ10" s="143">
        <f t="shared" si="0"/>
        <v>8.5000000001400622E-4</v>
      </c>
      <c r="AK10" s="143">
        <f t="shared" si="0"/>
        <v>8.5000000001400622E-4</v>
      </c>
      <c r="AL10" s="143">
        <f t="shared" si="0"/>
        <v>8.5000000001400622E-4</v>
      </c>
      <c r="AM10" s="143">
        <f t="shared" si="0"/>
        <v>8.5000000001400622E-4</v>
      </c>
      <c r="AN10" s="143">
        <f t="shared" si="0"/>
        <v>34.500935000000027</v>
      </c>
      <c r="AO10" s="143">
        <f t="shared" si="0"/>
        <v>34.500935000000027</v>
      </c>
      <c r="AP10" s="143">
        <f t="shared" si="0"/>
        <v>34.500935000000027</v>
      </c>
      <c r="AQ10" s="143">
        <f t="shared" si="0"/>
        <v>34.500935000000027</v>
      </c>
      <c r="AR10" s="143">
        <f t="shared" si="0"/>
        <v>8.5000000001400622E-4</v>
      </c>
      <c r="AS10" s="143">
        <f t="shared" si="0"/>
        <v>8.5000000001400622E-4</v>
      </c>
      <c r="AT10" s="143">
        <f t="shared" si="0"/>
        <v>8.5000000001400622E-4</v>
      </c>
      <c r="AU10" s="143">
        <f t="shared" si="0"/>
        <v>8.5000000001400622E-4</v>
      </c>
      <c r="AV10" s="143">
        <f t="shared" si="0"/>
        <v>8.5000000001400622E-4</v>
      </c>
      <c r="AW10" s="143">
        <f t="shared" si="0"/>
        <v>8.5000000001400622E-4</v>
      </c>
      <c r="AX10" s="143">
        <f t="shared" si="0"/>
        <v>8.5000000001400622E-4</v>
      </c>
      <c r="AY10" s="143">
        <f t="shared" si="0"/>
        <v>8.5000000001400622E-4</v>
      </c>
      <c r="AZ10" s="150">
        <f>SUM($D10:$AY10)</f>
        <v>552.02941000000055</v>
      </c>
    </row>
    <row r="11" spans="1:52">
      <c r="C11" s="109"/>
    </row>
    <row r="12" spans="1:52">
      <c r="A12" s="151" t="s">
        <v>294</v>
      </c>
      <c r="B12" s="145"/>
      <c r="C12" s="109"/>
    </row>
    <row r="13" spans="1:52">
      <c r="A13" s="121" t="s">
        <v>125</v>
      </c>
      <c r="B13" s="122">
        <v>1</v>
      </c>
      <c r="C13" s="123"/>
      <c r="D13" s="137">
        <f t="shared" ref="D13:AY13" si="1">D$7-D$10</f>
        <v>310.500765</v>
      </c>
      <c r="E13" s="137">
        <f t="shared" si="1"/>
        <v>34.499234999999999</v>
      </c>
      <c r="F13" s="137">
        <f t="shared" si="1"/>
        <v>310.500765</v>
      </c>
      <c r="G13" s="137">
        <f t="shared" si="1"/>
        <v>310.500765</v>
      </c>
      <c r="H13" s="137">
        <f t="shared" si="1"/>
        <v>310.500765</v>
      </c>
      <c r="I13" s="137">
        <f t="shared" si="1"/>
        <v>310.500765</v>
      </c>
      <c r="J13" s="137">
        <f t="shared" si="1"/>
        <v>310.500765</v>
      </c>
      <c r="K13" s="137">
        <f t="shared" si="1"/>
        <v>310.500765</v>
      </c>
      <c r="L13" s="137">
        <f t="shared" si="1"/>
        <v>345</v>
      </c>
      <c r="M13" s="137">
        <f t="shared" si="1"/>
        <v>345</v>
      </c>
      <c r="N13" s="137">
        <f t="shared" si="1"/>
        <v>345</v>
      </c>
      <c r="O13" s="137">
        <f t="shared" si="1"/>
        <v>345</v>
      </c>
      <c r="P13" s="137">
        <f t="shared" si="1"/>
        <v>310.500765</v>
      </c>
      <c r="Q13" s="137">
        <f t="shared" si="1"/>
        <v>310.500765</v>
      </c>
      <c r="R13" s="137">
        <f t="shared" si="1"/>
        <v>310.500765</v>
      </c>
      <c r="S13" s="137">
        <f t="shared" si="1"/>
        <v>310.500765</v>
      </c>
      <c r="T13" s="137">
        <f t="shared" si="1"/>
        <v>310.500765</v>
      </c>
      <c r="U13" s="137">
        <f t="shared" si="1"/>
        <v>310.500765</v>
      </c>
      <c r="V13" s="137">
        <f t="shared" si="1"/>
        <v>310.500765</v>
      </c>
      <c r="W13" s="137">
        <f t="shared" si="1"/>
        <v>310.500765</v>
      </c>
      <c r="X13" s="137">
        <f t="shared" si="1"/>
        <v>345</v>
      </c>
      <c r="Y13" s="137">
        <f t="shared" si="1"/>
        <v>345</v>
      </c>
      <c r="Z13" s="137">
        <f t="shared" si="1"/>
        <v>345</v>
      </c>
      <c r="AA13" s="137">
        <f t="shared" si="1"/>
        <v>345</v>
      </c>
      <c r="AB13" s="137">
        <f t="shared" si="1"/>
        <v>345</v>
      </c>
      <c r="AC13" s="137">
        <f t="shared" si="1"/>
        <v>345</v>
      </c>
      <c r="AD13" s="137">
        <f t="shared" si="1"/>
        <v>345</v>
      </c>
      <c r="AE13" s="137">
        <f t="shared" si="1"/>
        <v>345</v>
      </c>
      <c r="AF13" s="137">
        <f t="shared" si="1"/>
        <v>345</v>
      </c>
      <c r="AG13" s="137">
        <f t="shared" si="1"/>
        <v>345</v>
      </c>
      <c r="AH13" s="137">
        <f t="shared" si="1"/>
        <v>345</v>
      </c>
      <c r="AI13" s="137">
        <f t="shared" si="1"/>
        <v>345</v>
      </c>
      <c r="AJ13" s="137">
        <f t="shared" si="1"/>
        <v>345</v>
      </c>
      <c r="AK13" s="137">
        <f t="shared" si="1"/>
        <v>345</v>
      </c>
      <c r="AL13" s="137">
        <f t="shared" si="1"/>
        <v>345</v>
      </c>
      <c r="AM13" s="137">
        <f t="shared" si="1"/>
        <v>345</v>
      </c>
      <c r="AN13" s="137">
        <f t="shared" si="1"/>
        <v>345</v>
      </c>
      <c r="AO13" s="137">
        <f t="shared" si="1"/>
        <v>345</v>
      </c>
      <c r="AP13" s="137">
        <f t="shared" si="1"/>
        <v>345</v>
      </c>
      <c r="AQ13" s="137">
        <f t="shared" si="1"/>
        <v>345</v>
      </c>
      <c r="AR13" s="137">
        <f t="shared" si="1"/>
        <v>345</v>
      </c>
      <c r="AS13" s="137">
        <f t="shared" si="1"/>
        <v>345</v>
      </c>
      <c r="AT13" s="137">
        <f t="shared" si="1"/>
        <v>345</v>
      </c>
      <c r="AU13" s="137">
        <f t="shared" si="1"/>
        <v>345</v>
      </c>
      <c r="AV13" s="137">
        <f t="shared" si="1"/>
        <v>345</v>
      </c>
      <c r="AW13" s="137">
        <f t="shared" si="1"/>
        <v>345</v>
      </c>
      <c r="AX13" s="137">
        <f t="shared" si="1"/>
        <v>345</v>
      </c>
      <c r="AY13" s="137">
        <f t="shared" si="1"/>
        <v>345</v>
      </c>
      <c r="AZ13" s="108"/>
    </row>
    <row r="14" spans="1:52">
      <c r="A14" s="109"/>
      <c r="B14" s="119">
        <v>2</v>
      </c>
      <c r="C14" s="109"/>
      <c r="D14" s="105">
        <f>IF(C$20="Yes",C13,0)</f>
        <v>0</v>
      </c>
      <c r="E14" s="105">
        <f t="shared" ref="E14:AY17" si="2">IF(D$20="Yes",D13,0)</f>
        <v>310.500765</v>
      </c>
      <c r="F14" s="105">
        <f t="shared" si="2"/>
        <v>0</v>
      </c>
      <c r="G14" s="105">
        <f t="shared" si="2"/>
        <v>0</v>
      </c>
      <c r="H14" s="105">
        <f t="shared" si="2"/>
        <v>0</v>
      </c>
      <c r="I14" s="105">
        <f t="shared" si="2"/>
        <v>0</v>
      </c>
      <c r="J14" s="105">
        <f t="shared" si="2"/>
        <v>0</v>
      </c>
      <c r="K14" s="105">
        <f t="shared" si="2"/>
        <v>0</v>
      </c>
      <c r="L14" s="105">
        <f t="shared" si="2"/>
        <v>0</v>
      </c>
      <c r="M14" s="105">
        <f t="shared" si="2"/>
        <v>0</v>
      </c>
      <c r="N14" s="105">
        <f t="shared" si="2"/>
        <v>0</v>
      </c>
      <c r="O14" s="105">
        <f t="shared" si="2"/>
        <v>0</v>
      </c>
      <c r="P14" s="105">
        <f t="shared" si="2"/>
        <v>0</v>
      </c>
      <c r="Q14" s="105">
        <f t="shared" si="2"/>
        <v>0</v>
      </c>
      <c r="R14" s="105">
        <f t="shared" si="2"/>
        <v>0</v>
      </c>
      <c r="S14" s="105">
        <f t="shared" si="2"/>
        <v>0</v>
      </c>
      <c r="T14" s="105">
        <f t="shared" si="2"/>
        <v>0</v>
      </c>
      <c r="U14" s="105">
        <f t="shared" si="2"/>
        <v>0</v>
      </c>
      <c r="V14" s="105">
        <f t="shared" si="2"/>
        <v>0</v>
      </c>
      <c r="W14" s="105">
        <f t="shared" si="2"/>
        <v>0</v>
      </c>
      <c r="X14" s="105">
        <f t="shared" si="2"/>
        <v>0</v>
      </c>
      <c r="Y14" s="105">
        <f t="shared" si="2"/>
        <v>0</v>
      </c>
      <c r="Z14" s="105">
        <f t="shared" si="2"/>
        <v>0</v>
      </c>
      <c r="AA14" s="105">
        <f t="shared" si="2"/>
        <v>0</v>
      </c>
      <c r="AB14" s="105">
        <f t="shared" si="2"/>
        <v>0</v>
      </c>
      <c r="AC14" s="105">
        <f t="shared" si="2"/>
        <v>0</v>
      </c>
      <c r="AD14" s="105">
        <f t="shared" si="2"/>
        <v>0</v>
      </c>
      <c r="AE14" s="105">
        <f t="shared" si="2"/>
        <v>0</v>
      </c>
      <c r="AF14" s="105">
        <f t="shared" si="2"/>
        <v>0</v>
      </c>
      <c r="AG14" s="105">
        <f t="shared" si="2"/>
        <v>0</v>
      </c>
      <c r="AH14" s="105">
        <f t="shared" si="2"/>
        <v>0</v>
      </c>
      <c r="AI14" s="105">
        <f t="shared" si="2"/>
        <v>0</v>
      </c>
      <c r="AJ14" s="105">
        <f t="shared" si="2"/>
        <v>0</v>
      </c>
      <c r="AK14" s="105">
        <f t="shared" si="2"/>
        <v>0</v>
      </c>
      <c r="AL14" s="105">
        <f t="shared" si="2"/>
        <v>0</v>
      </c>
      <c r="AM14" s="105">
        <f t="shared" si="2"/>
        <v>0</v>
      </c>
      <c r="AN14" s="105">
        <f t="shared" si="2"/>
        <v>0</v>
      </c>
      <c r="AO14" s="105">
        <f t="shared" si="2"/>
        <v>0</v>
      </c>
      <c r="AP14" s="105">
        <f t="shared" si="2"/>
        <v>0</v>
      </c>
      <c r="AQ14" s="105">
        <f t="shared" si="2"/>
        <v>0</v>
      </c>
      <c r="AR14" s="105">
        <f t="shared" si="2"/>
        <v>0</v>
      </c>
      <c r="AS14" s="105">
        <f t="shared" si="2"/>
        <v>0</v>
      </c>
      <c r="AT14" s="105">
        <f t="shared" si="2"/>
        <v>0</v>
      </c>
      <c r="AU14" s="105">
        <f t="shared" si="2"/>
        <v>0</v>
      </c>
      <c r="AV14" s="105">
        <f t="shared" si="2"/>
        <v>0</v>
      </c>
      <c r="AW14" s="105">
        <f t="shared" si="2"/>
        <v>0</v>
      </c>
      <c r="AX14" s="105">
        <f t="shared" si="2"/>
        <v>0</v>
      </c>
      <c r="AY14" s="105">
        <f t="shared" si="2"/>
        <v>0</v>
      </c>
      <c r="AZ14" s="108"/>
    </row>
    <row r="15" spans="1:52">
      <c r="A15" s="109"/>
      <c r="B15" s="126">
        <v>3</v>
      </c>
      <c r="C15" s="109"/>
      <c r="D15" s="105">
        <f>IF(C$20="Yes",C14,0)</f>
        <v>0</v>
      </c>
      <c r="E15" s="105">
        <f t="shared" si="2"/>
        <v>0</v>
      </c>
      <c r="F15" s="105">
        <f t="shared" si="2"/>
        <v>0</v>
      </c>
      <c r="G15" s="105">
        <f t="shared" si="2"/>
        <v>0</v>
      </c>
      <c r="H15" s="105">
        <f t="shared" si="2"/>
        <v>0</v>
      </c>
      <c r="I15" s="105">
        <f t="shared" si="2"/>
        <v>0</v>
      </c>
      <c r="J15" s="105">
        <f t="shared" si="2"/>
        <v>0</v>
      </c>
      <c r="K15" s="105">
        <f t="shared" si="2"/>
        <v>0</v>
      </c>
      <c r="L15" s="105">
        <f t="shared" si="2"/>
        <v>0</v>
      </c>
      <c r="M15" s="105">
        <f t="shared" si="2"/>
        <v>0</v>
      </c>
      <c r="N15" s="105">
        <f t="shared" si="2"/>
        <v>0</v>
      </c>
      <c r="O15" s="105">
        <f t="shared" si="2"/>
        <v>0</v>
      </c>
      <c r="P15" s="105">
        <f t="shared" si="2"/>
        <v>0</v>
      </c>
      <c r="Q15" s="105">
        <f t="shared" si="2"/>
        <v>0</v>
      </c>
      <c r="R15" s="105">
        <f t="shared" si="2"/>
        <v>0</v>
      </c>
      <c r="S15" s="105">
        <f t="shared" si="2"/>
        <v>0</v>
      </c>
      <c r="T15" s="105">
        <f t="shared" si="2"/>
        <v>0</v>
      </c>
      <c r="U15" s="105">
        <f t="shared" si="2"/>
        <v>0</v>
      </c>
      <c r="V15" s="105">
        <f t="shared" si="2"/>
        <v>0</v>
      </c>
      <c r="W15" s="105">
        <f t="shared" si="2"/>
        <v>0</v>
      </c>
      <c r="X15" s="105">
        <f t="shared" si="2"/>
        <v>0</v>
      </c>
      <c r="Y15" s="105">
        <f t="shared" si="2"/>
        <v>0</v>
      </c>
      <c r="Z15" s="105">
        <f t="shared" si="2"/>
        <v>0</v>
      </c>
      <c r="AA15" s="105">
        <f t="shared" si="2"/>
        <v>0</v>
      </c>
      <c r="AB15" s="105">
        <f t="shared" si="2"/>
        <v>0</v>
      </c>
      <c r="AC15" s="105">
        <f t="shared" si="2"/>
        <v>0</v>
      </c>
      <c r="AD15" s="105">
        <f t="shared" si="2"/>
        <v>0</v>
      </c>
      <c r="AE15" s="105">
        <f t="shared" si="2"/>
        <v>0</v>
      </c>
      <c r="AF15" s="105">
        <f t="shared" si="2"/>
        <v>0</v>
      </c>
      <c r="AG15" s="105">
        <f t="shared" si="2"/>
        <v>0</v>
      </c>
      <c r="AH15" s="105">
        <f t="shared" si="2"/>
        <v>0</v>
      </c>
      <c r="AI15" s="105">
        <f t="shared" si="2"/>
        <v>0</v>
      </c>
      <c r="AJ15" s="105">
        <f t="shared" si="2"/>
        <v>0</v>
      </c>
      <c r="AK15" s="105">
        <f t="shared" si="2"/>
        <v>0</v>
      </c>
      <c r="AL15" s="105">
        <f t="shared" si="2"/>
        <v>0</v>
      </c>
      <c r="AM15" s="105">
        <f t="shared" si="2"/>
        <v>0</v>
      </c>
      <c r="AN15" s="105">
        <f t="shared" si="2"/>
        <v>0</v>
      </c>
      <c r="AO15" s="105">
        <f t="shared" si="2"/>
        <v>0</v>
      </c>
      <c r="AP15" s="105">
        <f t="shared" si="2"/>
        <v>0</v>
      </c>
      <c r="AQ15" s="105">
        <f t="shared" si="2"/>
        <v>0</v>
      </c>
      <c r="AR15" s="105">
        <f t="shared" si="2"/>
        <v>0</v>
      </c>
      <c r="AS15" s="105">
        <f t="shared" si="2"/>
        <v>0</v>
      </c>
      <c r="AT15" s="105">
        <f t="shared" si="2"/>
        <v>0</v>
      </c>
      <c r="AU15" s="105">
        <f t="shared" si="2"/>
        <v>0</v>
      </c>
      <c r="AV15" s="105">
        <f t="shared" si="2"/>
        <v>0</v>
      </c>
      <c r="AW15" s="105">
        <f t="shared" si="2"/>
        <v>0</v>
      </c>
      <c r="AX15" s="105">
        <f t="shared" si="2"/>
        <v>0</v>
      </c>
      <c r="AY15" s="105">
        <f t="shared" si="2"/>
        <v>0</v>
      </c>
      <c r="AZ15" s="108"/>
    </row>
    <row r="16" spans="1:52">
      <c r="A16" s="109"/>
      <c r="B16" s="129">
        <v>4</v>
      </c>
      <c r="C16" s="109"/>
      <c r="D16" s="105">
        <f>IF(C$20="Yes",C15,0)</f>
        <v>0</v>
      </c>
      <c r="E16" s="105">
        <f t="shared" si="2"/>
        <v>0</v>
      </c>
      <c r="F16" s="105">
        <f t="shared" si="2"/>
        <v>0</v>
      </c>
      <c r="G16" s="105">
        <f t="shared" si="2"/>
        <v>0</v>
      </c>
      <c r="H16" s="105">
        <f t="shared" si="2"/>
        <v>0</v>
      </c>
      <c r="I16" s="105">
        <f t="shared" si="2"/>
        <v>0</v>
      </c>
      <c r="J16" s="105">
        <f t="shared" si="2"/>
        <v>0</v>
      </c>
      <c r="K16" s="105">
        <f t="shared" si="2"/>
        <v>0</v>
      </c>
      <c r="L16" s="105">
        <f t="shared" si="2"/>
        <v>0</v>
      </c>
      <c r="M16" s="105">
        <f t="shared" si="2"/>
        <v>0</v>
      </c>
      <c r="N16" s="105">
        <f t="shared" si="2"/>
        <v>0</v>
      </c>
      <c r="O16" s="105">
        <f t="shared" si="2"/>
        <v>0</v>
      </c>
      <c r="P16" s="105">
        <f t="shared" si="2"/>
        <v>0</v>
      </c>
      <c r="Q16" s="105">
        <f t="shared" si="2"/>
        <v>0</v>
      </c>
      <c r="R16" s="105">
        <f t="shared" si="2"/>
        <v>0</v>
      </c>
      <c r="S16" s="105">
        <f t="shared" si="2"/>
        <v>0</v>
      </c>
      <c r="T16" s="105">
        <f t="shared" si="2"/>
        <v>0</v>
      </c>
      <c r="U16" s="105">
        <f t="shared" si="2"/>
        <v>0</v>
      </c>
      <c r="V16" s="105">
        <f t="shared" si="2"/>
        <v>0</v>
      </c>
      <c r="W16" s="105">
        <f t="shared" si="2"/>
        <v>0</v>
      </c>
      <c r="X16" s="105">
        <f t="shared" si="2"/>
        <v>0</v>
      </c>
      <c r="Y16" s="105">
        <f t="shared" si="2"/>
        <v>0</v>
      </c>
      <c r="Z16" s="105">
        <f t="shared" si="2"/>
        <v>0</v>
      </c>
      <c r="AA16" s="105">
        <f t="shared" si="2"/>
        <v>0</v>
      </c>
      <c r="AB16" s="105">
        <f t="shared" si="2"/>
        <v>0</v>
      </c>
      <c r="AC16" s="105">
        <f t="shared" si="2"/>
        <v>0</v>
      </c>
      <c r="AD16" s="105">
        <f t="shared" si="2"/>
        <v>0</v>
      </c>
      <c r="AE16" s="105">
        <f t="shared" si="2"/>
        <v>0</v>
      </c>
      <c r="AF16" s="105">
        <f t="shared" si="2"/>
        <v>0</v>
      </c>
      <c r="AG16" s="105">
        <f t="shared" si="2"/>
        <v>0</v>
      </c>
      <c r="AH16" s="105">
        <f t="shared" si="2"/>
        <v>0</v>
      </c>
      <c r="AI16" s="105">
        <f t="shared" si="2"/>
        <v>0</v>
      </c>
      <c r="AJ16" s="105">
        <f t="shared" si="2"/>
        <v>0</v>
      </c>
      <c r="AK16" s="105">
        <f t="shared" si="2"/>
        <v>0</v>
      </c>
      <c r="AL16" s="105">
        <f t="shared" si="2"/>
        <v>0</v>
      </c>
      <c r="AM16" s="105">
        <f t="shared" si="2"/>
        <v>0</v>
      </c>
      <c r="AN16" s="105">
        <f t="shared" si="2"/>
        <v>0</v>
      </c>
      <c r="AO16" s="105">
        <f t="shared" si="2"/>
        <v>0</v>
      </c>
      <c r="AP16" s="105">
        <f t="shared" si="2"/>
        <v>0</v>
      </c>
      <c r="AQ16" s="105">
        <f t="shared" si="2"/>
        <v>0</v>
      </c>
      <c r="AR16" s="105">
        <f t="shared" si="2"/>
        <v>0</v>
      </c>
      <c r="AS16" s="105">
        <f t="shared" si="2"/>
        <v>0</v>
      </c>
      <c r="AT16" s="105">
        <f t="shared" si="2"/>
        <v>0</v>
      </c>
      <c r="AU16" s="105">
        <f t="shared" si="2"/>
        <v>0</v>
      </c>
      <c r="AV16" s="105">
        <f t="shared" si="2"/>
        <v>0</v>
      </c>
      <c r="AW16" s="105">
        <f t="shared" si="2"/>
        <v>0</v>
      </c>
      <c r="AX16" s="105">
        <f t="shared" si="2"/>
        <v>0</v>
      </c>
      <c r="AY16" s="105">
        <f t="shared" si="2"/>
        <v>0</v>
      </c>
      <c r="AZ16" s="127"/>
    </row>
    <row r="17" spans="1:52">
      <c r="A17" s="124"/>
      <c r="B17" s="131" t="s">
        <v>295</v>
      </c>
      <c r="C17" s="124"/>
      <c r="D17" s="113">
        <f>IF(C$20="Yes",C16,0)</f>
        <v>0</v>
      </c>
      <c r="E17" s="113">
        <f t="shared" si="2"/>
        <v>0</v>
      </c>
      <c r="F17" s="113">
        <f t="shared" si="2"/>
        <v>0</v>
      </c>
      <c r="G17" s="113">
        <f t="shared" si="2"/>
        <v>0</v>
      </c>
      <c r="H17" s="113">
        <f t="shared" si="2"/>
        <v>0</v>
      </c>
      <c r="I17" s="113">
        <f t="shared" si="2"/>
        <v>0</v>
      </c>
      <c r="J17" s="113">
        <f t="shared" si="2"/>
        <v>0</v>
      </c>
      <c r="K17" s="113">
        <f t="shared" si="2"/>
        <v>0</v>
      </c>
      <c r="L17" s="113">
        <f t="shared" si="2"/>
        <v>0</v>
      </c>
      <c r="M17" s="113">
        <f t="shared" si="2"/>
        <v>0</v>
      </c>
      <c r="N17" s="113">
        <f t="shared" si="2"/>
        <v>0</v>
      </c>
      <c r="O17" s="113">
        <f t="shared" si="2"/>
        <v>0</v>
      </c>
      <c r="P17" s="113">
        <f t="shared" si="2"/>
        <v>0</v>
      </c>
      <c r="Q17" s="113">
        <f t="shared" si="2"/>
        <v>0</v>
      </c>
      <c r="R17" s="113">
        <f t="shared" si="2"/>
        <v>0</v>
      </c>
      <c r="S17" s="113">
        <f t="shared" si="2"/>
        <v>0</v>
      </c>
      <c r="T17" s="113">
        <f t="shared" si="2"/>
        <v>0</v>
      </c>
      <c r="U17" s="113">
        <f t="shared" si="2"/>
        <v>0</v>
      </c>
      <c r="V17" s="113">
        <f t="shared" si="2"/>
        <v>0</v>
      </c>
      <c r="W17" s="113">
        <f t="shared" si="2"/>
        <v>0</v>
      </c>
      <c r="X17" s="113">
        <f t="shared" si="2"/>
        <v>0</v>
      </c>
      <c r="Y17" s="113">
        <f t="shared" si="2"/>
        <v>0</v>
      </c>
      <c r="Z17" s="113">
        <f t="shared" si="2"/>
        <v>0</v>
      </c>
      <c r="AA17" s="113">
        <f t="shared" si="2"/>
        <v>0</v>
      </c>
      <c r="AB17" s="113">
        <f t="shared" si="2"/>
        <v>0</v>
      </c>
      <c r="AC17" s="113">
        <f t="shared" si="2"/>
        <v>0</v>
      </c>
      <c r="AD17" s="113">
        <f t="shared" si="2"/>
        <v>0</v>
      </c>
      <c r="AE17" s="113">
        <f t="shared" si="2"/>
        <v>0</v>
      </c>
      <c r="AF17" s="113">
        <f t="shared" si="2"/>
        <v>0</v>
      </c>
      <c r="AG17" s="113">
        <f t="shared" si="2"/>
        <v>0</v>
      </c>
      <c r="AH17" s="113">
        <f t="shared" si="2"/>
        <v>0</v>
      </c>
      <c r="AI17" s="113">
        <f t="shared" si="2"/>
        <v>0</v>
      </c>
      <c r="AJ17" s="113">
        <f t="shared" si="2"/>
        <v>0</v>
      </c>
      <c r="AK17" s="113">
        <f t="shared" si="2"/>
        <v>0</v>
      </c>
      <c r="AL17" s="113">
        <f t="shared" si="2"/>
        <v>0</v>
      </c>
      <c r="AM17" s="113">
        <f t="shared" si="2"/>
        <v>0</v>
      </c>
      <c r="AN17" s="113">
        <f t="shared" si="2"/>
        <v>0</v>
      </c>
      <c r="AO17" s="113">
        <f t="shared" si="2"/>
        <v>0</v>
      </c>
      <c r="AP17" s="113">
        <f t="shared" si="2"/>
        <v>0</v>
      </c>
      <c r="AQ17" s="113">
        <f t="shared" si="2"/>
        <v>0</v>
      </c>
      <c r="AR17" s="113">
        <f t="shared" si="2"/>
        <v>0</v>
      </c>
      <c r="AS17" s="113">
        <f t="shared" si="2"/>
        <v>0</v>
      </c>
      <c r="AT17" s="113">
        <f t="shared" si="2"/>
        <v>0</v>
      </c>
      <c r="AU17" s="113">
        <f t="shared" si="2"/>
        <v>0</v>
      </c>
      <c r="AV17" s="113">
        <f t="shared" si="2"/>
        <v>0</v>
      </c>
      <c r="AW17" s="113">
        <f t="shared" si="2"/>
        <v>0</v>
      </c>
      <c r="AX17" s="113">
        <f t="shared" si="2"/>
        <v>0</v>
      </c>
      <c r="AY17" s="113">
        <f t="shared" si="2"/>
        <v>0</v>
      </c>
      <c r="AZ17" s="150">
        <f>SUM($D$17:$AY$17)</f>
        <v>0</v>
      </c>
    </row>
    <row r="18" spans="1:52">
      <c r="A18" s="105"/>
      <c r="B18" s="152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7"/>
      <c r="S18" s="137"/>
      <c r="T18" s="137"/>
      <c r="U18" s="137"/>
      <c r="V18" s="137"/>
      <c r="W18" s="137"/>
      <c r="X18" s="137"/>
      <c r="Y18" s="137"/>
      <c r="Z18" s="137"/>
      <c r="AA18" s="137"/>
      <c r="AB18" s="137"/>
      <c r="AC18" s="137"/>
      <c r="AD18" s="137"/>
      <c r="AE18" s="137"/>
      <c r="AF18" s="137"/>
      <c r="AG18" s="137"/>
      <c r="AH18" s="137"/>
      <c r="AI18" s="137"/>
      <c r="AJ18" s="137"/>
      <c r="AK18" s="137"/>
      <c r="AL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05"/>
    </row>
    <row r="19" spans="1:52">
      <c r="A19" s="101" t="s">
        <v>116</v>
      </c>
      <c r="B19" s="105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5"/>
      <c r="AI19" s="105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5"/>
    </row>
    <row r="20" spans="1:52" s="109" customFormat="1">
      <c r="A20" s="114" t="s">
        <v>304</v>
      </c>
      <c r="B20" s="153" t="s">
        <v>305</v>
      </c>
      <c r="C20" s="116"/>
      <c r="D20" s="116" t="s">
        <v>338</v>
      </c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116"/>
      <c r="AK20" s="116"/>
      <c r="AL20" s="116"/>
      <c r="AM20" s="116"/>
      <c r="AN20" s="116"/>
      <c r="AO20" s="116"/>
      <c r="AP20" s="116"/>
      <c r="AQ20" s="116"/>
      <c r="AR20" s="116"/>
      <c r="AS20" s="116"/>
      <c r="AT20" s="116"/>
      <c r="AU20" s="116"/>
      <c r="AV20" s="116"/>
      <c r="AW20" s="116"/>
      <c r="AX20" s="116"/>
      <c r="AY20" s="116"/>
      <c r="AZ20" s="106"/>
    </row>
    <row r="21" spans="1:52" s="109" customFormat="1">
      <c r="A21" s="154" t="s">
        <v>133</v>
      </c>
      <c r="B21" s="155">
        <f>shipping_manufacturing!$C$19/100</f>
        <v>0.44372600000000001</v>
      </c>
      <c r="C21" s="155" t="s">
        <v>292</v>
      </c>
      <c r="D21" s="105">
        <f>IF(C$20="Yes",0,SUM(C$13:C$16)*$B$21)</f>
        <v>0</v>
      </c>
      <c r="E21" s="105">
        <f t="shared" ref="E21:AY21" si="3">IF(D$20="Yes",0,SUM(D$13:D$16)*$B$21)</f>
        <v>0</v>
      </c>
      <c r="F21" s="105">
        <f t="shared" si="3"/>
        <v>153.08547000000002</v>
      </c>
      <c r="G21" s="105">
        <f t="shared" si="3"/>
        <v>137.77726245039</v>
      </c>
      <c r="H21" s="105">
        <f t="shared" si="3"/>
        <v>137.77726245039</v>
      </c>
      <c r="I21" s="105">
        <f t="shared" si="3"/>
        <v>137.77726245039</v>
      </c>
      <c r="J21" s="105">
        <f t="shared" si="3"/>
        <v>137.77726245039</v>
      </c>
      <c r="K21" s="105">
        <f t="shared" si="3"/>
        <v>137.77726245039</v>
      </c>
      <c r="L21" s="105">
        <f t="shared" si="3"/>
        <v>137.77726245039</v>
      </c>
      <c r="M21" s="105">
        <f t="shared" si="3"/>
        <v>153.08547000000002</v>
      </c>
      <c r="N21" s="105">
        <f t="shared" si="3"/>
        <v>153.08547000000002</v>
      </c>
      <c r="O21" s="105">
        <f t="shared" si="3"/>
        <v>153.08547000000002</v>
      </c>
      <c r="P21" s="105">
        <f t="shared" si="3"/>
        <v>153.08547000000002</v>
      </c>
      <c r="Q21" s="105">
        <f t="shared" si="3"/>
        <v>137.77726245039</v>
      </c>
      <c r="R21" s="105">
        <f t="shared" si="3"/>
        <v>137.77726245039</v>
      </c>
      <c r="S21" s="105">
        <f t="shared" si="3"/>
        <v>137.77726245039</v>
      </c>
      <c r="T21" s="105">
        <f t="shared" si="3"/>
        <v>137.77726245039</v>
      </c>
      <c r="U21" s="105">
        <f t="shared" si="3"/>
        <v>137.77726245039</v>
      </c>
      <c r="V21" s="105">
        <f t="shared" si="3"/>
        <v>137.77726245039</v>
      </c>
      <c r="W21" s="105">
        <f t="shared" si="3"/>
        <v>137.77726245039</v>
      </c>
      <c r="X21" s="105">
        <f t="shared" si="3"/>
        <v>137.77726245039</v>
      </c>
      <c r="Y21" s="105">
        <f t="shared" si="3"/>
        <v>153.08547000000002</v>
      </c>
      <c r="Z21" s="105">
        <f t="shared" si="3"/>
        <v>153.08547000000002</v>
      </c>
      <c r="AA21" s="105">
        <f t="shared" si="3"/>
        <v>153.08547000000002</v>
      </c>
      <c r="AB21" s="105">
        <f t="shared" si="3"/>
        <v>153.08547000000002</v>
      </c>
      <c r="AC21" s="105">
        <f t="shared" si="3"/>
        <v>153.08547000000002</v>
      </c>
      <c r="AD21" s="105">
        <f t="shared" si="3"/>
        <v>153.08547000000002</v>
      </c>
      <c r="AE21" s="105">
        <f t="shared" si="3"/>
        <v>153.08547000000002</v>
      </c>
      <c r="AF21" s="105">
        <f t="shared" si="3"/>
        <v>153.08547000000002</v>
      </c>
      <c r="AG21" s="105">
        <f t="shared" si="3"/>
        <v>153.08547000000002</v>
      </c>
      <c r="AH21" s="105">
        <f t="shared" si="3"/>
        <v>153.08547000000002</v>
      </c>
      <c r="AI21" s="105">
        <f t="shared" si="3"/>
        <v>153.08547000000002</v>
      </c>
      <c r="AJ21" s="105">
        <f t="shared" si="3"/>
        <v>153.08547000000002</v>
      </c>
      <c r="AK21" s="105">
        <f t="shared" si="3"/>
        <v>153.08547000000002</v>
      </c>
      <c r="AL21" s="105">
        <f t="shared" si="3"/>
        <v>153.08547000000002</v>
      </c>
      <c r="AM21" s="105">
        <f t="shared" si="3"/>
        <v>153.08547000000002</v>
      </c>
      <c r="AN21" s="105">
        <f t="shared" si="3"/>
        <v>153.08547000000002</v>
      </c>
      <c r="AO21" s="105">
        <f t="shared" si="3"/>
        <v>153.08547000000002</v>
      </c>
      <c r="AP21" s="105">
        <f t="shared" si="3"/>
        <v>153.08547000000002</v>
      </c>
      <c r="AQ21" s="105">
        <f t="shared" si="3"/>
        <v>153.08547000000002</v>
      </c>
      <c r="AR21" s="105">
        <f t="shared" si="3"/>
        <v>153.08547000000002</v>
      </c>
      <c r="AS21" s="105">
        <f t="shared" si="3"/>
        <v>153.08547000000002</v>
      </c>
      <c r="AT21" s="105">
        <f t="shared" si="3"/>
        <v>153.08547000000002</v>
      </c>
      <c r="AU21" s="105">
        <f t="shared" si="3"/>
        <v>153.08547000000002</v>
      </c>
      <c r="AV21" s="105">
        <f t="shared" si="3"/>
        <v>153.08547000000002</v>
      </c>
      <c r="AW21" s="105">
        <f t="shared" si="3"/>
        <v>153.08547000000002</v>
      </c>
      <c r="AX21" s="105">
        <f t="shared" si="3"/>
        <v>153.08547000000002</v>
      </c>
      <c r="AY21" s="105">
        <f t="shared" si="3"/>
        <v>153.08547000000002</v>
      </c>
      <c r="AZ21" s="156">
        <f>SUM($D21:$AY21)</f>
        <v>6827.6167143054599</v>
      </c>
    </row>
    <row r="22" spans="1:52" s="109" customFormat="1">
      <c r="A22" s="157" t="s">
        <v>123</v>
      </c>
      <c r="B22" s="158">
        <f>1-$B$21</f>
        <v>0.55627399999999994</v>
      </c>
      <c r="C22" s="158" t="s">
        <v>292</v>
      </c>
      <c r="D22" s="113">
        <f>IF(C$20="Yes",0,SUM(C$13:C$16)*$B$22)</f>
        <v>0</v>
      </c>
      <c r="E22" s="113">
        <f t="shared" ref="E22:AY22" si="4">IF(D$20="Yes",0,SUM(D$13:D$16)*$B$22)</f>
        <v>0</v>
      </c>
      <c r="F22" s="113">
        <f t="shared" si="4"/>
        <v>191.91452999999998</v>
      </c>
      <c r="G22" s="113">
        <f t="shared" si="4"/>
        <v>172.72350254960998</v>
      </c>
      <c r="H22" s="113">
        <f t="shared" si="4"/>
        <v>172.72350254960998</v>
      </c>
      <c r="I22" s="113">
        <f t="shared" si="4"/>
        <v>172.72350254960998</v>
      </c>
      <c r="J22" s="113">
        <f t="shared" si="4"/>
        <v>172.72350254960998</v>
      </c>
      <c r="K22" s="113">
        <f t="shared" si="4"/>
        <v>172.72350254960998</v>
      </c>
      <c r="L22" s="113">
        <f t="shared" si="4"/>
        <v>172.72350254960998</v>
      </c>
      <c r="M22" s="113">
        <f t="shared" si="4"/>
        <v>191.91452999999998</v>
      </c>
      <c r="N22" s="113">
        <f t="shared" si="4"/>
        <v>191.91452999999998</v>
      </c>
      <c r="O22" s="113">
        <f t="shared" si="4"/>
        <v>191.91452999999998</v>
      </c>
      <c r="P22" s="113">
        <f t="shared" si="4"/>
        <v>191.91452999999998</v>
      </c>
      <c r="Q22" s="113">
        <f t="shared" si="4"/>
        <v>172.72350254960998</v>
      </c>
      <c r="R22" s="113">
        <f t="shared" si="4"/>
        <v>172.72350254960998</v>
      </c>
      <c r="S22" s="113">
        <f t="shared" si="4"/>
        <v>172.72350254960998</v>
      </c>
      <c r="T22" s="113">
        <f t="shared" si="4"/>
        <v>172.72350254960998</v>
      </c>
      <c r="U22" s="113">
        <f t="shared" si="4"/>
        <v>172.72350254960998</v>
      </c>
      <c r="V22" s="113">
        <f t="shared" si="4"/>
        <v>172.72350254960998</v>
      </c>
      <c r="W22" s="113">
        <f t="shared" si="4"/>
        <v>172.72350254960998</v>
      </c>
      <c r="X22" s="113">
        <f t="shared" si="4"/>
        <v>172.72350254960998</v>
      </c>
      <c r="Y22" s="113">
        <f t="shared" si="4"/>
        <v>191.91452999999998</v>
      </c>
      <c r="Z22" s="113">
        <f t="shared" si="4"/>
        <v>191.91452999999998</v>
      </c>
      <c r="AA22" s="113">
        <f t="shared" si="4"/>
        <v>191.91452999999998</v>
      </c>
      <c r="AB22" s="113">
        <f t="shared" si="4"/>
        <v>191.91452999999998</v>
      </c>
      <c r="AC22" s="113">
        <f t="shared" si="4"/>
        <v>191.91452999999998</v>
      </c>
      <c r="AD22" s="113">
        <f t="shared" si="4"/>
        <v>191.91452999999998</v>
      </c>
      <c r="AE22" s="113">
        <f t="shared" si="4"/>
        <v>191.91452999999998</v>
      </c>
      <c r="AF22" s="113">
        <f t="shared" si="4"/>
        <v>191.91452999999998</v>
      </c>
      <c r="AG22" s="113">
        <f t="shared" si="4"/>
        <v>191.91452999999998</v>
      </c>
      <c r="AH22" s="113">
        <f t="shared" si="4"/>
        <v>191.91452999999998</v>
      </c>
      <c r="AI22" s="113">
        <f t="shared" si="4"/>
        <v>191.91452999999998</v>
      </c>
      <c r="AJ22" s="113">
        <f t="shared" si="4"/>
        <v>191.91452999999998</v>
      </c>
      <c r="AK22" s="113">
        <f t="shared" si="4"/>
        <v>191.91452999999998</v>
      </c>
      <c r="AL22" s="113">
        <f t="shared" si="4"/>
        <v>191.91452999999998</v>
      </c>
      <c r="AM22" s="113">
        <f t="shared" si="4"/>
        <v>191.91452999999998</v>
      </c>
      <c r="AN22" s="113">
        <f t="shared" si="4"/>
        <v>191.91452999999998</v>
      </c>
      <c r="AO22" s="113">
        <f t="shared" si="4"/>
        <v>191.91452999999998</v>
      </c>
      <c r="AP22" s="113">
        <f t="shared" si="4"/>
        <v>191.91452999999998</v>
      </c>
      <c r="AQ22" s="113">
        <f t="shared" si="4"/>
        <v>191.91452999999998</v>
      </c>
      <c r="AR22" s="113">
        <f t="shared" si="4"/>
        <v>191.91452999999998</v>
      </c>
      <c r="AS22" s="113">
        <f t="shared" si="4"/>
        <v>191.91452999999998</v>
      </c>
      <c r="AT22" s="113">
        <f t="shared" si="4"/>
        <v>191.91452999999998</v>
      </c>
      <c r="AU22" s="113">
        <f t="shared" si="4"/>
        <v>191.91452999999998</v>
      </c>
      <c r="AV22" s="113">
        <f t="shared" si="4"/>
        <v>191.91452999999998</v>
      </c>
      <c r="AW22" s="113">
        <f t="shared" si="4"/>
        <v>191.91452999999998</v>
      </c>
      <c r="AX22" s="113">
        <f t="shared" si="4"/>
        <v>191.91452999999998</v>
      </c>
      <c r="AY22" s="113">
        <f t="shared" si="4"/>
        <v>191.91452999999998</v>
      </c>
      <c r="AZ22" s="140">
        <f t="shared" ref="AZ22:AZ30" si="5">SUM($D22:$AY22)</f>
        <v>8559.3939956945414</v>
      </c>
    </row>
    <row r="23" spans="1:52">
      <c r="A23" s="159" t="s">
        <v>306</v>
      </c>
      <c r="B23" s="123">
        <v>2000</v>
      </c>
      <c r="C23" s="99" t="s">
        <v>292</v>
      </c>
      <c r="D23" s="99">
        <f>D$21*$B$23</f>
        <v>0</v>
      </c>
      <c r="E23" s="99">
        <f t="shared" ref="E23:AY23" si="6">E$21*$B$23</f>
        <v>0</v>
      </c>
      <c r="F23" s="99">
        <f t="shared" si="6"/>
        <v>306170.94</v>
      </c>
      <c r="G23" s="99">
        <f t="shared" si="6"/>
        <v>275554.52490078</v>
      </c>
      <c r="H23" s="99">
        <f t="shared" si="6"/>
        <v>275554.52490078</v>
      </c>
      <c r="I23" s="99">
        <f t="shared" si="6"/>
        <v>275554.52490078</v>
      </c>
      <c r="J23" s="99">
        <f t="shared" si="6"/>
        <v>275554.52490078</v>
      </c>
      <c r="K23" s="99">
        <f t="shared" si="6"/>
        <v>275554.52490078</v>
      </c>
      <c r="L23" s="99">
        <f t="shared" si="6"/>
        <v>275554.52490078</v>
      </c>
      <c r="M23" s="99">
        <f t="shared" si="6"/>
        <v>306170.94</v>
      </c>
      <c r="N23" s="99">
        <f t="shared" si="6"/>
        <v>306170.94</v>
      </c>
      <c r="O23" s="99">
        <f t="shared" si="6"/>
        <v>306170.94</v>
      </c>
      <c r="P23" s="99">
        <f t="shared" si="6"/>
        <v>306170.94</v>
      </c>
      <c r="Q23" s="99">
        <f t="shared" si="6"/>
        <v>275554.52490078</v>
      </c>
      <c r="R23" s="99">
        <f t="shared" si="6"/>
        <v>275554.52490078</v>
      </c>
      <c r="S23" s="99">
        <f t="shared" si="6"/>
        <v>275554.52490078</v>
      </c>
      <c r="T23" s="99">
        <f t="shared" si="6"/>
        <v>275554.52490078</v>
      </c>
      <c r="U23" s="99">
        <f t="shared" si="6"/>
        <v>275554.52490078</v>
      </c>
      <c r="V23" s="99">
        <f t="shared" si="6"/>
        <v>275554.52490078</v>
      </c>
      <c r="W23" s="99">
        <f t="shared" si="6"/>
        <v>275554.52490078</v>
      </c>
      <c r="X23" s="99">
        <f t="shared" si="6"/>
        <v>275554.52490078</v>
      </c>
      <c r="Y23" s="99">
        <f t="shared" si="6"/>
        <v>306170.94</v>
      </c>
      <c r="Z23" s="99">
        <f t="shared" si="6"/>
        <v>306170.94</v>
      </c>
      <c r="AA23" s="99">
        <f t="shared" si="6"/>
        <v>306170.94</v>
      </c>
      <c r="AB23" s="99">
        <f t="shared" si="6"/>
        <v>306170.94</v>
      </c>
      <c r="AC23" s="99">
        <f t="shared" si="6"/>
        <v>306170.94</v>
      </c>
      <c r="AD23" s="99">
        <f t="shared" si="6"/>
        <v>306170.94</v>
      </c>
      <c r="AE23" s="99">
        <f t="shared" si="6"/>
        <v>306170.94</v>
      </c>
      <c r="AF23" s="99">
        <f t="shared" si="6"/>
        <v>306170.94</v>
      </c>
      <c r="AG23" s="99">
        <f t="shared" si="6"/>
        <v>306170.94</v>
      </c>
      <c r="AH23" s="99">
        <f t="shared" si="6"/>
        <v>306170.94</v>
      </c>
      <c r="AI23" s="99">
        <f t="shared" si="6"/>
        <v>306170.94</v>
      </c>
      <c r="AJ23" s="99">
        <f t="shared" si="6"/>
        <v>306170.94</v>
      </c>
      <c r="AK23" s="99">
        <f t="shared" si="6"/>
        <v>306170.94</v>
      </c>
      <c r="AL23" s="99">
        <f t="shared" si="6"/>
        <v>306170.94</v>
      </c>
      <c r="AM23" s="99">
        <f t="shared" si="6"/>
        <v>306170.94</v>
      </c>
      <c r="AN23" s="99">
        <f t="shared" si="6"/>
        <v>306170.94</v>
      </c>
      <c r="AO23" s="99">
        <f t="shared" si="6"/>
        <v>306170.94</v>
      </c>
      <c r="AP23" s="99">
        <f t="shared" si="6"/>
        <v>306170.94</v>
      </c>
      <c r="AQ23" s="99">
        <f t="shared" si="6"/>
        <v>306170.94</v>
      </c>
      <c r="AR23" s="99">
        <f t="shared" si="6"/>
        <v>306170.94</v>
      </c>
      <c r="AS23" s="99">
        <f t="shared" si="6"/>
        <v>306170.94</v>
      </c>
      <c r="AT23" s="99">
        <f t="shared" si="6"/>
        <v>306170.94</v>
      </c>
      <c r="AU23" s="99">
        <f t="shared" si="6"/>
        <v>306170.94</v>
      </c>
      <c r="AV23" s="99">
        <f t="shared" si="6"/>
        <v>306170.94</v>
      </c>
      <c r="AW23" s="99">
        <f t="shared" si="6"/>
        <v>306170.94</v>
      </c>
      <c r="AX23" s="99">
        <f t="shared" si="6"/>
        <v>306170.94</v>
      </c>
      <c r="AY23" s="99">
        <f t="shared" si="6"/>
        <v>306170.94</v>
      </c>
      <c r="AZ23" s="138">
        <f t="shared" si="5"/>
        <v>13655233.428610915</v>
      </c>
    </row>
    <row r="24" spans="1:52" s="109" customFormat="1">
      <c r="A24" s="160" t="s">
        <v>307</v>
      </c>
      <c r="B24" s="161">
        <v>1000</v>
      </c>
      <c r="C24" s="155" t="s">
        <v>292</v>
      </c>
      <c r="D24" s="105">
        <f>D$22*$B$24</f>
        <v>0</v>
      </c>
      <c r="E24" s="105">
        <f t="shared" ref="E24:AY24" si="7">E$22*$B$24</f>
        <v>0</v>
      </c>
      <c r="F24" s="105">
        <f t="shared" si="7"/>
        <v>191914.53</v>
      </c>
      <c r="G24" s="105">
        <f t="shared" si="7"/>
        <v>172723.50254960998</v>
      </c>
      <c r="H24" s="105">
        <f t="shared" si="7"/>
        <v>172723.50254960998</v>
      </c>
      <c r="I24" s="105">
        <f t="shared" si="7"/>
        <v>172723.50254960998</v>
      </c>
      <c r="J24" s="105">
        <f t="shared" si="7"/>
        <v>172723.50254960998</v>
      </c>
      <c r="K24" s="105">
        <f t="shared" si="7"/>
        <v>172723.50254960998</v>
      </c>
      <c r="L24" s="105">
        <f t="shared" si="7"/>
        <v>172723.50254960998</v>
      </c>
      <c r="M24" s="105">
        <f t="shared" si="7"/>
        <v>191914.53</v>
      </c>
      <c r="N24" s="105">
        <f t="shared" si="7"/>
        <v>191914.53</v>
      </c>
      <c r="O24" s="105">
        <f t="shared" si="7"/>
        <v>191914.53</v>
      </c>
      <c r="P24" s="105">
        <f t="shared" si="7"/>
        <v>191914.53</v>
      </c>
      <c r="Q24" s="105">
        <f t="shared" si="7"/>
        <v>172723.50254960998</v>
      </c>
      <c r="R24" s="105">
        <f t="shared" si="7"/>
        <v>172723.50254960998</v>
      </c>
      <c r="S24" s="105">
        <f t="shared" si="7"/>
        <v>172723.50254960998</v>
      </c>
      <c r="T24" s="105">
        <f t="shared" si="7"/>
        <v>172723.50254960998</v>
      </c>
      <c r="U24" s="105">
        <f t="shared" si="7"/>
        <v>172723.50254960998</v>
      </c>
      <c r="V24" s="105">
        <f t="shared" si="7"/>
        <v>172723.50254960998</v>
      </c>
      <c r="W24" s="105">
        <f t="shared" si="7"/>
        <v>172723.50254960998</v>
      </c>
      <c r="X24" s="105">
        <f t="shared" si="7"/>
        <v>172723.50254960998</v>
      </c>
      <c r="Y24" s="105">
        <f t="shared" si="7"/>
        <v>191914.53</v>
      </c>
      <c r="Z24" s="105">
        <f t="shared" si="7"/>
        <v>191914.53</v>
      </c>
      <c r="AA24" s="105">
        <f t="shared" si="7"/>
        <v>191914.53</v>
      </c>
      <c r="AB24" s="105">
        <f t="shared" si="7"/>
        <v>191914.53</v>
      </c>
      <c r="AC24" s="105">
        <f t="shared" si="7"/>
        <v>191914.53</v>
      </c>
      <c r="AD24" s="105">
        <f t="shared" si="7"/>
        <v>191914.53</v>
      </c>
      <c r="AE24" s="105">
        <f t="shared" si="7"/>
        <v>191914.53</v>
      </c>
      <c r="AF24" s="105">
        <f t="shared" si="7"/>
        <v>191914.53</v>
      </c>
      <c r="AG24" s="105">
        <f t="shared" si="7"/>
        <v>191914.53</v>
      </c>
      <c r="AH24" s="105">
        <f t="shared" si="7"/>
        <v>191914.53</v>
      </c>
      <c r="AI24" s="105">
        <f t="shared" si="7"/>
        <v>191914.53</v>
      </c>
      <c r="AJ24" s="105">
        <f t="shared" si="7"/>
        <v>191914.53</v>
      </c>
      <c r="AK24" s="105">
        <f t="shared" si="7"/>
        <v>191914.53</v>
      </c>
      <c r="AL24" s="105">
        <f t="shared" si="7"/>
        <v>191914.53</v>
      </c>
      <c r="AM24" s="105">
        <f t="shared" si="7"/>
        <v>191914.53</v>
      </c>
      <c r="AN24" s="105">
        <f t="shared" si="7"/>
        <v>191914.53</v>
      </c>
      <c r="AO24" s="105">
        <f t="shared" si="7"/>
        <v>191914.53</v>
      </c>
      <c r="AP24" s="105">
        <f t="shared" si="7"/>
        <v>191914.53</v>
      </c>
      <c r="AQ24" s="105">
        <f t="shared" si="7"/>
        <v>191914.53</v>
      </c>
      <c r="AR24" s="105">
        <f t="shared" si="7"/>
        <v>191914.53</v>
      </c>
      <c r="AS24" s="105">
        <f t="shared" si="7"/>
        <v>191914.53</v>
      </c>
      <c r="AT24" s="105">
        <f t="shared" si="7"/>
        <v>191914.53</v>
      </c>
      <c r="AU24" s="105">
        <f t="shared" si="7"/>
        <v>191914.53</v>
      </c>
      <c r="AV24" s="105">
        <f t="shared" si="7"/>
        <v>191914.53</v>
      </c>
      <c r="AW24" s="105">
        <f t="shared" si="7"/>
        <v>191914.53</v>
      </c>
      <c r="AX24" s="105">
        <f t="shared" si="7"/>
        <v>191914.53</v>
      </c>
      <c r="AY24" s="105">
        <f t="shared" si="7"/>
        <v>191914.53</v>
      </c>
      <c r="AZ24" s="140">
        <f t="shared" si="5"/>
        <v>8559393.995694546</v>
      </c>
    </row>
    <row r="25" spans="1:52"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05"/>
    </row>
    <row r="26" spans="1:52">
      <c r="A26" s="162" t="s">
        <v>18</v>
      </c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</row>
    <row r="27" spans="1:52">
      <c r="B27" s="134" t="s">
        <v>308</v>
      </c>
      <c r="C27" s="123">
        <v>11</v>
      </c>
      <c r="D27" s="123">
        <f>C$27-C$28+C$29</f>
        <v>11</v>
      </c>
      <c r="E27" s="123">
        <f t="shared" ref="E27:AY27" si="8">D27-D28+D29</f>
        <v>11</v>
      </c>
      <c r="F27" s="123">
        <f t="shared" si="8"/>
        <v>11</v>
      </c>
      <c r="G27" s="123">
        <f t="shared" si="8"/>
        <v>0</v>
      </c>
      <c r="H27" s="123">
        <f t="shared" si="8"/>
        <v>11</v>
      </c>
      <c r="I27" s="123">
        <f t="shared" si="8"/>
        <v>0</v>
      </c>
      <c r="J27" s="123">
        <f t="shared" si="8"/>
        <v>11</v>
      </c>
      <c r="K27" s="123">
        <f t="shared" si="8"/>
        <v>0</v>
      </c>
      <c r="L27" s="123">
        <f t="shared" si="8"/>
        <v>11</v>
      </c>
      <c r="M27" s="123">
        <f t="shared" si="8"/>
        <v>0</v>
      </c>
      <c r="N27" s="123">
        <f t="shared" si="8"/>
        <v>11</v>
      </c>
      <c r="O27" s="123">
        <f t="shared" si="8"/>
        <v>0</v>
      </c>
      <c r="P27" s="123">
        <f t="shared" si="8"/>
        <v>11</v>
      </c>
      <c r="Q27" s="123">
        <f t="shared" si="8"/>
        <v>0</v>
      </c>
      <c r="R27" s="123">
        <f t="shared" si="8"/>
        <v>11</v>
      </c>
      <c r="S27" s="123">
        <f t="shared" si="8"/>
        <v>0</v>
      </c>
      <c r="T27" s="123">
        <f t="shared" si="8"/>
        <v>11</v>
      </c>
      <c r="U27" s="123">
        <f t="shared" si="8"/>
        <v>0</v>
      </c>
      <c r="V27" s="123">
        <f t="shared" si="8"/>
        <v>11</v>
      </c>
      <c r="W27" s="123">
        <f t="shared" si="8"/>
        <v>0</v>
      </c>
      <c r="X27" s="123">
        <f t="shared" si="8"/>
        <v>11</v>
      </c>
      <c r="Y27" s="123">
        <f t="shared" si="8"/>
        <v>0</v>
      </c>
      <c r="Z27" s="123">
        <f t="shared" si="8"/>
        <v>11</v>
      </c>
      <c r="AA27" s="123">
        <f t="shared" si="8"/>
        <v>0</v>
      </c>
      <c r="AB27" s="123">
        <f t="shared" si="8"/>
        <v>11</v>
      </c>
      <c r="AC27" s="123">
        <f t="shared" si="8"/>
        <v>0</v>
      </c>
      <c r="AD27" s="123">
        <f t="shared" si="8"/>
        <v>11</v>
      </c>
      <c r="AE27" s="123">
        <f t="shared" si="8"/>
        <v>0</v>
      </c>
      <c r="AF27" s="123">
        <f t="shared" si="8"/>
        <v>11</v>
      </c>
      <c r="AG27" s="123">
        <f t="shared" si="8"/>
        <v>0</v>
      </c>
      <c r="AH27" s="123">
        <f t="shared" si="8"/>
        <v>11</v>
      </c>
      <c r="AI27" s="123">
        <f t="shared" si="8"/>
        <v>0</v>
      </c>
      <c r="AJ27" s="123">
        <f t="shared" si="8"/>
        <v>11</v>
      </c>
      <c r="AK27" s="123">
        <f t="shared" si="8"/>
        <v>0</v>
      </c>
      <c r="AL27" s="123">
        <f t="shared" si="8"/>
        <v>11</v>
      </c>
      <c r="AM27" s="123">
        <f t="shared" si="8"/>
        <v>0</v>
      </c>
      <c r="AN27" s="123">
        <f t="shared" si="8"/>
        <v>11</v>
      </c>
      <c r="AO27" s="123">
        <f t="shared" si="8"/>
        <v>0</v>
      </c>
      <c r="AP27" s="123">
        <f t="shared" si="8"/>
        <v>11</v>
      </c>
      <c r="AQ27" s="123">
        <f t="shared" si="8"/>
        <v>0</v>
      </c>
      <c r="AR27" s="123">
        <f t="shared" si="8"/>
        <v>11</v>
      </c>
      <c r="AS27" s="123">
        <f t="shared" si="8"/>
        <v>0</v>
      </c>
      <c r="AT27" s="123">
        <f t="shared" si="8"/>
        <v>11</v>
      </c>
      <c r="AU27" s="123">
        <f t="shared" si="8"/>
        <v>0</v>
      </c>
      <c r="AV27" s="123">
        <f t="shared" si="8"/>
        <v>11</v>
      </c>
      <c r="AW27" s="123">
        <f t="shared" si="8"/>
        <v>0</v>
      </c>
      <c r="AX27" s="123">
        <f t="shared" si="8"/>
        <v>11</v>
      </c>
      <c r="AY27" s="163">
        <f t="shared" si="8"/>
        <v>0</v>
      </c>
      <c r="AZ27" s="105"/>
    </row>
    <row r="28" spans="1:52">
      <c r="B28" s="164" t="s">
        <v>309</v>
      </c>
      <c r="C28" s="109"/>
      <c r="D28" s="109">
        <v>0</v>
      </c>
      <c r="E28" s="109">
        <v>0</v>
      </c>
      <c r="F28" s="109">
        <v>11</v>
      </c>
      <c r="G28" s="109">
        <v>0</v>
      </c>
      <c r="H28" s="109">
        <v>11</v>
      </c>
      <c r="I28" s="109">
        <v>0</v>
      </c>
      <c r="J28" s="109">
        <v>11</v>
      </c>
      <c r="K28" s="109">
        <v>0</v>
      </c>
      <c r="L28" s="109">
        <v>11</v>
      </c>
      <c r="M28" s="109">
        <v>0</v>
      </c>
      <c r="N28" s="109">
        <v>11</v>
      </c>
      <c r="O28" s="109">
        <v>0</v>
      </c>
      <c r="P28" s="109">
        <v>11</v>
      </c>
      <c r="Q28" s="109">
        <v>0</v>
      </c>
      <c r="R28" s="109">
        <v>11</v>
      </c>
      <c r="S28" s="109">
        <v>0</v>
      </c>
      <c r="T28" s="109">
        <v>11</v>
      </c>
      <c r="U28" s="109">
        <v>0</v>
      </c>
      <c r="V28" s="109">
        <v>11</v>
      </c>
      <c r="W28" s="109">
        <v>0</v>
      </c>
      <c r="X28" s="109">
        <v>11</v>
      </c>
      <c r="Y28" s="109">
        <v>0</v>
      </c>
      <c r="Z28" s="109">
        <v>11</v>
      </c>
      <c r="AA28" s="109">
        <v>0</v>
      </c>
      <c r="AB28" s="109">
        <v>11</v>
      </c>
      <c r="AC28" s="109">
        <v>0</v>
      </c>
      <c r="AD28" s="109">
        <v>11</v>
      </c>
      <c r="AE28" s="109">
        <v>0</v>
      </c>
      <c r="AF28" s="109">
        <v>11</v>
      </c>
      <c r="AG28" s="109">
        <v>0</v>
      </c>
      <c r="AH28" s="109">
        <v>11</v>
      </c>
      <c r="AI28" s="109">
        <v>0</v>
      </c>
      <c r="AJ28" s="109">
        <v>11</v>
      </c>
      <c r="AK28" s="109">
        <v>0</v>
      </c>
      <c r="AL28" s="109">
        <v>11</v>
      </c>
      <c r="AM28" s="109">
        <v>0</v>
      </c>
      <c r="AN28" s="109">
        <v>11</v>
      </c>
      <c r="AO28" s="109">
        <v>0</v>
      </c>
      <c r="AP28" s="109">
        <v>11</v>
      </c>
      <c r="AQ28" s="109">
        <v>0</v>
      </c>
      <c r="AR28" s="109">
        <v>11</v>
      </c>
      <c r="AS28" s="109">
        <v>0</v>
      </c>
      <c r="AT28" s="109">
        <v>11</v>
      </c>
      <c r="AU28" s="109">
        <v>0</v>
      </c>
      <c r="AV28" s="109">
        <v>11</v>
      </c>
      <c r="AW28" s="109">
        <v>0</v>
      </c>
      <c r="AX28" s="109">
        <v>11</v>
      </c>
      <c r="AY28" s="165">
        <v>0</v>
      </c>
      <c r="AZ28" s="105"/>
    </row>
    <row r="29" spans="1:52">
      <c r="B29" s="135" t="s">
        <v>310</v>
      </c>
      <c r="C29" s="124"/>
      <c r="D29" s="124">
        <f>C$28</f>
        <v>0</v>
      </c>
      <c r="E29" s="124">
        <f t="shared" ref="E29:AY29" si="9">D$28</f>
        <v>0</v>
      </c>
      <c r="F29" s="124">
        <f t="shared" si="9"/>
        <v>0</v>
      </c>
      <c r="G29" s="124">
        <f t="shared" si="9"/>
        <v>11</v>
      </c>
      <c r="H29" s="124">
        <f t="shared" si="9"/>
        <v>0</v>
      </c>
      <c r="I29" s="124">
        <f t="shared" si="9"/>
        <v>11</v>
      </c>
      <c r="J29" s="124">
        <f t="shared" si="9"/>
        <v>0</v>
      </c>
      <c r="K29" s="124">
        <f t="shared" si="9"/>
        <v>11</v>
      </c>
      <c r="L29" s="124">
        <f t="shared" si="9"/>
        <v>0</v>
      </c>
      <c r="M29" s="124">
        <f t="shared" si="9"/>
        <v>11</v>
      </c>
      <c r="N29" s="124">
        <f t="shared" si="9"/>
        <v>0</v>
      </c>
      <c r="O29" s="124">
        <f t="shared" si="9"/>
        <v>11</v>
      </c>
      <c r="P29" s="124">
        <f t="shared" si="9"/>
        <v>0</v>
      </c>
      <c r="Q29" s="124">
        <f t="shared" si="9"/>
        <v>11</v>
      </c>
      <c r="R29" s="124">
        <f t="shared" si="9"/>
        <v>0</v>
      </c>
      <c r="S29" s="124">
        <f t="shared" si="9"/>
        <v>11</v>
      </c>
      <c r="T29" s="124">
        <f t="shared" si="9"/>
        <v>0</v>
      </c>
      <c r="U29" s="124">
        <f t="shared" si="9"/>
        <v>11</v>
      </c>
      <c r="V29" s="124">
        <f t="shared" si="9"/>
        <v>0</v>
      </c>
      <c r="W29" s="124">
        <f t="shared" si="9"/>
        <v>11</v>
      </c>
      <c r="X29" s="124">
        <f t="shared" si="9"/>
        <v>0</v>
      </c>
      <c r="Y29" s="124">
        <f t="shared" si="9"/>
        <v>11</v>
      </c>
      <c r="Z29" s="124">
        <f t="shared" si="9"/>
        <v>0</v>
      </c>
      <c r="AA29" s="124">
        <f t="shared" si="9"/>
        <v>11</v>
      </c>
      <c r="AB29" s="124">
        <f t="shared" si="9"/>
        <v>0</v>
      </c>
      <c r="AC29" s="124">
        <f t="shared" si="9"/>
        <v>11</v>
      </c>
      <c r="AD29" s="124">
        <f t="shared" si="9"/>
        <v>0</v>
      </c>
      <c r="AE29" s="124">
        <f t="shared" si="9"/>
        <v>11</v>
      </c>
      <c r="AF29" s="124">
        <f t="shared" si="9"/>
        <v>0</v>
      </c>
      <c r="AG29" s="124">
        <f t="shared" si="9"/>
        <v>11</v>
      </c>
      <c r="AH29" s="124">
        <f t="shared" si="9"/>
        <v>0</v>
      </c>
      <c r="AI29" s="124">
        <f t="shared" si="9"/>
        <v>11</v>
      </c>
      <c r="AJ29" s="124">
        <f t="shared" si="9"/>
        <v>0</v>
      </c>
      <c r="AK29" s="124">
        <f t="shared" si="9"/>
        <v>11</v>
      </c>
      <c r="AL29" s="124">
        <f t="shared" si="9"/>
        <v>0</v>
      </c>
      <c r="AM29" s="124">
        <f t="shared" si="9"/>
        <v>11</v>
      </c>
      <c r="AN29" s="124">
        <f t="shared" si="9"/>
        <v>0</v>
      </c>
      <c r="AO29" s="124">
        <f t="shared" si="9"/>
        <v>11</v>
      </c>
      <c r="AP29" s="124">
        <f t="shared" si="9"/>
        <v>0</v>
      </c>
      <c r="AQ29" s="124">
        <f t="shared" si="9"/>
        <v>11</v>
      </c>
      <c r="AR29" s="124">
        <f t="shared" si="9"/>
        <v>0</v>
      </c>
      <c r="AS29" s="124">
        <f t="shared" si="9"/>
        <v>11</v>
      </c>
      <c r="AT29" s="124">
        <f t="shared" si="9"/>
        <v>0</v>
      </c>
      <c r="AU29" s="124">
        <f t="shared" si="9"/>
        <v>11</v>
      </c>
      <c r="AV29" s="124">
        <f t="shared" si="9"/>
        <v>0</v>
      </c>
      <c r="AW29" s="124">
        <f t="shared" si="9"/>
        <v>11</v>
      </c>
      <c r="AX29" s="124">
        <f t="shared" si="9"/>
        <v>0</v>
      </c>
      <c r="AY29" s="166">
        <f t="shared" si="9"/>
        <v>11</v>
      </c>
      <c r="AZ29" s="167"/>
    </row>
    <row r="30" spans="1:52">
      <c r="A30" s="168" t="s">
        <v>311</v>
      </c>
      <c r="B30" s="143">
        <v>10</v>
      </c>
      <c r="C30" s="116" t="s">
        <v>292</v>
      </c>
      <c r="D30" s="116">
        <f>D$27*$B$30</f>
        <v>110</v>
      </c>
      <c r="E30" s="116">
        <f t="shared" ref="E30:AY30" si="10">E$27*$B$30</f>
        <v>110</v>
      </c>
      <c r="F30" s="116">
        <f t="shared" si="10"/>
        <v>110</v>
      </c>
      <c r="G30" s="116">
        <f t="shared" si="10"/>
        <v>0</v>
      </c>
      <c r="H30" s="116">
        <f t="shared" si="10"/>
        <v>110</v>
      </c>
      <c r="I30" s="116">
        <f t="shared" si="10"/>
        <v>0</v>
      </c>
      <c r="J30" s="116">
        <f t="shared" si="10"/>
        <v>110</v>
      </c>
      <c r="K30" s="116">
        <f t="shared" si="10"/>
        <v>0</v>
      </c>
      <c r="L30" s="116">
        <f t="shared" si="10"/>
        <v>110</v>
      </c>
      <c r="M30" s="116">
        <f t="shared" si="10"/>
        <v>0</v>
      </c>
      <c r="N30" s="116">
        <f t="shared" si="10"/>
        <v>110</v>
      </c>
      <c r="O30" s="116">
        <f t="shared" si="10"/>
        <v>0</v>
      </c>
      <c r="P30" s="116">
        <f t="shared" si="10"/>
        <v>110</v>
      </c>
      <c r="Q30" s="116">
        <f t="shared" si="10"/>
        <v>0</v>
      </c>
      <c r="R30" s="116">
        <f>R$27*$B$30</f>
        <v>110</v>
      </c>
      <c r="S30" s="116">
        <f t="shared" si="10"/>
        <v>0</v>
      </c>
      <c r="T30" s="116">
        <f t="shared" si="10"/>
        <v>110</v>
      </c>
      <c r="U30" s="116">
        <f t="shared" si="10"/>
        <v>0</v>
      </c>
      <c r="V30" s="116">
        <f t="shared" si="10"/>
        <v>110</v>
      </c>
      <c r="W30" s="116">
        <f t="shared" si="10"/>
        <v>0</v>
      </c>
      <c r="X30" s="116">
        <f t="shared" si="10"/>
        <v>110</v>
      </c>
      <c r="Y30" s="116">
        <f t="shared" si="10"/>
        <v>0</v>
      </c>
      <c r="Z30" s="116">
        <f t="shared" si="10"/>
        <v>110</v>
      </c>
      <c r="AA30" s="116">
        <f t="shared" si="10"/>
        <v>0</v>
      </c>
      <c r="AB30" s="116">
        <f t="shared" si="10"/>
        <v>110</v>
      </c>
      <c r="AC30" s="116">
        <f t="shared" si="10"/>
        <v>0</v>
      </c>
      <c r="AD30" s="116">
        <f t="shared" si="10"/>
        <v>110</v>
      </c>
      <c r="AE30" s="116">
        <f>AE$27*$B$30</f>
        <v>0</v>
      </c>
      <c r="AF30" s="116">
        <f t="shared" si="10"/>
        <v>110</v>
      </c>
      <c r="AG30" s="116">
        <f t="shared" si="10"/>
        <v>0</v>
      </c>
      <c r="AH30" s="116">
        <f t="shared" si="10"/>
        <v>110</v>
      </c>
      <c r="AI30" s="116">
        <f t="shared" si="10"/>
        <v>0</v>
      </c>
      <c r="AJ30" s="116">
        <f t="shared" si="10"/>
        <v>110</v>
      </c>
      <c r="AK30" s="116">
        <f t="shared" si="10"/>
        <v>0</v>
      </c>
      <c r="AL30" s="116">
        <f t="shared" si="10"/>
        <v>110</v>
      </c>
      <c r="AM30" s="116">
        <f t="shared" si="10"/>
        <v>0</v>
      </c>
      <c r="AN30" s="116">
        <f t="shared" si="10"/>
        <v>110</v>
      </c>
      <c r="AO30" s="116">
        <f t="shared" si="10"/>
        <v>0</v>
      </c>
      <c r="AP30" s="116">
        <f t="shared" si="10"/>
        <v>110</v>
      </c>
      <c r="AQ30" s="116">
        <f t="shared" si="10"/>
        <v>0</v>
      </c>
      <c r="AR30" s="116">
        <f t="shared" si="10"/>
        <v>110</v>
      </c>
      <c r="AS30" s="116">
        <f t="shared" si="10"/>
        <v>0</v>
      </c>
      <c r="AT30" s="116">
        <f t="shared" si="10"/>
        <v>110</v>
      </c>
      <c r="AU30" s="116">
        <f t="shared" si="10"/>
        <v>0</v>
      </c>
      <c r="AV30" s="116">
        <f t="shared" si="10"/>
        <v>110</v>
      </c>
      <c r="AW30" s="116">
        <f t="shared" si="10"/>
        <v>0</v>
      </c>
      <c r="AX30" s="116">
        <f t="shared" si="10"/>
        <v>110</v>
      </c>
      <c r="AY30" s="116">
        <f t="shared" si="10"/>
        <v>0</v>
      </c>
      <c r="AZ30" s="140">
        <f t="shared" si="5"/>
        <v>2750</v>
      </c>
    </row>
    <row r="32" spans="1:52">
      <c r="A32" s="101" t="s">
        <v>299</v>
      </c>
    </row>
    <row r="33" spans="1:52">
      <c r="A33" s="134" t="s">
        <v>22</v>
      </c>
      <c r="B33" s="134" t="s">
        <v>340</v>
      </c>
      <c r="C33" s="123"/>
      <c r="D33" s="123">
        <f>D$21*shipping_manufacturing!$D$27/100</f>
        <v>0</v>
      </c>
      <c r="E33" s="123">
        <f>E$21*shipping_manufacturing!$D$27/100</f>
        <v>0</v>
      </c>
      <c r="F33" s="123">
        <f>F$21*shipping_manufacturing!$D$27/100</f>
        <v>153.08547000000002</v>
      </c>
      <c r="G33" s="123">
        <f>G$21*shipping_manufacturing!$D$27/100</f>
        <v>137.77726245039</v>
      </c>
      <c r="H33" s="123">
        <f>H$21*shipping_manufacturing!$D$27/100</f>
        <v>137.77726245039</v>
      </c>
      <c r="I33" s="123">
        <f>I$21*shipping_manufacturing!$D$27/100</f>
        <v>137.77726245039</v>
      </c>
      <c r="J33" s="123">
        <f>J$21*shipping_manufacturing!$D$27/100</f>
        <v>137.77726245039</v>
      </c>
      <c r="K33" s="123">
        <f>K$21*shipping_manufacturing!$D$27/100</f>
        <v>137.77726245039</v>
      </c>
      <c r="L33" s="123">
        <f>L$21*shipping_manufacturing!$D$27/100</f>
        <v>137.77726245039</v>
      </c>
      <c r="M33" s="123">
        <f>M$21*shipping_manufacturing!$D$27/100</f>
        <v>153.08547000000002</v>
      </c>
      <c r="N33" s="123">
        <f>N$21*shipping_manufacturing!$D$27/100</f>
        <v>153.08547000000002</v>
      </c>
      <c r="O33" s="123">
        <f>O$21*shipping_manufacturing!$D$27/100</f>
        <v>153.08547000000002</v>
      </c>
      <c r="P33" s="123">
        <f>P$21*shipping_manufacturing!$D$27/100</f>
        <v>153.08547000000002</v>
      </c>
      <c r="Q33" s="123">
        <f>Q$21*shipping_manufacturing!$D$27/100</f>
        <v>137.77726245039</v>
      </c>
      <c r="R33" s="123">
        <f>R$21*shipping_manufacturing!$D$27/100</f>
        <v>137.77726245039</v>
      </c>
      <c r="S33" s="123">
        <f>S$21*shipping_manufacturing!$D$27/100</f>
        <v>137.77726245039</v>
      </c>
      <c r="T33" s="123">
        <f>T$21*shipping_manufacturing!$D$27/100</f>
        <v>137.77726245039</v>
      </c>
      <c r="U33" s="123">
        <f>U$21*shipping_manufacturing!$D$27/100</f>
        <v>137.77726245039</v>
      </c>
      <c r="V33" s="123">
        <f>V$21*shipping_manufacturing!$D$27/100</f>
        <v>137.77726245039</v>
      </c>
      <c r="W33" s="123">
        <f>W$21*shipping_manufacturing!$D$27/100</f>
        <v>137.77726245039</v>
      </c>
      <c r="X33" s="123">
        <f>X$21*shipping_manufacturing!$D$27/100</f>
        <v>137.77726245039</v>
      </c>
      <c r="Y33" s="123">
        <f>Y$21*shipping_manufacturing!$D$27/100</f>
        <v>153.08547000000002</v>
      </c>
      <c r="Z33" s="123">
        <f>Z$21*shipping_manufacturing!$D$27/100</f>
        <v>153.08547000000002</v>
      </c>
      <c r="AA33" s="123">
        <f>AA$21*shipping_manufacturing!$D$27/100</f>
        <v>153.08547000000002</v>
      </c>
      <c r="AB33" s="123">
        <f>AB$21*shipping_manufacturing!$D$27/100</f>
        <v>153.08547000000002</v>
      </c>
      <c r="AC33" s="123">
        <f>AC$21*shipping_manufacturing!$D$27/100</f>
        <v>153.08547000000002</v>
      </c>
      <c r="AD33" s="123">
        <f>AD$21*shipping_manufacturing!$D$27/100</f>
        <v>153.08547000000002</v>
      </c>
      <c r="AE33" s="123">
        <f>AE$21*shipping_manufacturing!$D$27/100</f>
        <v>153.08547000000002</v>
      </c>
      <c r="AF33" s="123">
        <f>AF$21*shipping_manufacturing!$D$27/100</f>
        <v>153.08547000000002</v>
      </c>
      <c r="AG33" s="123">
        <f>AG$21*shipping_manufacturing!$D$27/100</f>
        <v>153.08547000000002</v>
      </c>
      <c r="AH33" s="123">
        <f>AH$21*shipping_manufacturing!$D$27/100</f>
        <v>153.08547000000002</v>
      </c>
      <c r="AI33" s="123">
        <f>AI$21*shipping_manufacturing!$D$27/100</f>
        <v>153.08547000000002</v>
      </c>
      <c r="AJ33" s="123">
        <f>AJ$21*shipping_manufacturing!$D$27/100</f>
        <v>153.08547000000002</v>
      </c>
      <c r="AK33" s="123">
        <f>AK$21*shipping_manufacturing!$D$27/100</f>
        <v>153.08547000000002</v>
      </c>
      <c r="AL33" s="123">
        <f>AL$21*shipping_manufacturing!$D$27/100</f>
        <v>153.08547000000002</v>
      </c>
      <c r="AM33" s="123">
        <f>AM$21*shipping_manufacturing!$D$27/100</f>
        <v>153.08547000000002</v>
      </c>
      <c r="AN33" s="123">
        <f>AN$21*shipping_manufacturing!$D$27/100</f>
        <v>153.08547000000002</v>
      </c>
      <c r="AO33" s="123">
        <f>AO$21*shipping_manufacturing!$D$27/100</f>
        <v>153.08547000000002</v>
      </c>
      <c r="AP33" s="123">
        <f>AP$21*shipping_manufacturing!$D$27/100</f>
        <v>153.08547000000002</v>
      </c>
      <c r="AQ33" s="123">
        <f>AQ$21*shipping_manufacturing!$D$27/100</f>
        <v>153.08547000000002</v>
      </c>
      <c r="AR33" s="123">
        <f>AR$21*shipping_manufacturing!$D$27/100</f>
        <v>153.08547000000002</v>
      </c>
      <c r="AS33" s="123">
        <f>AS$21*shipping_manufacturing!$D$27/100</f>
        <v>153.08547000000002</v>
      </c>
      <c r="AT33" s="123">
        <f>AT$21*shipping_manufacturing!$D$27/100</f>
        <v>153.08547000000002</v>
      </c>
      <c r="AU33" s="123">
        <f>AU$21*shipping_manufacturing!$D$27/100</f>
        <v>153.08547000000002</v>
      </c>
      <c r="AV33" s="123">
        <f>AV$21*shipping_manufacturing!$D$27/100</f>
        <v>153.08547000000002</v>
      </c>
      <c r="AW33" s="123">
        <f>AW$21*shipping_manufacturing!$D$27/100</f>
        <v>153.08547000000002</v>
      </c>
      <c r="AX33" s="123">
        <f>AX$21*shipping_manufacturing!$D$27/100</f>
        <v>153.08547000000002</v>
      </c>
      <c r="AY33" s="123">
        <f>AY$21*shipping_manufacturing!$D$27/100</f>
        <v>153.08547000000002</v>
      </c>
    </row>
    <row r="34" spans="1:52">
      <c r="A34" s="112" t="s">
        <v>339</v>
      </c>
      <c r="B34" s="164" t="s">
        <v>341</v>
      </c>
      <c r="C34" s="109"/>
      <c r="D34" s="109">
        <f>D$22*shipping_manufacturing!$E$27/100</f>
        <v>0</v>
      </c>
      <c r="E34" s="109">
        <f>E$22*shipping_manufacturing!$E$27/100</f>
        <v>0</v>
      </c>
      <c r="F34" s="109">
        <f>F$22*shipping_manufacturing!$E$27/100</f>
        <v>191.91452999999998</v>
      </c>
      <c r="G34" s="109">
        <f>G$22*shipping_manufacturing!$E$27/100</f>
        <v>172.72350254960998</v>
      </c>
      <c r="H34" s="109">
        <f>H$22*shipping_manufacturing!$E$27/100</f>
        <v>172.72350254960998</v>
      </c>
      <c r="I34" s="109">
        <f>I$22*shipping_manufacturing!$E$27/100</f>
        <v>172.72350254960998</v>
      </c>
      <c r="J34" s="109">
        <f>J$22*shipping_manufacturing!$E$27/100</f>
        <v>172.72350254960998</v>
      </c>
      <c r="K34" s="109">
        <f>K$22*shipping_manufacturing!$E$27/100</f>
        <v>172.72350254960998</v>
      </c>
      <c r="L34" s="109">
        <f>L$22*shipping_manufacturing!$E$27/100</f>
        <v>172.72350254960998</v>
      </c>
      <c r="M34" s="109">
        <f>M$22*shipping_manufacturing!$E$27/100</f>
        <v>191.91452999999998</v>
      </c>
      <c r="N34" s="109">
        <f>N$22*shipping_manufacturing!$E$27/100</f>
        <v>191.91452999999998</v>
      </c>
      <c r="O34" s="109">
        <f>O$22*shipping_manufacturing!$E$27/100</f>
        <v>191.91452999999998</v>
      </c>
      <c r="P34" s="109">
        <f>P$22*shipping_manufacturing!$E$27/100</f>
        <v>191.91452999999998</v>
      </c>
      <c r="Q34" s="109">
        <f>Q$22*shipping_manufacturing!$E$27/100</f>
        <v>172.72350254960998</v>
      </c>
      <c r="R34" s="109">
        <f>R$22*shipping_manufacturing!$E$27/100</f>
        <v>172.72350254960998</v>
      </c>
      <c r="S34" s="109">
        <f>S$22*shipping_manufacturing!$E$27/100</f>
        <v>172.72350254960998</v>
      </c>
      <c r="T34" s="109">
        <f>T$22*shipping_manufacturing!$E$27/100</f>
        <v>172.72350254960998</v>
      </c>
      <c r="U34" s="109">
        <f>U$22*shipping_manufacturing!$E$27/100</f>
        <v>172.72350254960998</v>
      </c>
      <c r="V34" s="109">
        <f>V$22*shipping_manufacturing!$E$27/100</f>
        <v>172.72350254960998</v>
      </c>
      <c r="W34" s="109">
        <f>W$22*shipping_manufacturing!$E$27/100</f>
        <v>172.72350254960998</v>
      </c>
      <c r="X34" s="109">
        <f>X$22*shipping_manufacturing!$E$27/100</f>
        <v>172.72350254960998</v>
      </c>
      <c r="Y34" s="109">
        <f>Y$22*shipping_manufacturing!$E$27/100</f>
        <v>191.91452999999998</v>
      </c>
      <c r="Z34" s="109">
        <f>Z$22*shipping_manufacturing!$E$27/100</f>
        <v>191.91452999999998</v>
      </c>
      <c r="AA34" s="109">
        <f>AA$22*shipping_manufacturing!$E$27/100</f>
        <v>191.91452999999998</v>
      </c>
      <c r="AB34" s="109">
        <f>AB$22*shipping_manufacturing!$E$27/100</f>
        <v>191.91452999999998</v>
      </c>
      <c r="AC34" s="109">
        <f>AC$22*shipping_manufacturing!$E$27/100</f>
        <v>191.91452999999998</v>
      </c>
      <c r="AD34" s="109">
        <f>AD$22*shipping_manufacturing!$E$27/100</f>
        <v>191.91452999999998</v>
      </c>
      <c r="AE34" s="109">
        <f>AE$22*shipping_manufacturing!$E$27/100</f>
        <v>191.91452999999998</v>
      </c>
      <c r="AF34" s="109">
        <f>AF$22*shipping_manufacturing!$E$27/100</f>
        <v>191.91452999999998</v>
      </c>
      <c r="AG34" s="109">
        <f>AG$22*shipping_manufacturing!$E$27/100</f>
        <v>191.91452999999998</v>
      </c>
      <c r="AH34" s="109">
        <f>AH$22*shipping_manufacturing!$E$27/100</f>
        <v>191.91452999999998</v>
      </c>
      <c r="AI34" s="109">
        <f>AI$22*shipping_manufacturing!$E$27/100</f>
        <v>191.91452999999998</v>
      </c>
      <c r="AJ34" s="109">
        <f>AJ$22*shipping_manufacturing!$E$27/100</f>
        <v>191.91452999999998</v>
      </c>
      <c r="AK34" s="109">
        <f>AK$22*shipping_manufacturing!$E$27/100</f>
        <v>191.91452999999998</v>
      </c>
      <c r="AL34" s="109">
        <f>AL$22*shipping_manufacturing!$E$27/100</f>
        <v>191.91452999999998</v>
      </c>
      <c r="AM34" s="109">
        <f>AM$22*shipping_manufacturing!$E$27/100</f>
        <v>191.91452999999998</v>
      </c>
      <c r="AN34" s="109">
        <f>AN$22*shipping_manufacturing!$E$27/100</f>
        <v>191.91452999999998</v>
      </c>
      <c r="AO34" s="109">
        <f>AO$22*shipping_manufacturing!$E$27/100</f>
        <v>191.91452999999998</v>
      </c>
      <c r="AP34" s="109">
        <f>AP$22*shipping_manufacturing!$E$27/100</f>
        <v>191.91452999999998</v>
      </c>
      <c r="AQ34" s="109">
        <f>AQ$22*shipping_manufacturing!$E$27/100</f>
        <v>191.91452999999998</v>
      </c>
      <c r="AR34" s="109">
        <f>AR$22*shipping_manufacturing!$E$27/100</f>
        <v>191.91452999999998</v>
      </c>
      <c r="AS34" s="109">
        <f>AS$22*shipping_manufacturing!$E$27/100</f>
        <v>191.91452999999998</v>
      </c>
      <c r="AT34" s="109">
        <f>AT$22*shipping_manufacturing!$E$27/100</f>
        <v>191.91452999999998</v>
      </c>
      <c r="AU34" s="109">
        <f>AU$22*shipping_manufacturing!$E$27/100</f>
        <v>191.91452999999998</v>
      </c>
      <c r="AV34" s="109">
        <f>AV$22*shipping_manufacturing!$E$27/100</f>
        <v>191.91452999999998</v>
      </c>
      <c r="AW34" s="109">
        <f>AW$22*shipping_manufacturing!$E$27/100</f>
        <v>191.91452999999998</v>
      </c>
      <c r="AX34" s="109">
        <f>AX$22*shipping_manufacturing!$E$27/100</f>
        <v>191.91452999999998</v>
      </c>
      <c r="AY34" s="109">
        <f>AY$22*shipping_manufacturing!$E$27/100</f>
        <v>191.91452999999998</v>
      </c>
    </row>
    <row r="35" spans="1:52">
      <c r="A35" s="109">
        <v>1335</v>
      </c>
      <c r="B35" s="164" t="s">
        <v>342</v>
      </c>
      <c r="C35" s="109"/>
      <c r="D35" s="109">
        <f>SUM(D33:D34)</f>
        <v>0</v>
      </c>
      <c r="E35" s="109">
        <f t="shared" ref="E35:AY35" si="11">SUM(E33:E34)</f>
        <v>0</v>
      </c>
      <c r="F35" s="109">
        <f t="shared" si="11"/>
        <v>345</v>
      </c>
      <c r="G35" s="109">
        <f t="shared" si="11"/>
        <v>310.500765</v>
      </c>
      <c r="H35" s="109">
        <f t="shared" si="11"/>
        <v>310.500765</v>
      </c>
      <c r="I35" s="109">
        <f t="shared" si="11"/>
        <v>310.500765</v>
      </c>
      <c r="J35" s="109">
        <f t="shared" si="11"/>
        <v>310.500765</v>
      </c>
      <c r="K35" s="109">
        <f t="shared" si="11"/>
        <v>310.500765</v>
      </c>
      <c r="L35" s="109">
        <f t="shared" si="11"/>
        <v>310.500765</v>
      </c>
      <c r="M35" s="109">
        <f t="shared" si="11"/>
        <v>345</v>
      </c>
      <c r="N35" s="109">
        <f t="shared" si="11"/>
        <v>345</v>
      </c>
      <c r="O35" s="109">
        <f t="shared" si="11"/>
        <v>345</v>
      </c>
      <c r="P35" s="109">
        <f t="shared" si="11"/>
        <v>345</v>
      </c>
      <c r="Q35" s="109">
        <f t="shared" si="11"/>
        <v>310.500765</v>
      </c>
      <c r="R35" s="109">
        <f t="shared" si="11"/>
        <v>310.500765</v>
      </c>
      <c r="S35" s="109">
        <f t="shared" si="11"/>
        <v>310.500765</v>
      </c>
      <c r="T35" s="109">
        <f t="shared" si="11"/>
        <v>310.500765</v>
      </c>
      <c r="U35" s="109">
        <f t="shared" si="11"/>
        <v>310.500765</v>
      </c>
      <c r="V35" s="109">
        <f t="shared" si="11"/>
        <v>310.500765</v>
      </c>
      <c r="W35" s="109">
        <f t="shared" si="11"/>
        <v>310.500765</v>
      </c>
      <c r="X35" s="109">
        <f t="shared" si="11"/>
        <v>310.500765</v>
      </c>
      <c r="Y35" s="109">
        <f t="shared" si="11"/>
        <v>345</v>
      </c>
      <c r="Z35" s="109">
        <f t="shared" si="11"/>
        <v>345</v>
      </c>
      <c r="AA35" s="109">
        <f t="shared" si="11"/>
        <v>345</v>
      </c>
      <c r="AB35" s="109">
        <f t="shared" si="11"/>
        <v>345</v>
      </c>
      <c r="AC35" s="109">
        <f t="shared" si="11"/>
        <v>345</v>
      </c>
      <c r="AD35" s="109">
        <f t="shared" si="11"/>
        <v>345</v>
      </c>
      <c r="AE35" s="109">
        <f t="shared" si="11"/>
        <v>345</v>
      </c>
      <c r="AF35" s="109">
        <f t="shared" si="11"/>
        <v>345</v>
      </c>
      <c r="AG35" s="109">
        <f t="shared" si="11"/>
        <v>345</v>
      </c>
      <c r="AH35" s="109">
        <f t="shared" si="11"/>
        <v>345</v>
      </c>
      <c r="AI35" s="109">
        <f t="shared" si="11"/>
        <v>345</v>
      </c>
      <c r="AJ35" s="109">
        <f t="shared" si="11"/>
        <v>345</v>
      </c>
      <c r="AK35" s="109">
        <f t="shared" si="11"/>
        <v>345</v>
      </c>
      <c r="AL35" s="109">
        <f t="shared" si="11"/>
        <v>345</v>
      </c>
      <c r="AM35" s="109">
        <f t="shared" si="11"/>
        <v>345</v>
      </c>
      <c r="AN35" s="109">
        <f t="shared" si="11"/>
        <v>345</v>
      </c>
      <c r="AO35" s="109">
        <f t="shared" si="11"/>
        <v>345</v>
      </c>
      <c r="AP35" s="109">
        <f t="shared" si="11"/>
        <v>345</v>
      </c>
      <c r="AQ35" s="109">
        <f t="shared" si="11"/>
        <v>345</v>
      </c>
      <c r="AR35" s="109">
        <f t="shared" si="11"/>
        <v>345</v>
      </c>
      <c r="AS35" s="109">
        <f t="shared" si="11"/>
        <v>345</v>
      </c>
      <c r="AT35" s="109">
        <f t="shared" si="11"/>
        <v>345</v>
      </c>
      <c r="AU35" s="109">
        <f t="shared" si="11"/>
        <v>345</v>
      </c>
      <c r="AV35" s="109">
        <f t="shared" si="11"/>
        <v>345</v>
      </c>
      <c r="AW35" s="109">
        <f t="shared" si="11"/>
        <v>345</v>
      </c>
      <c r="AX35" s="109">
        <f t="shared" si="11"/>
        <v>345</v>
      </c>
      <c r="AY35" s="109">
        <f t="shared" si="11"/>
        <v>345</v>
      </c>
    </row>
    <row r="36" spans="1:52">
      <c r="A36" s="109"/>
      <c r="B36" s="164" t="s">
        <v>343</v>
      </c>
      <c r="C36" s="109"/>
      <c r="D36" s="109"/>
      <c r="E36" s="109"/>
      <c r="F36" s="109">
        <v>146.42958000000002</v>
      </c>
      <c r="G36" s="109"/>
      <c r="H36" s="109">
        <v>137.77726245039</v>
      </c>
      <c r="I36" s="109"/>
      <c r="J36" s="109">
        <v>137.77726245039</v>
      </c>
      <c r="K36" s="109"/>
      <c r="L36" s="109">
        <v>137.77726245039</v>
      </c>
      <c r="M36" s="109"/>
      <c r="N36" s="109">
        <v>146.42958000000002</v>
      </c>
      <c r="O36" s="109"/>
      <c r="P36" s="109">
        <v>146.42958000000002</v>
      </c>
      <c r="Q36" s="109"/>
      <c r="R36" s="109">
        <v>137.77726245039</v>
      </c>
      <c r="S36" s="109"/>
      <c r="T36" s="109">
        <v>137.77726245039</v>
      </c>
      <c r="U36" s="109"/>
      <c r="V36" s="109">
        <v>137.77726245039</v>
      </c>
      <c r="W36" s="109"/>
      <c r="X36" s="109">
        <v>137.77726245039</v>
      </c>
      <c r="Y36" s="109"/>
      <c r="Z36" s="109">
        <v>146.42958000000002</v>
      </c>
      <c r="AA36" s="109"/>
      <c r="AB36" s="109">
        <v>146.42958000000002</v>
      </c>
      <c r="AC36" s="109"/>
      <c r="AD36" s="109">
        <v>146.42958000000002</v>
      </c>
      <c r="AE36" s="109"/>
      <c r="AF36" s="109">
        <v>146.42958000000002</v>
      </c>
      <c r="AG36" s="109"/>
      <c r="AH36" s="109">
        <v>146.42958000000002</v>
      </c>
      <c r="AI36" s="109"/>
      <c r="AJ36" s="109">
        <v>146.42958000000002</v>
      </c>
      <c r="AK36" s="109"/>
      <c r="AL36" s="109">
        <v>146.42958000000002</v>
      </c>
      <c r="AM36" s="109"/>
      <c r="AN36" s="109">
        <v>146.42958000000002</v>
      </c>
      <c r="AO36" s="109"/>
      <c r="AP36" s="109">
        <v>146.42958000000002</v>
      </c>
      <c r="AQ36" s="109"/>
      <c r="AR36" s="109">
        <v>146.42958000000002</v>
      </c>
      <c r="AS36" s="109"/>
      <c r="AT36" s="109">
        <v>146.42958000000002</v>
      </c>
      <c r="AU36" s="109"/>
      <c r="AV36" s="109">
        <v>146.42958000000002</v>
      </c>
      <c r="AW36" s="109"/>
      <c r="AX36" s="109">
        <v>146.42958000000002</v>
      </c>
      <c r="AY36" s="109"/>
    </row>
    <row r="37" spans="1:52">
      <c r="A37" s="109"/>
      <c r="B37" s="164" t="s">
        <v>344</v>
      </c>
      <c r="C37" s="109"/>
      <c r="D37" s="109"/>
      <c r="E37" s="109"/>
      <c r="F37" s="109">
        <v>183.57041999999998</v>
      </c>
      <c r="G37" s="109"/>
      <c r="H37" s="109">
        <v>172.72350254960998</v>
      </c>
      <c r="I37" s="109"/>
      <c r="J37" s="109">
        <v>172.72350254960998</v>
      </c>
      <c r="K37" s="109"/>
      <c r="L37" s="109">
        <v>172.72350254960998</v>
      </c>
      <c r="M37" s="109"/>
      <c r="N37" s="109">
        <v>183.57041999999998</v>
      </c>
      <c r="O37" s="109"/>
      <c r="P37" s="109">
        <v>183.57041999999998</v>
      </c>
      <c r="Q37" s="109"/>
      <c r="R37" s="109">
        <v>172.72350254960998</v>
      </c>
      <c r="S37" s="109"/>
      <c r="T37" s="109">
        <v>172.72350254960998</v>
      </c>
      <c r="U37" s="109"/>
      <c r="V37" s="109">
        <v>172.72350254960998</v>
      </c>
      <c r="W37" s="109"/>
      <c r="X37" s="109">
        <v>172.72350254960998</v>
      </c>
      <c r="Y37" s="109"/>
      <c r="Z37" s="109">
        <v>183.57041999999998</v>
      </c>
      <c r="AA37" s="109"/>
      <c r="AB37" s="109">
        <v>183.57041999999998</v>
      </c>
      <c r="AC37" s="109"/>
      <c r="AD37" s="109">
        <v>183.57041999999998</v>
      </c>
      <c r="AE37" s="109"/>
      <c r="AF37" s="109">
        <v>183.57041999999998</v>
      </c>
      <c r="AG37" s="109"/>
      <c r="AH37" s="109">
        <v>183.57041999999998</v>
      </c>
      <c r="AI37" s="109"/>
      <c r="AJ37" s="109">
        <v>183.57041999999998</v>
      </c>
      <c r="AK37" s="109"/>
      <c r="AL37" s="109">
        <v>183.57041999999998</v>
      </c>
      <c r="AM37" s="109"/>
      <c r="AN37" s="109">
        <v>183.57041999999998</v>
      </c>
      <c r="AO37" s="109"/>
      <c r="AP37" s="109">
        <v>183.57041999999998</v>
      </c>
      <c r="AQ37" s="109"/>
      <c r="AR37" s="109">
        <v>183.57041999999998</v>
      </c>
      <c r="AS37" s="109"/>
      <c r="AT37" s="109">
        <v>183.57041999999998</v>
      </c>
      <c r="AU37" s="109"/>
      <c r="AV37" s="109">
        <v>183.57041999999998</v>
      </c>
      <c r="AW37" s="109"/>
      <c r="AX37" s="109">
        <v>183.57041999999998</v>
      </c>
      <c r="AY37" s="109"/>
    </row>
    <row r="38" spans="1:52">
      <c r="A38" s="109"/>
      <c r="B38" s="164" t="s">
        <v>345</v>
      </c>
      <c r="C38" s="109"/>
      <c r="D38" s="109"/>
      <c r="E38" s="109"/>
      <c r="F38" s="109">
        <v>11</v>
      </c>
      <c r="G38" s="109"/>
      <c r="H38" s="109">
        <v>11</v>
      </c>
      <c r="I38" s="109"/>
      <c r="J38" s="109">
        <v>11</v>
      </c>
      <c r="K38" s="109"/>
      <c r="L38" s="109">
        <v>11</v>
      </c>
      <c r="M38" s="109"/>
      <c r="N38" s="109">
        <v>11</v>
      </c>
      <c r="O38" s="109"/>
      <c r="P38" s="109">
        <v>11</v>
      </c>
      <c r="Q38" s="109"/>
      <c r="R38" s="109">
        <v>11</v>
      </c>
      <c r="S38" s="109"/>
      <c r="T38" s="109">
        <v>11</v>
      </c>
      <c r="U38" s="109"/>
      <c r="V38" s="109">
        <v>11</v>
      </c>
      <c r="W38" s="109"/>
      <c r="X38" s="109">
        <v>11</v>
      </c>
      <c r="Y38" s="109"/>
      <c r="Z38" s="109">
        <v>11</v>
      </c>
      <c r="AA38" s="109"/>
      <c r="AB38" s="109">
        <v>11</v>
      </c>
      <c r="AC38" s="109"/>
      <c r="AD38" s="109">
        <v>11</v>
      </c>
      <c r="AE38" s="109"/>
      <c r="AF38" s="109">
        <v>11</v>
      </c>
      <c r="AG38" s="109"/>
      <c r="AH38" s="109">
        <v>11</v>
      </c>
      <c r="AI38" s="109"/>
      <c r="AJ38" s="109">
        <v>11</v>
      </c>
      <c r="AK38" s="109"/>
      <c r="AL38" s="109">
        <v>11</v>
      </c>
      <c r="AM38" s="109"/>
      <c r="AN38" s="109">
        <v>11</v>
      </c>
      <c r="AO38" s="109"/>
      <c r="AP38" s="109">
        <v>11</v>
      </c>
      <c r="AQ38" s="109"/>
      <c r="AR38" s="109">
        <v>11</v>
      </c>
      <c r="AS38" s="109"/>
      <c r="AT38" s="109">
        <v>11</v>
      </c>
      <c r="AU38" s="109"/>
      <c r="AV38" s="109">
        <v>11</v>
      </c>
      <c r="AW38" s="109"/>
      <c r="AX38" s="109">
        <v>11</v>
      </c>
      <c r="AY38" s="109"/>
    </row>
    <row r="39" spans="1:52">
      <c r="A39" s="109"/>
      <c r="B39" s="164" t="s">
        <v>346</v>
      </c>
      <c r="C39" s="109"/>
      <c r="D39" s="109">
        <f>D33-D36</f>
        <v>0</v>
      </c>
      <c r="E39" s="109">
        <f t="shared" ref="E39:AY39" si="12">E33-E36</f>
        <v>0</v>
      </c>
      <c r="F39" s="109">
        <f t="shared" si="12"/>
        <v>6.6558899999999994</v>
      </c>
      <c r="G39" s="109">
        <f t="shared" si="12"/>
        <v>137.77726245039</v>
      </c>
      <c r="H39" s="109">
        <f t="shared" si="12"/>
        <v>0</v>
      </c>
      <c r="I39" s="109">
        <f t="shared" si="12"/>
        <v>137.77726245039</v>
      </c>
      <c r="J39" s="109">
        <f t="shared" si="12"/>
        <v>0</v>
      </c>
      <c r="K39" s="109">
        <f t="shared" si="12"/>
        <v>137.77726245039</v>
      </c>
      <c r="L39" s="109">
        <f t="shared" si="12"/>
        <v>0</v>
      </c>
      <c r="M39" s="109">
        <f t="shared" si="12"/>
        <v>153.08547000000002</v>
      </c>
      <c r="N39" s="109">
        <f t="shared" si="12"/>
        <v>6.6558899999999994</v>
      </c>
      <c r="O39" s="109">
        <f t="shared" si="12"/>
        <v>153.08547000000002</v>
      </c>
      <c r="P39" s="109">
        <f t="shared" si="12"/>
        <v>6.6558899999999994</v>
      </c>
      <c r="Q39" s="109">
        <f t="shared" si="12"/>
        <v>137.77726245039</v>
      </c>
      <c r="R39" s="109">
        <f t="shared" si="12"/>
        <v>0</v>
      </c>
      <c r="S39" s="109">
        <f t="shared" si="12"/>
        <v>137.77726245039</v>
      </c>
      <c r="T39" s="109">
        <f t="shared" si="12"/>
        <v>0</v>
      </c>
      <c r="U39" s="109">
        <f t="shared" si="12"/>
        <v>137.77726245039</v>
      </c>
      <c r="V39" s="109">
        <f t="shared" si="12"/>
        <v>0</v>
      </c>
      <c r="W39" s="109">
        <f t="shared" si="12"/>
        <v>137.77726245039</v>
      </c>
      <c r="X39" s="109">
        <f t="shared" si="12"/>
        <v>0</v>
      </c>
      <c r="Y39" s="109">
        <f t="shared" si="12"/>
        <v>153.08547000000002</v>
      </c>
      <c r="Z39" s="109">
        <f t="shared" si="12"/>
        <v>6.6558899999999994</v>
      </c>
      <c r="AA39" s="109">
        <f t="shared" si="12"/>
        <v>153.08547000000002</v>
      </c>
      <c r="AB39" s="109">
        <f t="shared" si="12"/>
        <v>6.6558899999999994</v>
      </c>
      <c r="AC39" s="109">
        <f t="shared" si="12"/>
        <v>153.08547000000002</v>
      </c>
      <c r="AD39" s="109">
        <f t="shared" si="12"/>
        <v>6.6558899999999994</v>
      </c>
      <c r="AE39" s="109">
        <f t="shared" si="12"/>
        <v>153.08547000000002</v>
      </c>
      <c r="AF39" s="109">
        <f t="shared" si="12"/>
        <v>6.6558899999999994</v>
      </c>
      <c r="AG39" s="109">
        <f t="shared" si="12"/>
        <v>153.08547000000002</v>
      </c>
      <c r="AH39" s="109">
        <f t="shared" si="12"/>
        <v>6.6558899999999994</v>
      </c>
      <c r="AI39" s="109">
        <f t="shared" si="12"/>
        <v>153.08547000000002</v>
      </c>
      <c r="AJ39" s="109">
        <f t="shared" si="12"/>
        <v>6.6558899999999994</v>
      </c>
      <c r="AK39" s="109">
        <f t="shared" si="12"/>
        <v>153.08547000000002</v>
      </c>
      <c r="AL39" s="109">
        <f t="shared" si="12"/>
        <v>6.6558899999999994</v>
      </c>
      <c r="AM39" s="109">
        <f t="shared" si="12"/>
        <v>153.08547000000002</v>
      </c>
      <c r="AN39" s="109">
        <f t="shared" si="12"/>
        <v>6.6558899999999994</v>
      </c>
      <c r="AO39" s="109">
        <f t="shared" si="12"/>
        <v>153.08547000000002</v>
      </c>
      <c r="AP39" s="109">
        <f t="shared" si="12"/>
        <v>6.6558899999999994</v>
      </c>
      <c r="AQ39" s="109">
        <f t="shared" si="12"/>
        <v>153.08547000000002</v>
      </c>
      <c r="AR39" s="109">
        <f t="shared" si="12"/>
        <v>6.6558899999999994</v>
      </c>
      <c r="AS39" s="109">
        <f t="shared" si="12"/>
        <v>153.08547000000002</v>
      </c>
      <c r="AT39" s="109">
        <f t="shared" si="12"/>
        <v>6.6558899999999994</v>
      </c>
      <c r="AU39" s="109">
        <f t="shared" si="12"/>
        <v>153.08547000000002</v>
      </c>
      <c r="AV39" s="109">
        <f t="shared" si="12"/>
        <v>6.6558899999999994</v>
      </c>
      <c r="AW39" s="109">
        <f t="shared" si="12"/>
        <v>153.08547000000002</v>
      </c>
      <c r="AX39" s="109">
        <f t="shared" si="12"/>
        <v>6.6558899999999994</v>
      </c>
      <c r="AY39" s="109">
        <f t="shared" si="12"/>
        <v>153.08547000000002</v>
      </c>
    </row>
    <row r="40" spans="1:52">
      <c r="A40" s="109"/>
      <c r="B40" s="164" t="s">
        <v>347</v>
      </c>
      <c r="C40" s="109"/>
      <c r="D40" s="109">
        <f>D34-D37</f>
        <v>0</v>
      </c>
      <c r="E40" s="109">
        <f t="shared" ref="E40:AY40" si="13">E34-E37</f>
        <v>0</v>
      </c>
      <c r="F40" s="109">
        <f t="shared" si="13"/>
        <v>8.3441100000000006</v>
      </c>
      <c r="G40" s="109">
        <f t="shared" si="13"/>
        <v>172.72350254960998</v>
      </c>
      <c r="H40" s="109">
        <f t="shared" si="13"/>
        <v>0</v>
      </c>
      <c r="I40" s="109">
        <f t="shared" si="13"/>
        <v>172.72350254960998</v>
      </c>
      <c r="J40" s="109">
        <f t="shared" si="13"/>
        <v>0</v>
      </c>
      <c r="K40" s="109">
        <f t="shared" si="13"/>
        <v>172.72350254960998</v>
      </c>
      <c r="L40" s="109">
        <f t="shared" si="13"/>
        <v>0</v>
      </c>
      <c r="M40" s="109">
        <f t="shared" si="13"/>
        <v>191.91452999999998</v>
      </c>
      <c r="N40" s="109">
        <f t="shared" si="13"/>
        <v>8.3441100000000006</v>
      </c>
      <c r="O40" s="109">
        <f t="shared" si="13"/>
        <v>191.91452999999998</v>
      </c>
      <c r="P40" s="109">
        <f t="shared" si="13"/>
        <v>8.3441100000000006</v>
      </c>
      <c r="Q40" s="109">
        <f t="shared" si="13"/>
        <v>172.72350254960998</v>
      </c>
      <c r="R40" s="109">
        <f t="shared" si="13"/>
        <v>0</v>
      </c>
      <c r="S40" s="109">
        <f t="shared" si="13"/>
        <v>172.72350254960998</v>
      </c>
      <c r="T40" s="109">
        <f t="shared" si="13"/>
        <v>0</v>
      </c>
      <c r="U40" s="109">
        <f t="shared" si="13"/>
        <v>172.72350254960998</v>
      </c>
      <c r="V40" s="109">
        <f t="shared" si="13"/>
        <v>0</v>
      </c>
      <c r="W40" s="109">
        <f t="shared" si="13"/>
        <v>172.72350254960998</v>
      </c>
      <c r="X40" s="109">
        <f t="shared" si="13"/>
        <v>0</v>
      </c>
      <c r="Y40" s="109">
        <f t="shared" si="13"/>
        <v>191.91452999999998</v>
      </c>
      <c r="Z40" s="109">
        <f t="shared" si="13"/>
        <v>8.3441100000000006</v>
      </c>
      <c r="AA40" s="109">
        <f t="shared" si="13"/>
        <v>191.91452999999998</v>
      </c>
      <c r="AB40" s="109">
        <f t="shared" si="13"/>
        <v>8.3441100000000006</v>
      </c>
      <c r="AC40" s="109">
        <f t="shared" si="13"/>
        <v>191.91452999999998</v>
      </c>
      <c r="AD40" s="109">
        <f t="shared" si="13"/>
        <v>8.3441100000000006</v>
      </c>
      <c r="AE40" s="109">
        <f t="shared" si="13"/>
        <v>191.91452999999998</v>
      </c>
      <c r="AF40" s="109">
        <f t="shared" si="13"/>
        <v>8.3441100000000006</v>
      </c>
      <c r="AG40" s="109">
        <f t="shared" si="13"/>
        <v>191.91452999999998</v>
      </c>
      <c r="AH40" s="109">
        <f t="shared" si="13"/>
        <v>8.3441100000000006</v>
      </c>
      <c r="AI40" s="109">
        <f t="shared" si="13"/>
        <v>191.91452999999998</v>
      </c>
      <c r="AJ40" s="109">
        <f t="shared" si="13"/>
        <v>8.3441100000000006</v>
      </c>
      <c r="AK40" s="109">
        <f t="shared" si="13"/>
        <v>191.91452999999998</v>
      </c>
      <c r="AL40" s="109">
        <f t="shared" si="13"/>
        <v>8.3441100000000006</v>
      </c>
      <c r="AM40" s="109">
        <f t="shared" si="13"/>
        <v>191.91452999999998</v>
      </c>
      <c r="AN40" s="109">
        <f t="shared" si="13"/>
        <v>8.3441100000000006</v>
      </c>
      <c r="AO40" s="109">
        <f t="shared" si="13"/>
        <v>191.91452999999998</v>
      </c>
      <c r="AP40" s="109">
        <f t="shared" si="13"/>
        <v>8.3441100000000006</v>
      </c>
      <c r="AQ40" s="109">
        <f t="shared" si="13"/>
        <v>191.91452999999998</v>
      </c>
      <c r="AR40" s="109">
        <f t="shared" si="13"/>
        <v>8.3441100000000006</v>
      </c>
      <c r="AS40" s="109">
        <f t="shared" si="13"/>
        <v>191.91452999999998</v>
      </c>
      <c r="AT40" s="109">
        <f t="shared" si="13"/>
        <v>8.3441100000000006</v>
      </c>
      <c r="AU40" s="109">
        <f t="shared" si="13"/>
        <v>191.91452999999998</v>
      </c>
      <c r="AV40" s="109">
        <f t="shared" si="13"/>
        <v>8.3441100000000006</v>
      </c>
      <c r="AW40" s="109">
        <f t="shared" si="13"/>
        <v>191.91452999999998</v>
      </c>
      <c r="AX40" s="109">
        <f t="shared" si="13"/>
        <v>8.3441100000000006</v>
      </c>
      <c r="AY40" s="109">
        <f t="shared" si="13"/>
        <v>191.91452999999998</v>
      </c>
    </row>
    <row r="41" spans="1:52">
      <c r="A41" s="109"/>
      <c r="B41" s="164" t="s">
        <v>348</v>
      </c>
      <c r="C41" s="109"/>
      <c r="D41" s="109">
        <v>2</v>
      </c>
      <c r="E41" s="109">
        <v>1</v>
      </c>
      <c r="F41" s="109">
        <v>2</v>
      </c>
      <c r="G41" s="109">
        <v>1</v>
      </c>
      <c r="H41" s="109">
        <v>2</v>
      </c>
      <c r="I41" s="109">
        <v>2</v>
      </c>
      <c r="J41" s="109">
        <v>1</v>
      </c>
      <c r="K41" s="109">
        <v>2</v>
      </c>
      <c r="L41" s="109">
        <v>1</v>
      </c>
      <c r="M41" s="109">
        <v>1</v>
      </c>
      <c r="N41" s="109">
        <v>1</v>
      </c>
      <c r="O41" s="109">
        <v>1</v>
      </c>
      <c r="P41" s="109">
        <v>2</v>
      </c>
      <c r="Q41" s="109">
        <v>1</v>
      </c>
      <c r="R41" s="109">
        <v>1</v>
      </c>
      <c r="S41" s="109">
        <v>3</v>
      </c>
      <c r="T41" s="109">
        <v>1</v>
      </c>
      <c r="U41" s="109">
        <v>1</v>
      </c>
      <c r="V41" s="109">
        <v>3</v>
      </c>
      <c r="W41" s="109">
        <v>2</v>
      </c>
      <c r="X41" s="109">
        <v>3</v>
      </c>
      <c r="Y41" s="109">
        <v>1</v>
      </c>
      <c r="Z41" s="109">
        <v>2</v>
      </c>
      <c r="AA41" s="109">
        <v>3</v>
      </c>
      <c r="AB41" s="109">
        <v>1</v>
      </c>
      <c r="AC41" s="109">
        <v>2</v>
      </c>
      <c r="AD41" s="109">
        <v>1</v>
      </c>
      <c r="AE41" s="109">
        <v>1</v>
      </c>
      <c r="AF41" s="109">
        <v>1</v>
      </c>
      <c r="AG41" s="109">
        <v>1</v>
      </c>
      <c r="AH41" s="109">
        <v>1</v>
      </c>
      <c r="AI41" s="109">
        <v>1</v>
      </c>
      <c r="AJ41" s="109">
        <v>1</v>
      </c>
      <c r="AK41" s="109">
        <v>2</v>
      </c>
      <c r="AL41" s="109">
        <v>3</v>
      </c>
      <c r="AM41" s="109">
        <v>2</v>
      </c>
      <c r="AN41" s="109">
        <v>1</v>
      </c>
      <c r="AO41" s="109">
        <v>1</v>
      </c>
      <c r="AP41" s="109">
        <v>1</v>
      </c>
      <c r="AQ41" s="109">
        <v>1</v>
      </c>
      <c r="AR41" s="109">
        <v>3</v>
      </c>
      <c r="AS41" s="109">
        <v>1</v>
      </c>
      <c r="AT41" s="109">
        <v>2</v>
      </c>
      <c r="AU41" s="109">
        <v>1</v>
      </c>
      <c r="AV41" s="109">
        <v>3</v>
      </c>
      <c r="AW41" s="109">
        <v>2</v>
      </c>
      <c r="AX41" s="109">
        <v>1</v>
      </c>
      <c r="AY41" s="109">
        <v>3</v>
      </c>
    </row>
    <row r="42" spans="1:52">
      <c r="A42" s="109"/>
      <c r="B42" s="177" t="s">
        <v>349</v>
      </c>
      <c r="C42" s="109"/>
      <c r="D42" s="109">
        <v>0</v>
      </c>
      <c r="E42" s="109">
        <v>0</v>
      </c>
      <c r="F42" s="109">
        <v>528660</v>
      </c>
      <c r="G42" s="109">
        <v>0</v>
      </c>
      <c r="H42" s="109">
        <v>528660</v>
      </c>
      <c r="I42" s="109">
        <v>0</v>
      </c>
      <c r="J42" s="109">
        <v>528660</v>
      </c>
      <c r="K42" s="109">
        <v>0</v>
      </c>
      <c r="L42" s="109">
        <v>528660</v>
      </c>
      <c r="M42" s="109">
        <v>0</v>
      </c>
      <c r="N42" s="109">
        <v>528660</v>
      </c>
      <c r="O42" s="109">
        <v>0</v>
      </c>
      <c r="P42" s="109">
        <v>528660</v>
      </c>
      <c r="Q42" s="109">
        <v>0</v>
      </c>
      <c r="R42" s="109">
        <v>528660</v>
      </c>
      <c r="S42" s="109">
        <v>0</v>
      </c>
      <c r="T42" s="109">
        <v>528660</v>
      </c>
      <c r="U42" s="109">
        <v>0</v>
      </c>
      <c r="V42" s="109">
        <v>528660</v>
      </c>
      <c r="W42" s="109">
        <v>0</v>
      </c>
      <c r="X42" s="109">
        <v>528660</v>
      </c>
      <c r="Y42" s="109">
        <v>0</v>
      </c>
      <c r="Z42" s="109">
        <v>528660</v>
      </c>
      <c r="AA42" s="109">
        <v>0</v>
      </c>
      <c r="AB42" s="109">
        <v>528660</v>
      </c>
      <c r="AC42" s="109">
        <v>0</v>
      </c>
      <c r="AD42" s="109">
        <v>528660</v>
      </c>
      <c r="AE42" s="109">
        <v>0</v>
      </c>
      <c r="AF42" s="109">
        <v>528660</v>
      </c>
      <c r="AG42" s="109">
        <v>0</v>
      </c>
      <c r="AH42" s="109">
        <v>528660</v>
      </c>
      <c r="AI42" s="109">
        <v>0</v>
      </c>
      <c r="AJ42" s="109">
        <v>528660</v>
      </c>
      <c r="AK42" s="109">
        <v>0</v>
      </c>
      <c r="AL42" s="109">
        <v>528660</v>
      </c>
      <c r="AM42" s="109">
        <v>0</v>
      </c>
      <c r="AN42" s="109">
        <v>528660</v>
      </c>
      <c r="AO42" s="109">
        <v>0</v>
      </c>
      <c r="AP42" s="109">
        <v>528660</v>
      </c>
      <c r="AQ42" s="109">
        <v>0</v>
      </c>
      <c r="AR42" s="109">
        <v>528660</v>
      </c>
      <c r="AS42" s="109">
        <v>0</v>
      </c>
      <c r="AT42" s="109">
        <v>528660</v>
      </c>
      <c r="AU42" s="109">
        <v>0</v>
      </c>
      <c r="AV42" s="109">
        <v>528660</v>
      </c>
      <c r="AW42" s="109">
        <v>0</v>
      </c>
      <c r="AX42" s="109">
        <v>528660</v>
      </c>
      <c r="AY42" s="109">
        <v>0</v>
      </c>
      <c r="AZ42" s="99">
        <f>SUM($D$42:$AY$42)</f>
        <v>12159180</v>
      </c>
    </row>
    <row r="43" spans="1:52">
      <c r="A43" s="109"/>
      <c r="B43" s="177" t="s">
        <v>350</v>
      </c>
      <c r="C43" s="109"/>
      <c r="D43" s="109">
        <v>0</v>
      </c>
      <c r="E43" s="109">
        <v>0</v>
      </c>
      <c r="F43" s="109">
        <v>13016.25</v>
      </c>
      <c r="G43" s="109">
        <v>269437.03882875002</v>
      </c>
      <c r="H43" s="109">
        <v>0</v>
      </c>
      <c r="I43" s="109">
        <v>269437.03882875002</v>
      </c>
      <c r="J43" s="109">
        <v>0</v>
      </c>
      <c r="K43" s="109">
        <v>269437.03882875002</v>
      </c>
      <c r="L43" s="109">
        <v>0</v>
      </c>
      <c r="M43" s="109">
        <v>299373.75</v>
      </c>
      <c r="N43" s="109">
        <v>13016.25</v>
      </c>
      <c r="O43" s="109">
        <v>299373.75</v>
      </c>
      <c r="P43" s="109">
        <v>13016.25</v>
      </c>
      <c r="Q43" s="109">
        <v>269437.03882875002</v>
      </c>
      <c r="R43" s="109">
        <v>0</v>
      </c>
      <c r="S43" s="109">
        <v>269437.03882875002</v>
      </c>
      <c r="T43" s="109">
        <v>0</v>
      </c>
      <c r="U43" s="109">
        <v>269437.03882875002</v>
      </c>
      <c r="V43" s="109">
        <v>0</v>
      </c>
      <c r="W43" s="109">
        <v>269437.03882875002</v>
      </c>
      <c r="X43" s="109">
        <v>0</v>
      </c>
      <c r="Y43" s="109">
        <v>299373.75</v>
      </c>
      <c r="Z43" s="109">
        <v>13016.25</v>
      </c>
      <c r="AA43" s="109">
        <v>299373.75</v>
      </c>
      <c r="AB43" s="109">
        <v>13016.25</v>
      </c>
      <c r="AC43" s="109">
        <v>299373.75</v>
      </c>
      <c r="AD43" s="109">
        <v>13016.25</v>
      </c>
      <c r="AE43" s="109">
        <v>299373.75</v>
      </c>
      <c r="AF43" s="109">
        <v>13016.25</v>
      </c>
      <c r="AG43" s="109">
        <v>299373.75</v>
      </c>
      <c r="AH43" s="109">
        <v>13016.25</v>
      </c>
      <c r="AI43" s="109">
        <v>299373.75</v>
      </c>
      <c r="AJ43" s="109">
        <v>13016.25</v>
      </c>
      <c r="AK43" s="109">
        <v>299373.75</v>
      </c>
      <c r="AL43" s="109">
        <v>13016.25</v>
      </c>
      <c r="AM43" s="109">
        <v>299373.75</v>
      </c>
      <c r="AN43" s="109">
        <v>13016.25</v>
      </c>
      <c r="AO43" s="109">
        <v>299373.75</v>
      </c>
      <c r="AP43" s="109">
        <v>13016.25</v>
      </c>
      <c r="AQ43" s="109">
        <v>299373.75</v>
      </c>
      <c r="AR43" s="109">
        <v>13016.25</v>
      </c>
      <c r="AS43" s="109">
        <v>299373.75</v>
      </c>
      <c r="AT43" s="109">
        <v>13016.25</v>
      </c>
      <c r="AU43" s="109">
        <v>299373.75</v>
      </c>
      <c r="AV43" s="109">
        <v>13016.25</v>
      </c>
      <c r="AW43" s="109">
        <v>299373.75</v>
      </c>
      <c r="AX43" s="109">
        <v>13016.25</v>
      </c>
      <c r="AY43" s="109">
        <v>299373.75</v>
      </c>
      <c r="AZ43" s="99">
        <f>SUM($D$43:$AY$43)</f>
        <v>6884299.2718012501</v>
      </c>
    </row>
    <row r="44" spans="1:52">
      <c r="A44" s="134" t="s">
        <v>59</v>
      </c>
      <c r="B44" s="134" t="s">
        <v>340</v>
      </c>
      <c r="C44" s="123"/>
      <c r="D44" s="123">
        <f>D$21*shipping_manufacturing!$D$28/100</f>
        <v>0</v>
      </c>
      <c r="E44" s="123">
        <f>E$21*shipping_manufacturing!$D$28/100</f>
        <v>0</v>
      </c>
      <c r="F44" s="123">
        <f>F$21*shipping_manufacturing!$D$28/100</f>
        <v>0</v>
      </c>
      <c r="G44" s="123">
        <f>G$21*shipping_manufacturing!$D$28/100</f>
        <v>0</v>
      </c>
      <c r="H44" s="123">
        <f>H$21*shipping_manufacturing!$D$28/100</f>
        <v>0</v>
      </c>
      <c r="I44" s="123">
        <f>I$21*shipping_manufacturing!$D$28/100</f>
        <v>0</v>
      </c>
      <c r="J44" s="123">
        <f>J$21*shipping_manufacturing!$D$28/100</f>
        <v>0</v>
      </c>
      <c r="K44" s="123">
        <f>K$21*shipping_manufacturing!$D$28/100</f>
        <v>0</v>
      </c>
      <c r="L44" s="123">
        <f>L$21*shipping_manufacturing!$D$28/100</f>
        <v>0</v>
      </c>
      <c r="M44" s="123">
        <f>M$21*shipping_manufacturing!$D$28/100</f>
        <v>0</v>
      </c>
      <c r="N44" s="123">
        <f>N$21*shipping_manufacturing!$D$28/100</f>
        <v>0</v>
      </c>
      <c r="O44" s="123">
        <f>O$21*shipping_manufacturing!$D$28/100</f>
        <v>0</v>
      </c>
      <c r="P44" s="123">
        <f>P$21*shipping_manufacturing!$D$28/100</f>
        <v>0</v>
      </c>
      <c r="Q44" s="123">
        <f>Q$21*shipping_manufacturing!$D$28/100</f>
        <v>0</v>
      </c>
      <c r="R44" s="123">
        <f>R$21*shipping_manufacturing!$D$28/100</f>
        <v>0</v>
      </c>
      <c r="S44" s="123">
        <f>S$21*shipping_manufacturing!$D$28/100</f>
        <v>0</v>
      </c>
      <c r="T44" s="123">
        <f>T$21*shipping_manufacturing!$D$28/100</f>
        <v>0</v>
      </c>
      <c r="U44" s="123">
        <f>U$21*shipping_manufacturing!$D$28/100</f>
        <v>0</v>
      </c>
      <c r="V44" s="123">
        <f>V$21*shipping_manufacturing!$D$28/100</f>
        <v>0</v>
      </c>
      <c r="W44" s="123">
        <f>W$21*shipping_manufacturing!$D$28/100</f>
        <v>0</v>
      </c>
      <c r="X44" s="123">
        <f>X$21*shipping_manufacturing!$D$28/100</f>
        <v>0</v>
      </c>
      <c r="Y44" s="123">
        <f>Y$21*shipping_manufacturing!$D$28/100</f>
        <v>0</v>
      </c>
      <c r="Z44" s="123">
        <f>Z$21*shipping_manufacturing!$D$28/100</f>
        <v>0</v>
      </c>
      <c r="AA44" s="123">
        <f>AA$21*shipping_manufacturing!$D$28/100</f>
        <v>0</v>
      </c>
      <c r="AB44" s="123">
        <f>AB$21*shipping_manufacturing!$D$28/100</f>
        <v>0</v>
      </c>
      <c r="AC44" s="123">
        <f>AC$21*shipping_manufacturing!$D$28/100</f>
        <v>0</v>
      </c>
      <c r="AD44" s="123">
        <f>AD$21*shipping_manufacturing!$D$28/100</f>
        <v>0</v>
      </c>
      <c r="AE44" s="123">
        <f>AE$21*shipping_manufacturing!$D$28/100</f>
        <v>0</v>
      </c>
      <c r="AF44" s="123">
        <f>AF$21*shipping_manufacturing!$D$28/100</f>
        <v>0</v>
      </c>
      <c r="AG44" s="123">
        <f>AG$21*shipping_manufacturing!$D$28/100</f>
        <v>0</v>
      </c>
      <c r="AH44" s="123">
        <f>AH$21*shipping_manufacturing!$D$28/100</f>
        <v>0</v>
      </c>
      <c r="AI44" s="123">
        <f>AI$21*shipping_manufacturing!$D$28/100</f>
        <v>0</v>
      </c>
      <c r="AJ44" s="123">
        <f>AJ$21*shipping_manufacturing!$D$28/100</f>
        <v>0</v>
      </c>
      <c r="AK44" s="123">
        <f>AK$21*shipping_manufacturing!$D$28/100</f>
        <v>0</v>
      </c>
      <c r="AL44" s="123">
        <f>AL$21*shipping_manufacturing!$D$28/100</f>
        <v>0</v>
      </c>
      <c r="AM44" s="123">
        <f>AM$21*shipping_manufacturing!$D$28/100</f>
        <v>0</v>
      </c>
      <c r="AN44" s="123">
        <f>AN$21*shipping_manufacturing!$D$28/100</f>
        <v>0</v>
      </c>
      <c r="AO44" s="123">
        <f>AO$21*shipping_manufacturing!$D$28/100</f>
        <v>0</v>
      </c>
      <c r="AP44" s="123">
        <f>AP$21*shipping_manufacturing!$D$28/100</f>
        <v>0</v>
      </c>
      <c r="AQ44" s="123">
        <f>AQ$21*shipping_manufacturing!$D$28/100</f>
        <v>0</v>
      </c>
      <c r="AR44" s="123">
        <f>AR$21*shipping_manufacturing!$D$28/100</f>
        <v>0</v>
      </c>
      <c r="AS44" s="123">
        <f>AS$21*shipping_manufacturing!$D$28/100</f>
        <v>0</v>
      </c>
      <c r="AT44" s="123">
        <f>AT$21*shipping_manufacturing!$D$28/100</f>
        <v>0</v>
      </c>
      <c r="AU44" s="123">
        <f>AU$21*shipping_manufacturing!$D$28/100</f>
        <v>0</v>
      </c>
      <c r="AV44" s="123">
        <f>AV$21*shipping_manufacturing!$D$28/100</f>
        <v>0</v>
      </c>
      <c r="AW44" s="123">
        <f>AW$21*shipping_manufacturing!$D$28/100</f>
        <v>0</v>
      </c>
      <c r="AX44" s="123">
        <f>AX$21*shipping_manufacturing!$D$28/100</f>
        <v>0</v>
      </c>
      <c r="AY44" s="123">
        <f>AY$21*shipping_manufacturing!$D$28/100</f>
        <v>0</v>
      </c>
    </row>
    <row r="45" spans="1:52">
      <c r="A45" s="112" t="s">
        <v>339</v>
      </c>
      <c r="B45" s="164" t="s">
        <v>341</v>
      </c>
      <c r="C45" s="109"/>
      <c r="D45" s="109">
        <f>D$22*shipping_manufacturing!$E$28/100</f>
        <v>0</v>
      </c>
      <c r="E45" s="109">
        <f>E$22*shipping_manufacturing!$E$28/100</f>
        <v>0</v>
      </c>
      <c r="F45" s="109">
        <f>F$22*shipping_manufacturing!$E$28/100</f>
        <v>0</v>
      </c>
      <c r="G45" s="109">
        <f>G$22*shipping_manufacturing!$E$28/100</f>
        <v>0</v>
      </c>
      <c r="H45" s="109">
        <f>H$22*shipping_manufacturing!$E$28/100</f>
        <v>0</v>
      </c>
      <c r="I45" s="109">
        <f>I$22*shipping_manufacturing!$E$28/100</f>
        <v>0</v>
      </c>
      <c r="J45" s="109">
        <f>J$22*shipping_manufacturing!$E$28/100</f>
        <v>0</v>
      </c>
      <c r="K45" s="109">
        <f>K$22*shipping_manufacturing!$E$28/100</f>
        <v>0</v>
      </c>
      <c r="L45" s="109">
        <f>L$22*shipping_manufacturing!$E$28/100</f>
        <v>0</v>
      </c>
      <c r="M45" s="109">
        <f>M$22*shipping_manufacturing!$E$28/100</f>
        <v>0</v>
      </c>
      <c r="N45" s="109">
        <f>N$22*shipping_manufacturing!$E$28/100</f>
        <v>0</v>
      </c>
      <c r="O45" s="109">
        <f>O$22*shipping_manufacturing!$E$28/100</f>
        <v>0</v>
      </c>
      <c r="P45" s="109">
        <f>P$22*shipping_manufacturing!$E$28/100</f>
        <v>0</v>
      </c>
      <c r="Q45" s="109">
        <f>Q$22*shipping_manufacturing!$E$28/100</f>
        <v>0</v>
      </c>
      <c r="R45" s="109">
        <f>R$22*shipping_manufacturing!$E$28/100</f>
        <v>0</v>
      </c>
      <c r="S45" s="109">
        <f>S$22*shipping_manufacturing!$E$28/100</f>
        <v>0</v>
      </c>
      <c r="T45" s="109">
        <f>T$22*shipping_manufacturing!$E$28/100</f>
        <v>0</v>
      </c>
      <c r="U45" s="109">
        <f>U$22*shipping_manufacturing!$E$28/100</f>
        <v>0</v>
      </c>
      <c r="V45" s="109">
        <f>V$22*shipping_manufacturing!$E$28/100</f>
        <v>0</v>
      </c>
      <c r="W45" s="109">
        <f>W$22*shipping_manufacturing!$E$28/100</f>
        <v>0</v>
      </c>
      <c r="X45" s="109">
        <f>X$22*shipping_manufacturing!$E$28/100</f>
        <v>0</v>
      </c>
      <c r="Y45" s="109">
        <f>Y$22*shipping_manufacturing!$E$28/100</f>
        <v>0</v>
      </c>
      <c r="Z45" s="109">
        <f>Z$22*shipping_manufacturing!$E$28/100</f>
        <v>0</v>
      </c>
      <c r="AA45" s="109">
        <f>AA$22*shipping_manufacturing!$E$28/100</f>
        <v>0</v>
      </c>
      <c r="AB45" s="109">
        <f>AB$22*shipping_manufacturing!$E$28/100</f>
        <v>0</v>
      </c>
      <c r="AC45" s="109">
        <f>AC$22*shipping_manufacturing!$E$28/100</f>
        <v>0</v>
      </c>
      <c r="AD45" s="109">
        <f>AD$22*shipping_manufacturing!$E$28/100</f>
        <v>0</v>
      </c>
      <c r="AE45" s="109">
        <f>AE$22*shipping_manufacturing!$E$28/100</f>
        <v>0</v>
      </c>
      <c r="AF45" s="109">
        <f>AF$22*shipping_manufacturing!$E$28/100</f>
        <v>0</v>
      </c>
      <c r="AG45" s="109">
        <f>AG$22*shipping_manufacturing!$E$28/100</f>
        <v>0</v>
      </c>
      <c r="AH45" s="109">
        <f>AH$22*shipping_manufacturing!$E$28/100</f>
        <v>0</v>
      </c>
      <c r="AI45" s="109">
        <f>AI$22*shipping_manufacturing!$E$28/100</f>
        <v>0</v>
      </c>
      <c r="AJ45" s="109">
        <f>AJ$22*shipping_manufacturing!$E$28/100</f>
        <v>0</v>
      </c>
      <c r="AK45" s="109">
        <f>AK$22*shipping_manufacturing!$E$28/100</f>
        <v>0</v>
      </c>
      <c r="AL45" s="109">
        <f>AL$22*shipping_manufacturing!$E$28/100</f>
        <v>0</v>
      </c>
      <c r="AM45" s="109">
        <f>AM$22*shipping_manufacturing!$E$28/100</f>
        <v>0</v>
      </c>
      <c r="AN45" s="109">
        <f>AN$22*shipping_manufacturing!$E$28/100</f>
        <v>0</v>
      </c>
      <c r="AO45" s="109">
        <f>AO$22*shipping_manufacturing!$E$28/100</f>
        <v>0</v>
      </c>
      <c r="AP45" s="109">
        <f>AP$22*shipping_manufacturing!$E$28/100</f>
        <v>0</v>
      </c>
      <c r="AQ45" s="109">
        <f>AQ$22*shipping_manufacturing!$E$28/100</f>
        <v>0</v>
      </c>
      <c r="AR45" s="109">
        <f>AR$22*shipping_manufacturing!$E$28/100</f>
        <v>0</v>
      </c>
      <c r="AS45" s="109">
        <f>AS$22*shipping_manufacturing!$E$28/100</f>
        <v>0</v>
      </c>
      <c r="AT45" s="109">
        <f>AT$22*shipping_manufacturing!$E$28/100</f>
        <v>0</v>
      </c>
      <c r="AU45" s="109">
        <f>AU$22*shipping_manufacturing!$E$28/100</f>
        <v>0</v>
      </c>
      <c r="AV45" s="109">
        <f>AV$22*shipping_manufacturing!$E$28/100</f>
        <v>0</v>
      </c>
      <c r="AW45" s="109">
        <f>AW$22*shipping_manufacturing!$E$28/100</f>
        <v>0</v>
      </c>
      <c r="AX45" s="109">
        <f>AX$22*shipping_manufacturing!$E$28/100</f>
        <v>0</v>
      </c>
      <c r="AY45" s="109">
        <f>AY$22*shipping_manufacturing!$E$28/100</f>
        <v>0</v>
      </c>
    </row>
    <row r="46" spans="1:52">
      <c r="A46" s="109">
        <v>718</v>
      </c>
      <c r="B46" s="164" t="s">
        <v>342</v>
      </c>
      <c r="C46" s="109"/>
      <c r="D46" s="109">
        <f>SUM(D44:D45)</f>
        <v>0</v>
      </c>
      <c r="E46" s="109">
        <f t="shared" ref="E46:AY46" si="14">SUM(E44:E45)</f>
        <v>0</v>
      </c>
      <c r="F46" s="109">
        <f t="shared" si="14"/>
        <v>0</v>
      </c>
      <c r="G46" s="109">
        <f t="shared" si="14"/>
        <v>0</v>
      </c>
      <c r="H46" s="109">
        <f t="shared" si="14"/>
        <v>0</v>
      </c>
      <c r="I46" s="109">
        <f t="shared" si="14"/>
        <v>0</v>
      </c>
      <c r="J46" s="109">
        <f t="shared" si="14"/>
        <v>0</v>
      </c>
      <c r="K46" s="109">
        <f t="shared" si="14"/>
        <v>0</v>
      </c>
      <c r="L46" s="109">
        <f t="shared" si="14"/>
        <v>0</v>
      </c>
      <c r="M46" s="109">
        <f t="shared" si="14"/>
        <v>0</v>
      </c>
      <c r="N46" s="109">
        <f t="shared" si="14"/>
        <v>0</v>
      </c>
      <c r="O46" s="109">
        <f t="shared" si="14"/>
        <v>0</v>
      </c>
      <c r="P46" s="109">
        <f t="shared" si="14"/>
        <v>0</v>
      </c>
      <c r="Q46" s="109">
        <f t="shared" si="14"/>
        <v>0</v>
      </c>
      <c r="R46" s="109">
        <f t="shared" si="14"/>
        <v>0</v>
      </c>
      <c r="S46" s="109">
        <f t="shared" si="14"/>
        <v>0</v>
      </c>
      <c r="T46" s="109">
        <f t="shared" si="14"/>
        <v>0</v>
      </c>
      <c r="U46" s="109">
        <f t="shared" si="14"/>
        <v>0</v>
      </c>
      <c r="V46" s="109">
        <f t="shared" si="14"/>
        <v>0</v>
      </c>
      <c r="W46" s="109">
        <f t="shared" si="14"/>
        <v>0</v>
      </c>
      <c r="X46" s="109">
        <f t="shared" si="14"/>
        <v>0</v>
      </c>
      <c r="Y46" s="109">
        <f t="shared" si="14"/>
        <v>0</v>
      </c>
      <c r="Z46" s="109">
        <f t="shared" si="14"/>
        <v>0</v>
      </c>
      <c r="AA46" s="109">
        <f t="shared" si="14"/>
        <v>0</v>
      </c>
      <c r="AB46" s="109">
        <f t="shared" si="14"/>
        <v>0</v>
      </c>
      <c r="AC46" s="109">
        <f t="shared" si="14"/>
        <v>0</v>
      </c>
      <c r="AD46" s="109">
        <f t="shared" si="14"/>
        <v>0</v>
      </c>
      <c r="AE46" s="109">
        <f t="shared" si="14"/>
        <v>0</v>
      </c>
      <c r="AF46" s="109">
        <f t="shared" si="14"/>
        <v>0</v>
      </c>
      <c r="AG46" s="109">
        <f t="shared" si="14"/>
        <v>0</v>
      </c>
      <c r="AH46" s="109">
        <f t="shared" si="14"/>
        <v>0</v>
      </c>
      <c r="AI46" s="109">
        <f t="shared" si="14"/>
        <v>0</v>
      </c>
      <c r="AJ46" s="109">
        <f t="shared" si="14"/>
        <v>0</v>
      </c>
      <c r="AK46" s="109">
        <f t="shared" si="14"/>
        <v>0</v>
      </c>
      <c r="AL46" s="109">
        <f t="shared" si="14"/>
        <v>0</v>
      </c>
      <c r="AM46" s="109">
        <f t="shared" si="14"/>
        <v>0</v>
      </c>
      <c r="AN46" s="109">
        <f t="shared" si="14"/>
        <v>0</v>
      </c>
      <c r="AO46" s="109">
        <f t="shared" si="14"/>
        <v>0</v>
      </c>
      <c r="AP46" s="109">
        <f t="shared" si="14"/>
        <v>0</v>
      </c>
      <c r="AQ46" s="109">
        <f t="shared" si="14"/>
        <v>0</v>
      </c>
      <c r="AR46" s="109">
        <f t="shared" si="14"/>
        <v>0</v>
      </c>
      <c r="AS46" s="109">
        <f t="shared" si="14"/>
        <v>0</v>
      </c>
      <c r="AT46" s="109">
        <f t="shared" si="14"/>
        <v>0</v>
      </c>
      <c r="AU46" s="109">
        <f t="shared" si="14"/>
        <v>0</v>
      </c>
      <c r="AV46" s="109">
        <f t="shared" si="14"/>
        <v>0</v>
      </c>
      <c r="AW46" s="109">
        <f t="shared" si="14"/>
        <v>0</v>
      </c>
      <c r="AX46" s="109">
        <f t="shared" si="14"/>
        <v>0</v>
      </c>
      <c r="AY46" s="109">
        <f t="shared" si="14"/>
        <v>0</v>
      </c>
    </row>
    <row r="47" spans="1:52">
      <c r="A47" s="109"/>
      <c r="B47" s="164" t="s">
        <v>343</v>
      </c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</row>
    <row r="48" spans="1:52">
      <c r="A48" s="109"/>
      <c r="B48" s="164" t="s">
        <v>344</v>
      </c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</row>
    <row r="49" spans="1:52">
      <c r="A49" s="109"/>
      <c r="B49" s="164" t="s">
        <v>345</v>
      </c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</row>
    <row r="50" spans="1:52">
      <c r="A50" s="109"/>
      <c r="B50" s="164" t="s">
        <v>346</v>
      </c>
      <c r="C50" s="109"/>
      <c r="D50" s="109">
        <f>D44-D47</f>
        <v>0</v>
      </c>
      <c r="E50" s="109">
        <f t="shared" ref="E50:AY50" si="15">E44-E47</f>
        <v>0</v>
      </c>
      <c r="F50" s="109">
        <f t="shared" si="15"/>
        <v>0</v>
      </c>
      <c r="G50" s="109">
        <f t="shared" si="15"/>
        <v>0</v>
      </c>
      <c r="H50" s="109">
        <f t="shared" si="15"/>
        <v>0</v>
      </c>
      <c r="I50" s="109">
        <f t="shared" si="15"/>
        <v>0</v>
      </c>
      <c r="J50" s="109">
        <f t="shared" si="15"/>
        <v>0</v>
      </c>
      <c r="K50" s="109">
        <f t="shared" si="15"/>
        <v>0</v>
      </c>
      <c r="L50" s="109">
        <f t="shared" si="15"/>
        <v>0</v>
      </c>
      <c r="M50" s="109">
        <f t="shared" si="15"/>
        <v>0</v>
      </c>
      <c r="N50" s="109">
        <f t="shared" si="15"/>
        <v>0</v>
      </c>
      <c r="O50" s="109">
        <f t="shared" si="15"/>
        <v>0</v>
      </c>
      <c r="P50" s="109">
        <f t="shared" si="15"/>
        <v>0</v>
      </c>
      <c r="Q50" s="109">
        <f t="shared" si="15"/>
        <v>0</v>
      </c>
      <c r="R50" s="109">
        <f t="shared" si="15"/>
        <v>0</v>
      </c>
      <c r="S50" s="109">
        <f t="shared" si="15"/>
        <v>0</v>
      </c>
      <c r="T50" s="109">
        <f t="shared" si="15"/>
        <v>0</v>
      </c>
      <c r="U50" s="109">
        <f t="shared" si="15"/>
        <v>0</v>
      </c>
      <c r="V50" s="109">
        <f t="shared" si="15"/>
        <v>0</v>
      </c>
      <c r="W50" s="109">
        <f t="shared" si="15"/>
        <v>0</v>
      </c>
      <c r="X50" s="109">
        <f t="shared" si="15"/>
        <v>0</v>
      </c>
      <c r="Y50" s="109">
        <f t="shared" si="15"/>
        <v>0</v>
      </c>
      <c r="Z50" s="109">
        <f t="shared" si="15"/>
        <v>0</v>
      </c>
      <c r="AA50" s="109">
        <f t="shared" si="15"/>
        <v>0</v>
      </c>
      <c r="AB50" s="109">
        <f t="shared" si="15"/>
        <v>0</v>
      </c>
      <c r="AC50" s="109">
        <f t="shared" si="15"/>
        <v>0</v>
      </c>
      <c r="AD50" s="109">
        <f t="shared" si="15"/>
        <v>0</v>
      </c>
      <c r="AE50" s="109">
        <f t="shared" si="15"/>
        <v>0</v>
      </c>
      <c r="AF50" s="109">
        <f t="shared" si="15"/>
        <v>0</v>
      </c>
      <c r="AG50" s="109">
        <f t="shared" si="15"/>
        <v>0</v>
      </c>
      <c r="AH50" s="109">
        <f t="shared" si="15"/>
        <v>0</v>
      </c>
      <c r="AI50" s="109">
        <f t="shared" si="15"/>
        <v>0</v>
      </c>
      <c r="AJ50" s="109">
        <f t="shared" si="15"/>
        <v>0</v>
      </c>
      <c r="AK50" s="109">
        <f t="shared" si="15"/>
        <v>0</v>
      </c>
      <c r="AL50" s="109">
        <f t="shared" si="15"/>
        <v>0</v>
      </c>
      <c r="AM50" s="109">
        <f t="shared" si="15"/>
        <v>0</v>
      </c>
      <c r="AN50" s="109">
        <f t="shared" si="15"/>
        <v>0</v>
      </c>
      <c r="AO50" s="109">
        <f t="shared" si="15"/>
        <v>0</v>
      </c>
      <c r="AP50" s="109">
        <f t="shared" si="15"/>
        <v>0</v>
      </c>
      <c r="AQ50" s="109">
        <f t="shared" si="15"/>
        <v>0</v>
      </c>
      <c r="AR50" s="109">
        <f t="shared" si="15"/>
        <v>0</v>
      </c>
      <c r="AS50" s="109">
        <f t="shared" si="15"/>
        <v>0</v>
      </c>
      <c r="AT50" s="109">
        <f t="shared" si="15"/>
        <v>0</v>
      </c>
      <c r="AU50" s="109">
        <f t="shared" si="15"/>
        <v>0</v>
      </c>
      <c r="AV50" s="109">
        <f t="shared" si="15"/>
        <v>0</v>
      </c>
      <c r="AW50" s="109">
        <f t="shared" si="15"/>
        <v>0</v>
      </c>
      <c r="AX50" s="109">
        <f t="shared" si="15"/>
        <v>0</v>
      </c>
      <c r="AY50" s="109">
        <f t="shared" si="15"/>
        <v>0</v>
      </c>
    </row>
    <row r="51" spans="1:52">
      <c r="A51" s="109"/>
      <c r="B51" s="164" t="s">
        <v>347</v>
      </c>
      <c r="C51" s="109"/>
      <c r="D51" s="109">
        <f>D45-D48</f>
        <v>0</v>
      </c>
      <c r="E51" s="109">
        <f t="shared" ref="E51:AY51" si="16">E45-E48</f>
        <v>0</v>
      </c>
      <c r="F51" s="109">
        <f t="shared" si="16"/>
        <v>0</v>
      </c>
      <c r="G51" s="109">
        <f t="shared" si="16"/>
        <v>0</v>
      </c>
      <c r="H51" s="109">
        <f t="shared" si="16"/>
        <v>0</v>
      </c>
      <c r="I51" s="109">
        <f t="shared" si="16"/>
        <v>0</v>
      </c>
      <c r="J51" s="109">
        <f t="shared" si="16"/>
        <v>0</v>
      </c>
      <c r="K51" s="109">
        <f t="shared" si="16"/>
        <v>0</v>
      </c>
      <c r="L51" s="109">
        <f t="shared" si="16"/>
        <v>0</v>
      </c>
      <c r="M51" s="109">
        <f t="shared" si="16"/>
        <v>0</v>
      </c>
      <c r="N51" s="109">
        <f t="shared" si="16"/>
        <v>0</v>
      </c>
      <c r="O51" s="109">
        <f t="shared" si="16"/>
        <v>0</v>
      </c>
      <c r="P51" s="109">
        <f t="shared" si="16"/>
        <v>0</v>
      </c>
      <c r="Q51" s="109">
        <f t="shared" si="16"/>
        <v>0</v>
      </c>
      <c r="R51" s="109">
        <f t="shared" si="16"/>
        <v>0</v>
      </c>
      <c r="S51" s="109">
        <f t="shared" si="16"/>
        <v>0</v>
      </c>
      <c r="T51" s="109">
        <f t="shared" si="16"/>
        <v>0</v>
      </c>
      <c r="U51" s="109">
        <f t="shared" si="16"/>
        <v>0</v>
      </c>
      <c r="V51" s="109">
        <f t="shared" si="16"/>
        <v>0</v>
      </c>
      <c r="W51" s="109">
        <f t="shared" si="16"/>
        <v>0</v>
      </c>
      <c r="X51" s="109">
        <f t="shared" si="16"/>
        <v>0</v>
      </c>
      <c r="Y51" s="109">
        <f t="shared" si="16"/>
        <v>0</v>
      </c>
      <c r="Z51" s="109">
        <f t="shared" si="16"/>
        <v>0</v>
      </c>
      <c r="AA51" s="109">
        <f t="shared" si="16"/>
        <v>0</v>
      </c>
      <c r="AB51" s="109">
        <f t="shared" si="16"/>
        <v>0</v>
      </c>
      <c r="AC51" s="109">
        <f t="shared" si="16"/>
        <v>0</v>
      </c>
      <c r="AD51" s="109">
        <f t="shared" si="16"/>
        <v>0</v>
      </c>
      <c r="AE51" s="109">
        <f t="shared" si="16"/>
        <v>0</v>
      </c>
      <c r="AF51" s="109">
        <f t="shared" si="16"/>
        <v>0</v>
      </c>
      <c r="AG51" s="109">
        <f t="shared" si="16"/>
        <v>0</v>
      </c>
      <c r="AH51" s="109">
        <f t="shared" si="16"/>
        <v>0</v>
      </c>
      <c r="AI51" s="109">
        <f t="shared" si="16"/>
        <v>0</v>
      </c>
      <c r="AJ51" s="109">
        <f t="shared" si="16"/>
        <v>0</v>
      </c>
      <c r="AK51" s="109">
        <f t="shared" si="16"/>
        <v>0</v>
      </c>
      <c r="AL51" s="109">
        <f t="shared" si="16"/>
        <v>0</v>
      </c>
      <c r="AM51" s="109">
        <f t="shared" si="16"/>
        <v>0</v>
      </c>
      <c r="AN51" s="109">
        <f t="shared" si="16"/>
        <v>0</v>
      </c>
      <c r="AO51" s="109">
        <f t="shared" si="16"/>
        <v>0</v>
      </c>
      <c r="AP51" s="109">
        <f t="shared" si="16"/>
        <v>0</v>
      </c>
      <c r="AQ51" s="109">
        <f t="shared" si="16"/>
        <v>0</v>
      </c>
      <c r="AR51" s="109">
        <f t="shared" si="16"/>
        <v>0</v>
      </c>
      <c r="AS51" s="109">
        <f t="shared" si="16"/>
        <v>0</v>
      </c>
      <c r="AT51" s="109">
        <f t="shared" si="16"/>
        <v>0</v>
      </c>
      <c r="AU51" s="109">
        <f t="shared" si="16"/>
        <v>0</v>
      </c>
      <c r="AV51" s="109">
        <f t="shared" si="16"/>
        <v>0</v>
      </c>
      <c r="AW51" s="109">
        <f t="shared" si="16"/>
        <v>0</v>
      </c>
      <c r="AX51" s="109">
        <f t="shared" si="16"/>
        <v>0</v>
      </c>
      <c r="AY51" s="109">
        <f t="shared" si="16"/>
        <v>0</v>
      </c>
    </row>
    <row r="52" spans="1:52">
      <c r="A52" s="109"/>
      <c r="B52" s="164" t="s">
        <v>348</v>
      </c>
      <c r="C52" s="109"/>
      <c r="D52" s="109">
        <v>2</v>
      </c>
      <c r="E52" s="109">
        <v>2</v>
      </c>
      <c r="F52" s="109">
        <v>1</v>
      </c>
      <c r="G52" s="109">
        <v>1</v>
      </c>
      <c r="H52" s="109">
        <v>2</v>
      </c>
      <c r="I52" s="109">
        <v>1</v>
      </c>
      <c r="J52" s="109">
        <v>1</v>
      </c>
      <c r="K52" s="109">
        <v>2</v>
      </c>
      <c r="L52" s="109">
        <v>1</v>
      </c>
      <c r="M52" s="109">
        <v>2</v>
      </c>
      <c r="N52" s="109">
        <v>1</v>
      </c>
      <c r="O52" s="109">
        <v>1</v>
      </c>
      <c r="P52" s="109">
        <v>1</v>
      </c>
      <c r="Q52" s="109">
        <v>1</v>
      </c>
      <c r="R52" s="109">
        <v>1</v>
      </c>
      <c r="S52" s="109">
        <v>2</v>
      </c>
      <c r="T52" s="109">
        <v>1</v>
      </c>
      <c r="U52" s="109">
        <v>1</v>
      </c>
      <c r="V52" s="109">
        <v>1</v>
      </c>
      <c r="W52" s="109">
        <v>2</v>
      </c>
      <c r="X52" s="109">
        <v>1</v>
      </c>
      <c r="Y52" s="109">
        <v>2</v>
      </c>
      <c r="Z52" s="109">
        <v>1</v>
      </c>
      <c r="AA52" s="109">
        <v>1</v>
      </c>
      <c r="AB52" s="109">
        <v>1</v>
      </c>
      <c r="AC52" s="109">
        <v>1</v>
      </c>
      <c r="AD52" s="109">
        <v>3</v>
      </c>
      <c r="AE52" s="109">
        <v>1</v>
      </c>
      <c r="AF52" s="109">
        <v>2</v>
      </c>
      <c r="AG52" s="109">
        <v>1</v>
      </c>
      <c r="AH52" s="109">
        <v>1</v>
      </c>
      <c r="AI52" s="109">
        <v>1</v>
      </c>
      <c r="AJ52" s="109">
        <v>1</v>
      </c>
      <c r="AK52" s="109">
        <v>1</v>
      </c>
      <c r="AL52" s="109">
        <v>2</v>
      </c>
      <c r="AM52" s="109">
        <v>2</v>
      </c>
      <c r="AN52" s="109">
        <v>1</v>
      </c>
      <c r="AO52" s="109">
        <v>1</v>
      </c>
      <c r="AP52" s="109">
        <v>1</v>
      </c>
      <c r="AQ52" s="109">
        <v>1</v>
      </c>
      <c r="AR52" s="109">
        <v>1</v>
      </c>
      <c r="AS52" s="109">
        <v>1</v>
      </c>
      <c r="AT52" s="109">
        <v>1</v>
      </c>
      <c r="AU52" s="109">
        <v>2</v>
      </c>
      <c r="AV52" s="109">
        <v>2</v>
      </c>
      <c r="AW52" s="109">
        <v>1</v>
      </c>
      <c r="AX52" s="109">
        <v>2</v>
      </c>
      <c r="AY52" s="109">
        <v>1</v>
      </c>
    </row>
    <row r="53" spans="1:52">
      <c r="A53" s="109"/>
      <c r="B53" s="177" t="s">
        <v>349</v>
      </c>
      <c r="C53" s="109"/>
      <c r="D53" s="109">
        <v>0</v>
      </c>
      <c r="E53" s="109">
        <v>0</v>
      </c>
      <c r="F53" s="109">
        <v>0</v>
      </c>
      <c r="G53" s="109">
        <v>0</v>
      </c>
      <c r="H53" s="109">
        <v>0</v>
      </c>
      <c r="I53" s="109">
        <v>0</v>
      </c>
      <c r="J53" s="109">
        <v>0</v>
      </c>
      <c r="K53" s="109">
        <v>0</v>
      </c>
      <c r="L53" s="109">
        <v>0</v>
      </c>
      <c r="M53" s="109">
        <v>0</v>
      </c>
      <c r="N53" s="109">
        <v>0</v>
      </c>
      <c r="O53" s="109">
        <v>0</v>
      </c>
      <c r="P53" s="109">
        <v>0</v>
      </c>
      <c r="Q53" s="109">
        <v>0</v>
      </c>
      <c r="R53" s="109">
        <v>0</v>
      </c>
      <c r="S53" s="109">
        <v>0</v>
      </c>
      <c r="T53" s="109">
        <v>0</v>
      </c>
      <c r="U53" s="109">
        <v>0</v>
      </c>
      <c r="V53" s="109">
        <v>0</v>
      </c>
      <c r="W53" s="109">
        <v>0</v>
      </c>
      <c r="X53" s="109">
        <v>0</v>
      </c>
      <c r="Y53" s="109">
        <v>0</v>
      </c>
      <c r="Z53" s="109">
        <v>0</v>
      </c>
      <c r="AA53" s="109">
        <v>0</v>
      </c>
      <c r="AB53" s="109">
        <v>0</v>
      </c>
      <c r="AC53" s="109">
        <v>0</v>
      </c>
      <c r="AD53" s="109">
        <v>0</v>
      </c>
      <c r="AE53" s="109">
        <v>0</v>
      </c>
      <c r="AF53" s="109">
        <v>0</v>
      </c>
      <c r="AG53" s="109">
        <v>0</v>
      </c>
      <c r="AH53" s="109">
        <v>0</v>
      </c>
      <c r="AI53" s="109">
        <v>0</v>
      </c>
      <c r="AJ53" s="109">
        <v>0</v>
      </c>
      <c r="AK53" s="109">
        <v>0</v>
      </c>
      <c r="AL53" s="109">
        <v>0</v>
      </c>
      <c r="AM53" s="109">
        <v>0</v>
      </c>
      <c r="AN53" s="109">
        <v>0</v>
      </c>
      <c r="AO53" s="109">
        <v>0</v>
      </c>
      <c r="AP53" s="109">
        <v>0</v>
      </c>
      <c r="AQ53" s="109">
        <v>0</v>
      </c>
      <c r="AR53" s="109">
        <v>0</v>
      </c>
      <c r="AS53" s="109">
        <v>0</v>
      </c>
      <c r="AT53" s="109">
        <v>0</v>
      </c>
      <c r="AU53" s="109">
        <v>0</v>
      </c>
      <c r="AV53" s="109">
        <v>0</v>
      </c>
      <c r="AW53" s="109">
        <v>0</v>
      </c>
      <c r="AX53" s="109">
        <v>0</v>
      </c>
      <c r="AY53" s="109">
        <v>0</v>
      </c>
      <c r="AZ53" s="99">
        <f>SUM($D$53:$AY$53)</f>
        <v>0</v>
      </c>
    </row>
    <row r="54" spans="1:52">
      <c r="A54" s="124"/>
      <c r="B54" s="139" t="s">
        <v>350</v>
      </c>
      <c r="C54" s="124"/>
      <c r="D54" s="124">
        <v>0</v>
      </c>
      <c r="E54" s="124">
        <v>0</v>
      </c>
      <c r="F54" s="124">
        <v>0</v>
      </c>
      <c r="G54" s="124">
        <v>0</v>
      </c>
      <c r="H54" s="124">
        <v>0</v>
      </c>
      <c r="I54" s="124">
        <v>0</v>
      </c>
      <c r="J54" s="124">
        <v>0</v>
      </c>
      <c r="K54" s="124">
        <v>0</v>
      </c>
      <c r="L54" s="124">
        <v>0</v>
      </c>
      <c r="M54" s="124">
        <v>0</v>
      </c>
      <c r="N54" s="124">
        <v>0</v>
      </c>
      <c r="O54" s="124">
        <v>0</v>
      </c>
      <c r="P54" s="124">
        <v>0</v>
      </c>
      <c r="Q54" s="124">
        <v>0</v>
      </c>
      <c r="R54" s="124">
        <v>0</v>
      </c>
      <c r="S54" s="124">
        <v>0</v>
      </c>
      <c r="T54" s="124">
        <v>0</v>
      </c>
      <c r="U54" s="124">
        <v>0</v>
      </c>
      <c r="V54" s="124">
        <v>0</v>
      </c>
      <c r="W54" s="124">
        <v>0</v>
      </c>
      <c r="X54" s="124">
        <v>0</v>
      </c>
      <c r="Y54" s="124">
        <v>0</v>
      </c>
      <c r="Z54" s="124">
        <v>0</v>
      </c>
      <c r="AA54" s="124">
        <v>0</v>
      </c>
      <c r="AB54" s="124">
        <v>0</v>
      </c>
      <c r="AC54" s="124">
        <v>0</v>
      </c>
      <c r="AD54" s="124">
        <v>0</v>
      </c>
      <c r="AE54" s="124">
        <v>0</v>
      </c>
      <c r="AF54" s="124">
        <v>0</v>
      </c>
      <c r="AG54" s="124">
        <v>0</v>
      </c>
      <c r="AH54" s="124">
        <v>0</v>
      </c>
      <c r="AI54" s="124">
        <v>0</v>
      </c>
      <c r="AJ54" s="124">
        <v>0</v>
      </c>
      <c r="AK54" s="124">
        <v>0</v>
      </c>
      <c r="AL54" s="124">
        <v>0</v>
      </c>
      <c r="AM54" s="124">
        <v>0</v>
      </c>
      <c r="AN54" s="124">
        <v>0</v>
      </c>
      <c r="AO54" s="124">
        <v>0</v>
      </c>
      <c r="AP54" s="124">
        <v>0</v>
      </c>
      <c r="AQ54" s="124">
        <v>0</v>
      </c>
      <c r="AR54" s="124">
        <v>0</v>
      </c>
      <c r="AS54" s="124">
        <v>0</v>
      </c>
      <c r="AT54" s="124">
        <v>0</v>
      </c>
      <c r="AU54" s="124">
        <v>0</v>
      </c>
      <c r="AV54" s="124">
        <v>0</v>
      </c>
      <c r="AW54" s="124">
        <v>0</v>
      </c>
      <c r="AX54" s="124">
        <v>0</v>
      </c>
      <c r="AY54" s="124">
        <v>0</v>
      </c>
      <c r="AZ54" s="99">
        <f>SUM($D$54:$AY$54)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baseColWidth="10" defaultColWidth="8.83203125" defaultRowHeight="12" x14ac:dyDescent="0"/>
  <cols>
    <col min="1" max="1" width="14.6640625" style="99" customWidth="1"/>
    <col min="2" max="2" width="17.6640625" style="99" customWidth="1"/>
    <col min="3" max="51" width="8.83203125" style="99"/>
    <col min="52" max="52" width="10.6640625" style="99" customWidth="1"/>
    <col min="53" max="16384" width="8.83203125" style="99"/>
  </cols>
  <sheetData>
    <row r="1" spans="1:52">
      <c r="A1" s="101" t="s">
        <v>118</v>
      </c>
    </row>
    <row r="2" spans="1:52">
      <c r="A2" s="99" t="s">
        <v>302</v>
      </c>
      <c r="B2" s="106" t="s">
        <v>10</v>
      </c>
      <c r="E2" s="109"/>
    </row>
    <row r="3" spans="1:52">
      <c r="A3" s="99" t="s">
        <v>285</v>
      </c>
      <c r="B3" s="106">
        <v>500</v>
      </c>
      <c r="E3" s="109"/>
    </row>
    <row r="4" spans="1:52">
      <c r="A4" s="101"/>
      <c r="C4" s="110" t="s">
        <v>286</v>
      </c>
    </row>
    <row r="5" spans="1:52">
      <c r="B5" s="105"/>
      <c r="C5" s="111">
        <v>0</v>
      </c>
      <c r="D5" s="111">
        <v>1</v>
      </c>
      <c r="E5" s="111">
        <v>2</v>
      </c>
      <c r="F5" s="111">
        <v>3</v>
      </c>
      <c r="G5" s="111">
        <v>4</v>
      </c>
      <c r="H5" s="111">
        <v>5</v>
      </c>
      <c r="I5" s="111">
        <v>6</v>
      </c>
      <c r="J5" s="111">
        <v>7</v>
      </c>
      <c r="K5" s="111">
        <v>8</v>
      </c>
      <c r="L5" s="111">
        <v>9</v>
      </c>
      <c r="M5" s="111">
        <v>10</v>
      </c>
      <c r="N5" s="111">
        <v>11</v>
      </c>
      <c r="O5" s="111">
        <v>12</v>
      </c>
      <c r="P5" s="111">
        <v>13</v>
      </c>
      <c r="Q5" s="111">
        <v>14</v>
      </c>
      <c r="R5" s="111">
        <v>15</v>
      </c>
      <c r="S5" s="111">
        <v>16</v>
      </c>
      <c r="T5" s="111">
        <v>17</v>
      </c>
      <c r="U5" s="111">
        <v>18</v>
      </c>
      <c r="V5" s="111">
        <v>19</v>
      </c>
      <c r="W5" s="111">
        <v>20</v>
      </c>
      <c r="X5" s="111">
        <v>21</v>
      </c>
      <c r="Y5" s="111">
        <v>22</v>
      </c>
      <c r="Z5" s="111">
        <v>23</v>
      </c>
      <c r="AA5" s="111">
        <v>24</v>
      </c>
      <c r="AB5" s="111">
        <v>25</v>
      </c>
      <c r="AC5" s="111">
        <v>26</v>
      </c>
      <c r="AD5" s="111">
        <v>27</v>
      </c>
      <c r="AE5" s="111">
        <v>28</v>
      </c>
      <c r="AF5" s="111">
        <v>29</v>
      </c>
      <c r="AG5" s="111">
        <v>30</v>
      </c>
      <c r="AH5" s="111">
        <v>31</v>
      </c>
      <c r="AI5" s="111">
        <v>32</v>
      </c>
      <c r="AJ5" s="111">
        <v>33</v>
      </c>
      <c r="AK5" s="111">
        <v>34</v>
      </c>
      <c r="AL5" s="111">
        <v>35</v>
      </c>
      <c r="AM5" s="111">
        <v>36</v>
      </c>
      <c r="AN5" s="111">
        <v>37</v>
      </c>
      <c r="AO5" s="111">
        <v>38</v>
      </c>
      <c r="AP5" s="111">
        <v>39</v>
      </c>
      <c r="AQ5" s="111">
        <v>40</v>
      </c>
      <c r="AR5" s="111">
        <v>41</v>
      </c>
      <c r="AS5" s="111">
        <v>42</v>
      </c>
      <c r="AT5" s="111">
        <v>43</v>
      </c>
      <c r="AU5" s="111">
        <v>44</v>
      </c>
      <c r="AV5" s="111">
        <v>45</v>
      </c>
      <c r="AW5" s="111">
        <v>46</v>
      </c>
      <c r="AX5" s="111">
        <v>47</v>
      </c>
      <c r="AY5" s="111">
        <v>48</v>
      </c>
    </row>
    <row r="6" spans="1:52">
      <c r="A6" s="101" t="s">
        <v>303</v>
      </c>
      <c r="B6" s="113"/>
      <c r="C6" s="112" t="s">
        <v>287</v>
      </c>
      <c r="D6" s="111" t="s">
        <v>288</v>
      </c>
      <c r="E6" s="111" t="s">
        <v>288</v>
      </c>
      <c r="F6" s="111" t="s">
        <v>288</v>
      </c>
      <c r="G6" s="111" t="s">
        <v>288</v>
      </c>
      <c r="H6" s="111" t="s">
        <v>288</v>
      </c>
      <c r="I6" s="111" t="s">
        <v>288</v>
      </c>
      <c r="J6" s="111" t="s">
        <v>288</v>
      </c>
      <c r="K6" s="111" t="s">
        <v>288</v>
      </c>
      <c r="L6" s="111" t="s">
        <v>288</v>
      </c>
      <c r="M6" s="111" t="s">
        <v>288</v>
      </c>
      <c r="N6" s="111" t="s">
        <v>288</v>
      </c>
      <c r="O6" s="111" t="s">
        <v>288</v>
      </c>
      <c r="P6" s="111" t="s">
        <v>288</v>
      </c>
      <c r="Q6" s="111" t="s">
        <v>288</v>
      </c>
      <c r="R6" s="111" t="s">
        <v>288</v>
      </c>
      <c r="S6" s="111" t="s">
        <v>288</v>
      </c>
      <c r="T6" s="111" t="s">
        <v>288</v>
      </c>
      <c r="U6" s="111" t="s">
        <v>288</v>
      </c>
      <c r="V6" s="111" t="s">
        <v>288</v>
      </c>
      <c r="W6" s="111" t="s">
        <v>288</v>
      </c>
      <c r="X6" s="111" t="s">
        <v>288</v>
      </c>
      <c r="Y6" s="111" t="s">
        <v>288</v>
      </c>
      <c r="Z6" s="111" t="s">
        <v>288</v>
      </c>
      <c r="AA6" s="111" t="s">
        <v>288</v>
      </c>
      <c r="AB6" s="111" t="s">
        <v>288</v>
      </c>
      <c r="AC6" s="111" t="s">
        <v>288</v>
      </c>
      <c r="AD6" s="111" t="s">
        <v>288</v>
      </c>
      <c r="AE6" s="111" t="s">
        <v>288</v>
      </c>
      <c r="AF6" s="111" t="s">
        <v>288</v>
      </c>
      <c r="AG6" s="111" t="s">
        <v>288</v>
      </c>
      <c r="AH6" s="111" t="s">
        <v>288</v>
      </c>
      <c r="AI6" s="111" t="s">
        <v>288</v>
      </c>
      <c r="AJ6" s="111" t="s">
        <v>288</v>
      </c>
      <c r="AK6" s="111" t="s">
        <v>288</v>
      </c>
      <c r="AL6" s="111" t="s">
        <v>288</v>
      </c>
      <c r="AM6" s="111" t="s">
        <v>288</v>
      </c>
      <c r="AN6" s="111" t="s">
        <v>288</v>
      </c>
      <c r="AO6" s="111" t="s">
        <v>288</v>
      </c>
      <c r="AP6" s="111" t="s">
        <v>288</v>
      </c>
      <c r="AQ6" s="111" t="s">
        <v>288</v>
      </c>
      <c r="AR6" s="111" t="s">
        <v>288</v>
      </c>
      <c r="AS6" s="111" t="s">
        <v>288</v>
      </c>
      <c r="AT6" s="111" t="s">
        <v>288</v>
      </c>
      <c r="AU6" s="111" t="s">
        <v>288</v>
      </c>
      <c r="AV6" s="111" t="s">
        <v>288</v>
      </c>
      <c r="AW6" s="111" t="s">
        <v>288</v>
      </c>
      <c r="AX6" s="111" t="s">
        <v>288</v>
      </c>
      <c r="AY6" s="110" t="s">
        <v>289</v>
      </c>
      <c r="AZ6" s="141" t="s">
        <v>150</v>
      </c>
    </row>
    <row r="7" spans="1:52">
      <c r="A7" s="114" t="s">
        <v>125</v>
      </c>
      <c r="B7" s="142">
        <v>1</v>
      </c>
      <c r="C7" s="143" t="s">
        <v>292</v>
      </c>
      <c r="D7" s="143">
        <v>500.01600000000002</v>
      </c>
      <c r="E7" s="143">
        <v>500.01600000000002</v>
      </c>
      <c r="F7" s="143">
        <v>500.01600000000002</v>
      </c>
      <c r="G7" s="143">
        <v>500.01600000000002</v>
      </c>
      <c r="H7" s="143">
        <v>500.01600000000002</v>
      </c>
      <c r="I7" s="143">
        <v>500.01600000000002</v>
      </c>
      <c r="J7" s="143">
        <v>500.01600000000002</v>
      </c>
      <c r="K7" s="143">
        <v>500.01600000000002</v>
      </c>
      <c r="L7" s="143">
        <v>500.01600000000002</v>
      </c>
      <c r="M7" s="143">
        <v>500.01600000000002</v>
      </c>
      <c r="N7" s="143">
        <v>500.01600000000002</v>
      </c>
      <c r="O7" s="143">
        <v>500.01600000000002</v>
      </c>
      <c r="P7" s="143">
        <v>450.01440000000002</v>
      </c>
      <c r="Q7" s="143">
        <v>450.01440000000002</v>
      </c>
      <c r="R7" s="143">
        <v>450.01440000000002</v>
      </c>
      <c r="S7" s="143">
        <v>450.01440000000002</v>
      </c>
      <c r="T7" s="143">
        <v>450.01440000000002</v>
      </c>
      <c r="U7" s="143">
        <v>450.01440000000002</v>
      </c>
      <c r="V7" s="143">
        <v>450.01440000000002</v>
      </c>
      <c r="W7" s="143">
        <v>450.01440000000002</v>
      </c>
      <c r="X7" s="143">
        <v>500.01600000000002</v>
      </c>
      <c r="Y7" s="143">
        <v>500.01600000000002</v>
      </c>
      <c r="Z7" s="143">
        <v>500.01600000000002</v>
      </c>
      <c r="AA7" s="143">
        <v>500.01600000000002</v>
      </c>
      <c r="AB7" s="143">
        <v>550.01760000000013</v>
      </c>
      <c r="AC7" s="143">
        <v>550.01760000000013</v>
      </c>
      <c r="AD7" s="143">
        <v>550.01760000000013</v>
      </c>
      <c r="AE7" s="143">
        <v>550.01760000000013</v>
      </c>
      <c r="AF7" s="143">
        <v>500.01600000000002</v>
      </c>
      <c r="AG7" s="143">
        <v>500.01600000000002</v>
      </c>
      <c r="AH7" s="143">
        <v>500.01600000000002</v>
      </c>
      <c r="AI7" s="143">
        <v>500.01600000000002</v>
      </c>
      <c r="AJ7" s="143">
        <v>500.01600000000002</v>
      </c>
      <c r="AK7" s="143">
        <v>500.01600000000002</v>
      </c>
      <c r="AL7" s="143">
        <v>500.01600000000002</v>
      </c>
      <c r="AM7" s="143">
        <v>500.01600000000002</v>
      </c>
      <c r="AN7" s="143">
        <v>500.01600000000002</v>
      </c>
      <c r="AO7" s="143">
        <v>500.01600000000002</v>
      </c>
      <c r="AP7" s="143">
        <v>500.01600000000002</v>
      </c>
      <c r="AQ7" s="143">
        <v>500.01600000000002</v>
      </c>
      <c r="AR7" s="143">
        <v>500.01600000000002</v>
      </c>
      <c r="AS7" s="143">
        <v>500.01600000000002</v>
      </c>
      <c r="AT7" s="143">
        <v>500.01600000000002</v>
      </c>
      <c r="AU7" s="143">
        <v>500.01600000000002</v>
      </c>
      <c r="AV7" s="143">
        <v>500.01600000000002</v>
      </c>
      <c r="AW7" s="143">
        <v>500.01600000000002</v>
      </c>
      <c r="AX7" s="143">
        <v>500.01600000000002</v>
      </c>
      <c r="AY7" s="143">
        <v>500.01600000000002</v>
      </c>
      <c r="AZ7" s="105"/>
    </row>
    <row r="8" spans="1:52">
      <c r="A8" s="144"/>
      <c r="B8" s="145"/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44"/>
      <c r="AV8" s="144"/>
      <c r="AW8" s="144"/>
      <c r="AX8" s="144"/>
      <c r="AY8" s="144"/>
      <c r="AZ8" s="146"/>
    </row>
    <row r="9" spans="1:52">
      <c r="A9" s="101" t="s">
        <v>293</v>
      </c>
      <c r="B9" s="147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</row>
    <row r="10" spans="1:52">
      <c r="A10" s="148" t="s">
        <v>125</v>
      </c>
      <c r="B10" s="149">
        <v>1</v>
      </c>
      <c r="C10" s="143" t="s">
        <v>292</v>
      </c>
      <c r="D10" s="143">
        <f t="shared" ref="D10:AY10" si="0">MAX(SUM(D$14:D$16)+D$7-$B$3,0)</f>
        <v>1.6000000000019554E-2</v>
      </c>
      <c r="E10" s="143">
        <f t="shared" si="0"/>
        <v>1.6000000000019554E-2</v>
      </c>
      <c r="F10" s="143">
        <f t="shared" si="0"/>
        <v>1.6000000000019554E-2</v>
      </c>
      <c r="G10" s="143">
        <f t="shared" si="0"/>
        <v>1.6000000000019554E-2</v>
      </c>
      <c r="H10" s="143">
        <f t="shared" si="0"/>
        <v>1.6000000000019554E-2</v>
      </c>
      <c r="I10" s="143">
        <f t="shared" si="0"/>
        <v>1.6000000000019554E-2</v>
      </c>
      <c r="J10" s="143">
        <f t="shared" si="0"/>
        <v>500.01600000000008</v>
      </c>
      <c r="K10" s="143">
        <f t="shared" si="0"/>
        <v>1.6000000000019554E-2</v>
      </c>
      <c r="L10" s="143">
        <f t="shared" si="0"/>
        <v>1.6000000000019554E-2</v>
      </c>
      <c r="M10" s="143">
        <f t="shared" si="0"/>
        <v>1.6000000000019554E-2</v>
      </c>
      <c r="N10" s="143">
        <f t="shared" si="0"/>
        <v>1.6000000000019554E-2</v>
      </c>
      <c r="O10" s="143">
        <f t="shared" si="0"/>
        <v>1.6000000000019554E-2</v>
      </c>
      <c r="P10" s="143">
        <f t="shared" si="0"/>
        <v>0</v>
      </c>
      <c r="Q10" s="143">
        <f t="shared" si="0"/>
        <v>0</v>
      </c>
      <c r="R10" s="143">
        <f t="shared" si="0"/>
        <v>0</v>
      </c>
      <c r="S10" s="143">
        <f t="shared" si="0"/>
        <v>400.02880000000005</v>
      </c>
      <c r="T10" s="143">
        <f t="shared" si="0"/>
        <v>0</v>
      </c>
      <c r="U10" s="143">
        <f t="shared" si="0"/>
        <v>0</v>
      </c>
      <c r="V10" s="143">
        <f t="shared" si="0"/>
        <v>0</v>
      </c>
      <c r="W10" s="143">
        <f t="shared" si="0"/>
        <v>0</v>
      </c>
      <c r="X10" s="143">
        <f t="shared" si="0"/>
        <v>1.6000000000019554E-2</v>
      </c>
      <c r="Y10" s="143">
        <f t="shared" si="0"/>
        <v>1.6000000000019554E-2</v>
      </c>
      <c r="Z10" s="143">
        <f t="shared" si="0"/>
        <v>1.6000000000019554E-2</v>
      </c>
      <c r="AA10" s="143">
        <f t="shared" si="0"/>
        <v>1.6000000000019554E-2</v>
      </c>
      <c r="AB10" s="143">
        <f t="shared" si="0"/>
        <v>50.01760000000013</v>
      </c>
      <c r="AC10" s="143">
        <f t="shared" si="0"/>
        <v>50.01760000000013</v>
      </c>
      <c r="AD10" s="143">
        <f t="shared" si="0"/>
        <v>50.01760000000013</v>
      </c>
      <c r="AE10" s="143">
        <f t="shared" si="0"/>
        <v>50.01760000000013</v>
      </c>
      <c r="AF10" s="143">
        <f t="shared" si="0"/>
        <v>500.01600000000008</v>
      </c>
      <c r="AG10" s="143">
        <f t="shared" si="0"/>
        <v>1.6000000000019554E-2</v>
      </c>
      <c r="AH10" s="143">
        <f t="shared" si="0"/>
        <v>1.6000000000019554E-2</v>
      </c>
      <c r="AI10" s="143">
        <f t="shared" si="0"/>
        <v>1.6000000000019554E-2</v>
      </c>
      <c r="AJ10" s="143">
        <f t="shared" si="0"/>
        <v>1.6000000000019554E-2</v>
      </c>
      <c r="AK10" s="143">
        <f t="shared" si="0"/>
        <v>1.6000000000019554E-2</v>
      </c>
      <c r="AL10" s="143">
        <f t="shared" si="0"/>
        <v>1.6000000000019554E-2</v>
      </c>
      <c r="AM10" s="143">
        <f t="shared" si="0"/>
        <v>1.6000000000019554E-2</v>
      </c>
      <c r="AN10" s="143">
        <f t="shared" si="0"/>
        <v>1.6000000000019554E-2</v>
      </c>
      <c r="AO10" s="143">
        <f t="shared" si="0"/>
        <v>1.6000000000019554E-2</v>
      </c>
      <c r="AP10" s="143">
        <f t="shared" si="0"/>
        <v>1.6000000000019554E-2</v>
      </c>
      <c r="AQ10" s="143">
        <f t="shared" si="0"/>
        <v>1.6000000000019554E-2</v>
      </c>
      <c r="AR10" s="143">
        <f t="shared" si="0"/>
        <v>1.6000000000019554E-2</v>
      </c>
      <c r="AS10" s="143">
        <f t="shared" si="0"/>
        <v>1.6000000000019554E-2</v>
      </c>
      <c r="AT10" s="143">
        <f t="shared" si="0"/>
        <v>1.6000000000019554E-2</v>
      </c>
      <c r="AU10" s="143">
        <f t="shared" si="0"/>
        <v>1.6000000000019554E-2</v>
      </c>
      <c r="AV10" s="143">
        <f t="shared" si="0"/>
        <v>1.6000000000019554E-2</v>
      </c>
      <c r="AW10" s="143">
        <f t="shared" si="0"/>
        <v>1.6000000000019554E-2</v>
      </c>
      <c r="AX10" s="143">
        <f t="shared" si="0"/>
        <v>1.6000000000019554E-2</v>
      </c>
      <c r="AY10" s="143">
        <f t="shared" si="0"/>
        <v>1.6000000000019554E-2</v>
      </c>
      <c r="AZ10" s="150">
        <f>SUM($D10:$AY10)</f>
        <v>1600.6752000000026</v>
      </c>
    </row>
    <row r="11" spans="1:52">
      <c r="C11" s="109"/>
    </row>
    <row r="12" spans="1:52">
      <c r="A12" s="151" t="s">
        <v>294</v>
      </c>
      <c r="B12" s="145"/>
      <c r="C12" s="109"/>
    </row>
    <row r="13" spans="1:52">
      <c r="A13" s="121" t="s">
        <v>125</v>
      </c>
      <c r="B13" s="122">
        <v>1</v>
      </c>
      <c r="C13" s="123"/>
      <c r="D13" s="137">
        <f t="shared" ref="D13:AY13" si="1">D$7-D$10</f>
        <v>500</v>
      </c>
      <c r="E13" s="137">
        <f t="shared" si="1"/>
        <v>500</v>
      </c>
      <c r="F13" s="137">
        <f t="shared" si="1"/>
        <v>500</v>
      </c>
      <c r="G13" s="137">
        <f t="shared" si="1"/>
        <v>500</v>
      </c>
      <c r="H13" s="137">
        <f t="shared" si="1"/>
        <v>500</v>
      </c>
      <c r="I13" s="137">
        <f t="shared" si="1"/>
        <v>500</v>
      </c>
      <c r="J13" s="137">
        <f t="shared" si="1"/>
        <v>0</v>
      </c>
      <c r="K13" s="137">
        <f t="shared" si="1"/>
        <v>500</v>
      </c>
      <c r="L13" s="137">
        <f t="shared" si="1"/>
        <v>500</v>
      </c>
      <c r="M13" s="137">
        <f t="shared" si="1"/>
        <v>500</v>
      </c>
      <c r="N13" s="137">
        <f t="shared" si="1"/>
        <v>500</v>
      </c>
      <c r="O13" s="137">
        <f t="shared" si="1"/>
        <v>500</v>
      </c>
      <c r="P13" s="137">
        <f t="shared" si="1"/>
        <v>450.01440000000002</v>
      </c>
      <c r="Q13" s="137">
        <f t="shared" si="1"/>
        <v>450.01440000000002</v>
      </c>
      <c r="R13" s="137">
        <f t="shared" si="1"/>
        <v>450.01440000000002</v>
      </c>
      <c r="S13" s="137">
        <f t="shared" si="1"/>
        <v>49.985599999999977</v>
      </c>
      <c r="T13" s="137">
        <f t="shared" si="1"/>
        <v>450.01440000000002</v>
      </c>
      <c r="U13" s="137">
        <f t="shared" si="1"/>
        <v>450.01440000000002</v>
      </c>
      <c r="V13" s="137">
        <f t="shared" si="1"/>
        <v>450.01440000000002</v>
      </c>
      <c r="W13" s="137">
        <f t="shared" si="1"/>
        <v>450.01440000000002</v>
      </c>
      <c r="X13" s="137">
        <f t="shared" si="1"/>
        <v>500</v>
      </c>
      <c r="Y13" s="137">
        <f t="shared" si="1"/>
        <v>500</v>
      </c>
      <c r="Z13" s="137">
        <f t="shared" si="1"/>
        <v>500</v>
      </c>
      <c r="AA13" s="137">
        <f t="shared" si="1"/>
        <v>500</v>
      </c>
      <c r="AB13" s="137">
        <f t="shared" si="1"/>
        <v>500</v>
      </c>
      <c r="AC13" s="137">
        <f t="shared" si="1"/>
        <v>500</v>
      </c>
      <c r="AD13" s="137">
        <f t="shared" si="1"/>
        <v>500</v>
      </c>
      <c r="AE13" s="137">
        <f t="shared" si="1"/>
        <v>500</v>
      </c>
      <c r="AF13" s="137">
        <f t="shared" si="1"/>
        <v>0</v>
      </c>
      <c r="AG13" s="137">
        <f t="shared" si="1"/>
        <v>500</v>
      </c>
      <c r="AH13" s="137">
        <f t="shared" si="1"/>
        <v>500</v>
      </c>
      <c r="AI13" s="137">
        <f t="shared" si="1"/>
        <v>500</v>
      </c>
      <c r="AJ13" s="137">
        <f t="shared" si="1"/>
        <v>500</v>
      </c>
      <c r="AK13" s="137">
        <f t="shared" si="1"/>
        <v>500</v>
      </c>
      <c r="AL13" s="137">
        <f t="shared" si="1"/>
        <v>500</v>
      </c>
      <c r="AM13" s="137">
        <f t="shared" si="1"/>
        <v>500</v>
      </c>
      <c r="AN13" s="137">
        <f t="shared" si="1"/>
        <v>500</v>
      </c>
      <c r="AO13" s="137">
        <f t="shared" si="1"/>
        <v>500</v>
      </c>
      <c r="AP13" s="137">
        <f t="shared" si="1"/>
        <v>500</v>
      </c>
      <c r="AQ13" s="137">
        <f t="shared" si="1"/>
        <v>500</v>
      </c>
      <c r="AR13" s="137">
        <f t="shared" si="1"/>
        <v>500</v>
      </c>
      <c r="AS13" s="137">
        <f t="shared" si="1"/>
        <v>500</v>
      </c>
      <c r="AT13" s="137">
        <f t="shared" si="1"/>
        <v>500</v>
      </c>
      <c r="AU13" s="137">
        <f t="shared" si="1"/>
        <v>500</v>
      </c>
      <c r="AV13" s="137">
        <f t="shared" si="1"/>
        <v>500</v>
      </c>
      <c r="AW13" s="137">
        <f t="shared" si="1"/>
        <v>500</v>
      </c>
      <c r="AX13" s="137">
        <f t="shared" si="1"/>
        <v>500</v>
      </c>
      <c r="AY13" s="137">
        <f t="shared" si="1"/>
        <v>500</v>
      </c>
      <c r="AZ13" s="108"/>
    </row>
    <row r="14" spans="1:52">
      <c r="A14" s="109"/>
      <c r="B14" s="119">
        <v>2</v>
      </c>
      <c r="C14" s="109"/>
      <c r="D14" s="105">
        <f>IF(C$20="Yes",C13,0)</f>
        <v>0</v>
      </c>
      <c r="E14" s="105">
        <f t="shared" ref="E14:AY17" si="2">IF(D$20="Yes",D13,0)</f>
        <v>0</v>
      </c>
      <c r="F14" s="105">
        <f t="shared" si="2"/>
        <v>0</v>
      </c>
      <c r="G14" s="105">
        <f t="shared" si="2"/>
        <v>0</v>
      </c>
      <c r="H14" s="105">
        <f t="shared" si="2"/>
        <v>0</v>
      </c>
      <c r="I14" s="105">
        <f t="shared" si="2"/>
        <v>0</v>
      </c>
      <c r="J14" s="105">
        <f t="shared" si="2"/>
        <v>500</v>
      </c>
      <c r="K14" s="105">
        <f t="shared" si="2"/>
        <v>0</v>
      </c>
      <c r="L14" s="105">
        <f t="shared" si="2"/>
        <v>0</v>
      </c>
      <c r="M14" s="105">
        <f t="shared" si="2"/>
        <v>0</v>
      </c>
      <c r="N14" s="105">
        <f t="shared" si="2"/>
        <v>0</v>
      </c>
      <c r="O14" s="105">
        <f t="shared" si="2"/>
        <v>0</v>
      </c>
      <c r="P14" s="105">
        <f t="shared" si="2"/>
        <v>0</v>
      </c>
      <c r="Q14" s="105">
        <f t="shared" si="2"/>
        <v>0</v>
      </c>
      <c r="R14" s="105">
        <f t="shared" si="2"/>
        <v>0</v>
      </c>
      <c r="S14" s="105">
        <f t="shared" si="2"/>
        <v>450.01440000000002</v>
      </c>
      <c r="T14" s="105">
        <f t="shared" si="2"/>
        <v>0</v>
      </c>
      <c r="U14" s="105">
        <f t="shared" si="2"/>
        <v>0</v>
      </c>
      <c r="V14" s="105">
        <f t="shared" si="2"/>
        <v>0</v>
      </c>
      <c r="W14" s="105">
        <f t="shared" si="2"/>
        <v>0</v>
      </c>
      <c r="X14" s="105">
        <f t="shared" si="2"/>
        <v>0</v>
      </c>
      <c r="Y14" s="105">
        <f t="shared" si="2"/>
        <v>0</v>
      </c>
      <c r="Z14" s="105">
        <f t="shared" si="2"/>
        <v>0</v>
      </c>
      <c r="AA14" s="105">
        <f t="shared" si="2"/>
        <v>0</v>
      </c>
      <c r="AB14" s="105">
        <f t="shared" si="2"/>
        <v>0</v>
      </c>
      <c r="AC14" s="105">
        <f t="shared" si="2"/>
        <v>0</v>
      </c>
      <c r="AD14" s="105">
        <f t="shared" si="2"/>
        <v>0</v>
      </c>
      <c r="AE14" s="105">
        <f t="shared" si="2"/>
        <v>0</v>
      </c>
      <c r="AF14" s="105">
        <f t="shared" si="2"/>
        <v>500</v>
      </c>
      <c r="AG14" s="105">
        <f t="shared" si="2"/>
        <v>0</v>
      </c>
      <c r="AH14" s="105">
        <f t="shared" si="2"/>
        <v>0</v>
      </c>
      <c r="AI14" s="105">
        <f t="shared" si="2"/>
        <v>0</v>
      </c>
      <c r="AJ14" s="105">
        <f t="shared" si="2"/>
        <v>0</v>
      </c>
      <c r="AK14" s="105">
        <f t="shared" si="2"/>
        <v>0</v>
      </c>
      <c r="AL14" s="105">
        <f t="shared" si="2"/>
        <v>0</v>
      </c>
      <c r="AM14" s="105">
        <f t="shared" si="2"/>
        <v>0</v>
      </c>
      <c r="AN14" s="105">
        <f t="shared" si="2"/>
        <v>0</v>
      </c>
      <c r="AO14" s="105">
        <f t="shared" si="2"/>
        <v>0</v>
      </c>
      <c r="AP14" s="105">
        <f t="shared" si="2"/>
        <v>0</v>
      </c>
      <c r="AQ14" s="105">
        <f t="shared" si="2"/>
        <v>0</v>
      </c>
      <c r="AR14" s="105">
        <f t="shared" si="2"/>
        <v>0</v>
      </c>
      <c r="AS14" s="105">
        <f t="shared" si="2"/>
        <v>0</v>
      </c>
      <c r="AT14" s="105">
        <f t="shared" si="2"/>
        <v>0</v>
      </c>
      <c r="AU14" s="105">
        <f t="shared" si="2"/>
        <v>0</v>
      </c>
      <c r="AV14" s="105">
        <f t="shared" si="2"/>
        <v>0</v>
      </c>
      <c r="AW14" s="105">
        <f t="shared" si="2"/>
        <v>0</v>
      </c>
      <c r="AX14" s="105">
        <f t="shared" si="2"/>
        <v>0</v>
      </c>
      <c r="AY14" s="105">
        <f t="shared" si="2"/>
        <v>0</v>
      </c>
      <c r="AZ14" s="108"/>
    </row>
    <row r="15" spans="1:52">
      <c r="A15" s="109"/>
      <c r="B15" s="126">
        <v>3</v>
      </c>
      <c r="C15" s="109"/>
      <c r="D15" s="105">
        <f>IF(C$20="Yes",C14,0)</f>
        <v>0</v>
      </c>
      <c r="E15" s="105">
        <f t="shared" si="2"/>
        <v>0</v>
      </c>
      <c r="F15" s="105">
        <f t="shared" si="2"/>
        <v>0</v>
      </c>
      <c r="G15" s="105">
        <f t="shared" si="2"/>
        <v>0</v>
      </c>
      <c r="H15" s="105">
        <f t="shared" si="2"/>
        <v>0</v>
      </c>
      <c r="I15" s="105">
        <f t="shared" si="2"/>
        <v>0</v>
      </c>
      <c r="J15" s="105">
        <f t="shared" si="2"/>
        <v>0</v>
      </c>
      <c r="K15" s="105">
        <f t="shared" si="2"/>
        <v>0</v>
      </c>
      <c r="L15" s="105">
        <f t="shared" si="2"/>
        <v>0</v>
      </c>
      <c r="M15" s="105">
        <f t="shared" si="2"/>
        <v>0</v>
      </c>
      <c r="N15" s="105">
        <f t="shared" si="2"/>
        <v>0</v>
      </c>
      <c r="O15" s="105">
        <f t="shared" si="2"/>
        <v>0</v>
      </c>
      <c r="P15" s="105">
        <f t="shared" si="2"/>
        <v>0</v>
      </c>
      <c r="Q15" s="105">
        <f t="shared" si="2"/>
        <v>0</v>
      </c>
      <c r="R15" s="105">
        <f t="shared" si="2"/>
        <v>0</v>
      </c>
      <c r="S15" s="105">
        <f t="shared" si="2"/>
        <v>0</v>
      </c>
      <c r="T15" s="105">
        <f t="shared" si="2"/>
        <v>0</v>
      </c>
      <c r="U15" s="105">
        <f t="shared" si="2"/>
        <v>0</v>
      </c>
      <c r="V15" s="105">
        <f t="shared" si="2"/>
        <v>0</v>
      </c>
      <c r="W15" s="105">
        <f t="shared" si="2"/>
        <v>0</v>
      </c>
      <c r="X15" s="105">
        <f t="shared" si="2"/>
        <v>0</v>
      </c>
      <c r="Y15" s="105">
        <f t="shared" si="2"/>
        <v>0</v>
      </c>
      <c r="Z15" s="105">
        <f t="shared" si="2"/>
        <v>0</v>
      </c>
      <c r="AA15" s="105">
        <f t="shared" si="2"/>
        <v>0</v>
      </c>
      <c r="AB15" s="105">
        <f t="shared" si="2"/>
        <v>0</v>
      </c>
      <c r="AC15" s="105">
        <f t="shared" si="2"/>
        <v>0</v>
      </c>
      <c r="AD15" s="105">
        <f t="shared" si="2"/>
        <v>0</v>
      </c>
      <c r="AE15" s="105">
        <f t="shared" si="2"/>
        <v>0</v>
      </c>
      <c r="AF15" s="105">
        <f t="shared" si="2"/>
        <v>0</v>
      </c>
      <c r="AG15" s="105">
        <f t="shared" si="2"/>
        <v>0</v>
      </c>
      <c r="AH15" s="105">
        <f t="shared" si="2"/>
        <v>0</v>
      </c>
      <c r="AI15" s="105">
        <f t="shared" si="2"/>
        <v>0</v>
      </c>
      <c r="AJ15" s="105">
        <f t="shared" si="2"/>
        <v>0</v>
      </c>
      <c r="AK15" s="105">
        <f t="shared" si="2"/>
        <v>0</v>
      </c>
      <c r="AL15" s="105">
        <f t="shared" si="2"/>
        <v>0</v>
      </c>
      <c r="AM15" s="105">
        <f t="shared" si="2"/>
        <v>0</v>
      </c>
      <c r="AN15" s="105">
        <f t="shared" si="2"/>
        <v>0</v>
      </c>
      <c r="AO15" s="105">
        <f t="shared" si="2"/>
        <v>0</v>
      </c>
      <c r="AP15" s="105">
        <f t="shared" si="2"/>
        <v>0</v>
      </c>
      <c r="AQ15" s="105">
        <f t="shared" si="2"/>
        <v>0</v>
      </c>
      <c r="AR15" s="105">
        <f t="shared" si="2"/>
        <v>0</v>
      </c>
      <c r="AS15" s="105">
        <f t="shared" si="2"/>
        <v>0</v>
      </c>
      <c r="AT15" s="105">
        <f t="shared" si="2"/>
        <v>0</v>
      </c>
      <c r="AU15" s="105">
        <f t="shared" si="2"/>
        <v>0</v>
      </c>
      <c r="AV15" s="105">
        <f t="shared" si="2"/>
        <v>0</v>
      </c>
      <c r="AW15" s="105">
        <f t="shared" si="2"/>
        <v>0</v>
      </c>
      <c r="AX15" s="105">
        <f t="shared" si="2"/>
        <v>0</v>
      </c>
      <c r="AY15" s="105">
        <f t="shared" si="2"/>
        <v>0</v>
      </c>
      <c r="AZ15" s="108"/>
    </row>
    <row r="16" spans="1:52">
      <c r="A16" s="109"/>
      <c r="B16" s="129">
        <v>4</v>
      </c>
      <c r="C16" s="109"/>
      <c r="D16" s="105">
        <f>IF(C$20="Yes",C15,0)</f>
        <v>0</v>
      </c>
      <c r="E16" s="105">
        <f t="shared" si="2"/>
        <v>0</v>
      </c>
      <c r="F16" s="105">
        <f t="shared" si="2"/>
        <v>0</v>
      </c>
      <c r="G16" s="105">
        <f t="shared" si="2"/>
        <v>0</v>
      </c>
      <c r="H16" s="105">
        <f t="shared" si="2"/>
        <v>0</v>
      </c>
      <c r="I16" s="105">
        <f t="shared" si="2"/>
        <v>0</v>
      </c>
      <c r="J16" s="105">
        <f t="shared" si="2"/>
        <v>0</v>
      </c>
      <c r="K16" s="105">
        <f t="shared" si="2"/>
        <v>0</v>
      </c>
      <c r="L16" s="105">
        <f t="shared" si="2"/>
        <v>0</v>
      </c>
      <c r="M16" s="105">
        <f t="shared" si="2"/>
        <v>0</v>
      </c>
      <c r="N16" s="105">
        <f t="shared" si="2"/>
        <v>0</v>
      </c>
      <c r="O16" s="105">
        <f t="shared" si="2"/>
        <v>0</v>
      </c>
      <c r="P16" s="105">
        <f t="shared" si="2"/>
        <v>0</v>
      </c>
      <c r="Q16" s="105">
        <f t="shared" si="2"/>
        <v>0</v>
      </c>
      <c r="R16" s="105">
        <f t="shared" si="2"/>
        <v>0</v>
      </c>
      <c r="S16" s="105">
        <f t="shared" si="2"/>
        <v>0</v>
      </c>
      <c r="T16" s="105">
        <f t="shared" si="2"/>
        <v>0</v>
      </c>
      <c r="U16" s="105">
        <f t="shared" si="2"/>
        <v>0</v>
      </c>
      <c r="V16" s="105">
        <f t="shared" si="2"/>
        <v>0</v>
      </c>
      <c r="W16" s="105">
        <f t="shared" si="2"/>
        <v>0</v>
      </c>
      <c r="X16" s="105">
        <f t="shared" si="2"/>
        <v>0</v>
      </c>
      <c r="Y16" s="105">
        <f t="shared" si="2"/>
        <v>0</v>
      </c>
      <c r="Z16" s="105">
        <f t="shared" si="2"/>
        <v>0</v>
      </c>
      <c r="AA16" s="105">
        <f t="shared" si="2"/>
        <v>0</v>
      </c>
      <c r="AB16" s="105">
        <f t="shared" si="2"/>
        <v>0</v>
      </c>
      <c r="AC16" s="105">
        <f t="shared" si="2"/>
        <v>0</v>
      </c>
      <c r="AD16" s="105">
        <f t="shared" si="2"/>
        <v>0</v>
      </c>
      <c r="AE16" s="105">
        <f t="shared" si="2"/>
        <v>0</v>
      </c>
      <c r="AF16" s="105">
        <f t="shared" si="2"/>
        <v>0</v>
      </c>
      <c r="AG16" s="105">
        <f t="shared" si="2"/>
        <v>0</v>
      </c>
      <c r="AH16" s="105">
        <f t="shared" si="2"/>
        <v>0</v>
      </c>
      <c r="AI16" s="105">
        <f t="shared" si="2"/>
        <v>0</v>
      </c>
      <c r="AJ16" s="105">
        <f t="shared" si="2"/>
        <v>0</v>
      </c>
      <c r="AK16" s="105">
        <f t="shared" si="2"/>
        <v>0</v>
      </c>
      <c r="AL16" s="105">
        <f t="shared" si="2"/>
        <v>0</v>
      </c>
      <c r="AM16" s="105">
        <f t="shared" si="2"/>
        <v>0</v>
      </c>
      <c r="AN16" s="105">
        <f t="shared" si="2"/>
        <v>0</v>
      </c>
      <c r="AO16" s="105">
        <f t="shared" si="2"/>
        <v>0</v>
      </c>
      <c r="AP16" s="105">
        <f t="shared" si="2"/>
        <v>0</v>
      </c>
      <c r="AQ16" s="105">
        <f t="shared" si="2"/>
        <v>0</v>
      </c>
      <c r="AR16" s="105">
        <f t="shared" si="2"/>
        <v>0</v>
      </c>
      <c r="AS16" s="105">
        <f t="shared" si="2"/>
        <v>0</v>
      </c>
      <c r="AT16" s="105">
        <f t="shared" si="2"/>
        <v>0</v>
      </c>
      <c r="AU16" s="105">
        <f t="shared" si="2"/>
        <v>0</v>
      </c>
      <c r="AV16" s="105">
        <f t="shared" si="2"/>
        <v>0</v>
      </c>
      <c r="AW16" s="105">
        <f t="shared" si="2"/>
        <v>0</v>
      </c>
      <c r="AX16" s="105">
        <f t="shared" si="2"/>
        <v>0</v>
      </c>
      <c r="AY16" s="105">
        <f t="shared" si="2"/>
        <v>0</v>
      </c>
      <c r="AZ16" s="127"/>
    </row>
    <row r="17" spans="1:52">
      <c r="A17" s="124"/>
      <c r="B17" s="131" t="s">
        <v>295</v>
      </c>
      <c r="C17" s="124"/>
      <c r="D17" s="113">
        <f>IF(C$20="Yes",C16,0)</f>
        <v>0</v>
      </c>
      <c r="E17" s="113">
        <f t="shared" si="2"/>
        <v>0</v>
      </c>
      <c r="F17" s="113">
        <f t="shared" si="2"/>
        <v>0</v>
      </c>
      <c r="G17" s="113">
        <f t="shared" si="2"/>
        <v>0</v>
      </c>
      <c r="H17" s="113">
        <f t="shared" si="2"/>
        <v>0</v>
      </c>
      <c r="I17" s="113">
        <f t="shared" si="2"/>
        <v>0</v>
      </c>
      <c r="J17" s="113">
        <f t="shared" si="2"/>
        <v>0</v>
      </c>
      <c r="K17" s="113">
        <f t="shared" si="2"/>
        <v>0</v>
      </c>
      <c r="L17" s="113">
        <f t="shared" si="2"/>
        <v>0</v>
      </c>
      <c r="M17" s="113">
        <f t="shared" si="2"/>
        <v>0</v>
      </c>
      <c r="N17" s="113">
        <f t="shared" si="2"/>
        <v>0</v>
      </c>
      <c r="O17" s="113">
        <f t="shared" si="2"/>
        <v>0</v>
      </c>
      <c r="P17" s="113">
        <f t="shared" si="2"/>
        <v>0</v>
      </c>
      <c r="Q17" s="113">
        <f t="shared" si="2"/>
        <v>0</v>
      </c>
      <c r="R17" s="113">
        <f t="shared" si="2"/>
        <v>0</v>
      </c>
      <c r="S17" s="113">
        <f t="shared" si="2"/>
        <v>0</v>
      </c>
      <c r="T17" s="113">
        <f t="shared" si="2"/>
        <v>0</v>
      </c>
      <c r="U17" s="113">
        <f t="shared" si="2"/>
        <v>0</v>
      </c>
      <c r="V17" s="113">
        <f t="shared" si="2"/>
        <v>0</v>
      </c>
      <c r="W17" s="113">
        <f t="shared" si="2"/>
        <v>0</v>
      </c>
      <c r="X17" s="113">
        <f t="shared" si="2"/>
        <v>0</v>
      </c>
      <c r="Y17" s="113">
        <f t="shared" si="2"/>
        <v>0</v>
      </c>
      <c r="Z17" s="113">
        <f t="shared" si="2"/>
        <v>0</v>
      </c>
      <c r="AA17" s="113">
        <f t="shared" si="2"/>
        <v>0</v>
      </c>
      <c r="AB17" s="113">
        <f t="shared" si="2"/>
        <v>0</v>
      </c>
      <c r="AC17" s="113">
        <f t="shared" si="2"/>
        <v>0</v>
      </c>
      <c r="AD17" s="113">
        <f t="shared" si="2"/>
        <v>0</v>
      </c>
      <c r="AE17" s="113">
        <f t="shared" si="2"/>
        <v>0</v>
      </c>
      <c r="AF17" s="113">
        <f t="shared" si="2"/>
        <v>0</v>
      </c>
      <c r="AG17" s="113">
        <f t="shared" si="2"/>
        <v>0</v>
      </c>
      <c r="AH17" s="113">
        <f t="shared" si="2"/>
        <v>0</v>
      </c>
      <c r="AI17" s="113">
        <f t="shared" si="2"/>
        <v>0</v>
      </c>
      <c r="AJ17" s="113">
        <f t="shared" si="2"/>
        <v>0</v>
      </c>
      <c r="AK17" s="113">
        <f t="shared" si="2"/>
        <v>0</v>
      </c>
      <c r="AL17" s="113">
        <f t="shared" si="2"/>
        <v>0</v>
      </c>
      <c r="AM17" s="113">
        <f t="shared" si="2"/>
        <v>0</v>
      </c>
      <c r="AN17" s="113">
        <f t="shared" si="2"/>
        <v>0</v>
      </c>
      <c r="AO17" s="113">
        <f t="shared" si="2"/>
        <v>0</v>
      </c>
      <c r="AP17" s="113">
        <f t="shared" si="2"/>
        <v>0</v>
      </c>
      <c r="AQ17" s="113">
        <f t="shared" si="2"/>
        <v>0</v>
      </c>
      <c r="AR17" s="113">
        <f t="shared" si="2"/>
        <v>0</v>
      </c>
      <c r="AS17" s="113">
        <f t="shared" si="2"/>
        <v>0</v>
      </c>
      <c r="AT17" s="113">
        <f t="shared" si="2"/>
        <v>0</v>
      </c>
      <c r="AU17" s="113">
        <f t="shared" si="2"/>
        <v>0</v>
      </c>
      <c r="AV17" s="113">
        <f t="shared" si="2"/>
        <v>0</v>
      </c>
      <c r="AW17" s="113">
        <f t="shared" si="2"/>
        <v>0</v>
      </c>
      <c r="AX17" s="113">
        <f t="shared" si="2"/>
        <v>0</v>
      </c>
      <c r="AY17" s="113">
        <f t="shared" si="2"/>
        <v>0</v>
      </c>
      <c r="AZ17" s="150">
        <f>SUM($D$17:$AY$17)</f>
        <v>0</v>
      </c>
    </row>
    <row r="18" spans="1:52">
      <c r="A18" s="105"/>
      <c r="B18" s="152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7"/>
      <c r="S18" s="137"/>
      <c r="T18" s="137"/>
      <c r="U18" s="137"/>
      <c r="V18" s="137"/>
      <c r="W18" s="137"/>
      <c r="X18" s="137"/>
      <c r="Y18" s="137"/>
      <c r="Z18" s="137"/>
      <c r="AA18" s="137"/>
      <c r="AB18" s="137"/>
      <c r="AC18" s="137"/>
      <c r="AD18" s="137"/>
      <c r="AE18" s="137"/>
      <c r="AF18" s="137"/>
      <c r="AG18" s="137"/>
      <c r="AH18" s="137"/>
      <c r="AI18" s="137"/>
      <c r="AJ18" s="137"/>
      <c r="AK18" s="137"/>
      <c r="AL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05"/>
    </row>
    <row r="19" spans="1:52">
      <c r="A19" s="101" t="s">
        <v>116</v>
      </c>
      <c r="B19" s="105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5"/>
      <c r="AI19" s="105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5"/>
    </row>
    <row r="20" spans="1:52" s="109" customFormat="1">
      <c r="A20" s="114" t="s">
        <v>304</v>
      </c>
      <c r="B20" s="153" t="s">
        <v>305</v>
      </c>
      <c r="C20" s="116"/>
      <c r="D20" s="116"/>
      <c r="E20" s="116"/>
      <c r="F20" s="116"/>
      <c r="G20" s="116"/>
      <c r="H20" s="116"/>
      <c r="I20" s="116" t="s">
        <v>338</v>
      </c>
      <c r="J20" s="116"/>
      <c r="K20" s="116"/>
      <c r="L20" s="116"/>
      <c r="M20" s="116"/>
      <c r="N20" s="116"/>
      <c r="O20" s="116"/>
      <c r="P20" s="116"/>
      <c r="Q20" s="116"/>
      <c r="R20" s="116" t="s">
        <v>338</v>
      </c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 t="s">
        <v>338</v>
      </c>
      <c r="AF20" s="116"/>
      <c r="AG20" s="116"/>
      <c r="AH20" s="116"/>
      <c r="AI20" s="116"/>
      <c r="AJ20" s="116"/>
      <c r="AK20" s="116"/>
      <c r="AL20" s="116"/>
      <c r="AM20" s="116"/>
      <c r="AN20" s="116"/>
      <c r="AO20" s="116"/>
      <c r="AP20" s="116"/>
      <c r="AQ20" s="116"/>
      <c r="AR20" s="116"/>
      <c r="AS20" s="116"/>
      <c r="AT20" s="116"/>
      <c r="AU20" s="116"/>
      <c r="AV20" s="116"/>
      <c r="AW20" s="116"/>
      <c r="AX20" s="116"/>
      <c r="AY20" s="116"/>
      <c r="AZ20" s="106"/>
    </row>
    <row r="21" spans="1:52" s="109" customFormat="1">
      <c r="A21" s="154" t="s">
        <v>133</v>
      </c>
      <c r="B21" s="155">
        <f>shipping_manufacturing!$E$19/100</f>
        <v>0.44372600000000001</v>
      </c>
      <c r="C21" s="155" t="s">
        <v>292</v>
      </c>
      <c r="D21" s="105">
        <f>IF(C$20="Yes",0,SUM(C$13:C$16)*$B$21)</f>
        <v>0</v>
      </c>
      <c r="E21" s="105">
        <f t="shared" ref="E21:AY21" si="3">IF(D$20="Yes",0,SUM(D$13:D$16)*$B$21)</f>
        <v>221.863</v>
      </c>
      <c r="F21" s="105">
        <f t="shared" si="3"/>
        <v>221.863</v>
      </c>
      <c r="G21" s="105">
        <f t="shared" si="3"/>
        <v>221.863</v>
      </c>
      <c r="H21" s="105">
        <f t="shared" si="3"/>
        <v>221.863</v>
      </c>
      <c r="I21" s="105">
        <f t="shared" si="3"/>
        <v>221.863</v>
      </c>
      <c r="J21" s="105">
        <f t="shared" si="3"/>
        <v>0</v>
      </c>
      <c r="K21" s="105">
        <f t="shared" si="3"/>
        <v>221.863</v>
      </c>
      <c r="L21" s="105">
        <f t="shared" si="3"/>
        <v>221.863</v>
      </c>
      <c r="M21" s="105">
        <f t="shared" si="3"/>
        <v>221.863</v>
      </c>
      <c r="N21" s="105">
        <f t="shared" si="3"/>
        <v>221.863</v>
      </c>
      <c r="O21" s="105">
        <f t="shared" si="3"/>
        <v>221.863</v>
      </c>
      <c r="P21" s="105">
        <f t="shared" si="3"/>
        <v>221.863</v>
      </c>
      <c r="Q21" s="105">
        <f t="shared" si="3"/>
        <v>199.68308965440002</v>
      </c>
      <c r="R21" s="105">
        <f t="shared" si="3"/>
        <v>199.68308965440002</v>
      </c>
      <c r="S21" s="105">
        <f t="shared" si="3"/>
        <v>0</v>
      </c>
      <c r="T21" s="105">
        <f t="shared" si="3"/>
        <v>221.863</v>
      </c>
      <c r="U21" s="105">
        <f t="shared" si="3"/>
        <v>199.68308965440002</v>
      </c>
      <c r="V21" s="105">
        <f t="shared" si="3"/>
        <v>199.68308965440002</v>
      </c>
      <c r="W21" s="105">
        <f t="shared" si="3"/>
        <v>199.68308965440002</v>
      </c>
      <c r="X21" s="105">
        <f t="shared" si="3"/>
        <v>199.68308965440002</v>
      </c>
      <c r="Y21" s="105">
        <f t="shared" si="3"/>
        <v>221.863</v>
      </c>
      <c r="Z21" s="105">
        <f t="shared" si="3"/>
        <v>221.863</v>
      </c>
      <c r="AA21" s="105">
        <f t="shared" si="3"/>
        <v>221.863</v>
      </c>
      <c r="AB21" s="105">
        <f t="shared" si="3"/>
        <v>221.863</v>
      </c>
      <c r="AC21" s="105">
        <f t="shared" si="3"/>
        <v>221.863</v>
      </c>
      <c r="AD21" s="105">
        <f t="shared" si="3"/>
        <v>221.863</v>
      </c>
      <c r="AE21" s="105">
        <f t="shared" si="3"/>
        <v>221.863</v>
      </c>
      <c r="AF21" s="105">
        <f t="shared" si="3"/>
        <v>0</v>
      </c>
      <c r="AG21" s="105">
        <f t="shared" si="3"/>
        <v>221.863</v>
      </c>
      <c r="AH21" s="105">
        <f t="shared" si="3"/>
        <v>221.863</v>
      </c>
      <c r="AI21" s="105">
        <f t="shared" si="3"/>
        <v>221.863</v>
      </c>
      <c r="AJ21" s="105">
        <f t="shared" si="3"/>
        <v>221.863</v>
      </c>
      <c r="AK21" s="105">
        <f t="shared" si="3"/>
        <v>221.863</v>
      </c>
      <c r="AL21" s="105">
        <f t="shared" si="3"/>
        <v>221.863</v>
      </c>
      <c r="AM21" s="105">
        <f t="shared" si="3"/>
        <v>221.863</v>
      </c>
      <c r="AN21" s="105">
        <f t="shared" si="3"/>
        <v>221.863</v>
      </c>
      <c r="AO21" s="105">
        <f t="shared" si="3"/>
        <v>221.863</v>
      </c>
      <c r="AP21" s="105">
        <f t="shared" si="3"/>
        <v>221.863</v>
      </c>
      <c r="AQ21" s="105">
        <f t="shared" si="3"/>
        <v>221.863</v>
      </c>
      <c r="AR21" s="105">
        <f t="shared" si="3"/>
        <v>221.863</v>
      </c>
      <c r="AS21" s="105">
        <f t="shared" si="3"/>
        <v>221.863</v>
      </c>
      <c r="AT21" s="105">
        <f t="shared" si="3"/>
        <v>221.863</v>
      </c>
      <c r="AU21" s="105">
        <f t="shared" si="3"/>
        <v>221.863</v>
      </c>
      <c r="AV21" s="105">
        <f t="shared" si="3"/>
        <v>221.863</v>
      </c>
      <c r="AW21" s="105">
        <f t="shared" si="3"/>
        <v>221.863</v>
      </c>
      <c r="AX21" s="105">
        <f t="shared" si="3"/>
        <v>221.863</v>
      </c>
      <c r="AY21" s="105">
        <f t="shared" si="3"/>
        <v>221.863</v>
      </c>
      <c r="AZ21" s="156">
        <f>SUM($D21:$AY21)</f>
        <v>9628.8925379264019</v>
      </c>
    </row>
    <row r="22" spans="1:52" s="109" customFormat="1">
      <c r="A22" s="157" t="s">
        <v>123</v>
      </c>
      <c r="B22" s="158">
        <f>1-$B$21</f>
        <v>0.55627399999999994</v>
      </c>
      <c r="C22" s="158" t="s">
        <v>292</v>
      </c>
      <c r="D22" s="113">
        <f>IF(C$20="Yes",0,SUM(C$13:C$16)*$B$22)</f>
        <v>0</v>
      </c>
      <c r="E22" s="113">
        <f t="shared" ref="E22:AY22" si="4">IF(D$20="Yes",0,SUM(D$13:D$16)*$B$22)</f>
        <v>278.13699999999994</v>
      </c>
      <c r="F22" s="113">
        <f t="shared" si="4"/>
        <v>278.13699999999994</v>
      </c>
      <c r="G22" s="113">
        <f t="shared" si="4"/>
        <v>278.13699999999994</v>
      </c>
      <c r="H22" s="113">
        <f t="shared" si="4"/>
        <v>278.13699999999994</v>
      </c>
      <c r="I22" s="113">
        <f t="shared" si="4"/>
        <v>278.13699999999994</v>
      </c>
      <c r="J22" s="113">
        <f t="shared" si="4"/>
        <v>0</v>
      </c>
      <c r="K22" s="113">
        <f t="shared" si="4"/>
        <v>278.13699999999994</v>
      </c>
      <c r="L22" s="113">
        <f t="shared" si="4"/>
        <v>278.13699999999994</v>
      </c>
      <c r="M22" s="113">
        <f t="shared" si="4"/>
        <v>278.13699999999994</v>
      </c>
      <c r="N22" s="113">
        <f t="shared" si="4"/>
        <v>278.13699999999994</v>
      </c>
      <c r="O22" s="113">
        <f t="shared" si="4"/>
        <v>278.13699999999994</v>
      </c>
      <c r="P22" s="113">
        <f t="shared" si="4"/>
        <v>278.13699999999994</v>
      </c>
      <c r="Q22" s="113">
        <f t="shared" si="4"/>
        <v>250.33131034559997</v>
      </c>
      <c r="R22" s="113">
        <f t="shared" si="4"/>
        <v>250.33131034559997</v>
      </c>
      <c r="S22" s="113">
        <f t="shared" si="4"/>
        <v>0</v>
      </c>
      <c r="T22" s="113">
        <f t="shared" si="4"/>
        <v>278.13699999999994</v>
      </c>
      <c r="U22" s="113">
        <f t="shared" si="4"/>
        <v>250.33131034559997</v>
      </c>
      <c r="V22" s="113">
        <f t="shared" si="4"/>
        <v>250.33131034559997</v>
      </c>
      <c r="W22" s="113">
        <f t="shared" si="4"/>
        <v>250.33131034559997</v>
      </c>
      <c r="X22" s="113">
        <f t="shared" si="4"/>
        <v>250.33131034559997</v>
      </c>
      <c r="Y22" s="113">
        <f t="shared" si="4"/>
        <v>278.13699999999994</v>
      </c>
      <c r="Z22" s="113">
        <f t="shared" si="4"/>
        <v>278.13699999999994</v>
      </c>
      <c r="AA22" s="113">
        <f t="shared" si="4"/>
        <v>278.13699999999994</v>
      </c>
      <c r="AB22" s="113">
        <f t="shared" si="4"/>
        <v>278.13699999999994</v>
      </c>
      <c r="AC22" s="113">
        <f t="shared" si="4"/>
        <v>278.13699999999994</v>
      </c>
      <c r="AD22" s="113">
        <f t="shared" si="4"/>
        <v>278.13699999999994</v>
      </c>
      <c r="AE22" s="113">
        <f t="shared" si="4"/>
        <v>278.13699999999994</v>
      </c>
      <c r="AF22" s="113">
        <f t="shared" si="4"/>
        <v>0</v>
      </c>
      <c r="AG22" s="113">
        <f t="shared" si="4"/>
        <v>278.13699999999994</v>
      </c>
      <c r="AH22" s="113">
        <f t="shared" si="4"/>
        <v>278.13699999999994</v>
      </c>
      <c r="AI22" s="113">
        <f t="shared" si="4"/>
        <v>278.13699999999994</v>
      </c>
      <c r="AJ22" s="113">
        <f t="shared" si="4"/>
        <v>278.13699999999994</v>
      </c>
      <c r="AK22" s="113">
        <f t="shared" si="4"/>
        <v>278.13699999999994</v>
      </c>
      <c r="AL22" s="113">
        <f t="shared" si="4"/>
        <v>278.13699999999994</v>
      </c>
      <c r="AM22" s="113">
        <f t="shared" si="4"/>
        <v>278.13699999999994</v>
      </c>
      <c r="AN22" s="113">
        <f t="shared" si="4"/>
        <v>278.13699999999994</v>
      </c>
      <c r="AO22" s="113">
        <f t="shared" si="4"/>
        <v>278.13699999999994</v>
      </c>
      <c r="AP22" s="113">
        <f t="shared" si="4"/>
        <v>278.13699999999994</v>
      </c>
      <c r="AQ22" s="113">
        <f t="shared" si="4"/>
        <v>278.13699999999994</v>
      </c>
      <c r="AR22" s="113">
        <f t="shared" si="4"/>
        <v>278.13699999999994</v>
      </c>
      <c r="AS22" s="113">
        <f t="shared" si="4"/>
        <v>278.13699999999994</v>
      </c>
      <c r="AT22" s="113">
        <f t="shared" si="4"/>
        <v>278.13699999999994</v>
      </c>
      <c r="AU22" s="113">
        <f t="shared" si="4"/>
        <v>278.13699999999994</v>
      </c>
      <c r="AV22" s="113">
        <f t="shared" si="4"/>
        <v>278.13699999999994</v>
      </c>
      <c r="AW22" s="113">
        <f t="shared" si="4"/>
        <v>278.13699999999994</v>
      </c>
      <c r="AX22" s="113">
        <f t="shared" si="4"/>
        <v>278.13699999999994</v>
      </c>
      <c r="AY22" s="113">
        <f t="shared" si="4"/>
        <v>278.13699999999994</v>
      </c>
      <c r="AZ22" s="140">
        <f t="shared" ref="AZ22:AZ30" si="5">SUM($D22:$AY22)</f>
        <v>12071.193862073604</v>
      </c>
    </row>
    <row r="23" spans="1:52">
      <c r="A23" s="159" t="s">
        <v>306</v>
      </c>
      <c r="B23" s="123">
        <v>2000</v>
      </c>
      <c r="C23" s="99" t="s">
        <v>292</v>
      </c>
      <c r="D23" s="99">
        <f>D$21*$B$23</f>
        <v>0</v>
      </c>
      <c r="E23" s="99">
        <f t="shared" ref="E23:AY23" si="6">E$21*$B$23</f>
        <v>443726</v>
      </c>
      <c r="F23" s="99">
        <f t="shared" si="6"/>
        <v>443726</v>
      </c>
      <c r="G23" s="99">
        <f t="shared" si="6"/>
        <v>443726</v>
      </c>
      <c r="H23" s="99">
        <f t="shared" si="6"/>
        <v>443726</v>
      </c>
      <c r="I23" s="99">
        <f t="shared" si="6"/>
        <v>443726</v>
      </c>
      <c r="J23" s="99">
        <f t="shared" si="6"/>
        <v>0</v>
      </c>
      <c r="K23" s="99">
        <f t="shared" si="6"/>
        <v>443726</v>
      </c>
      <c r="L23" s="99">
        <f t="shared" si="6"/>
        <v>443726</v>
      </c>
      <c r="M23" s="99">
        <f t="shared" si="6"/>
        <v>443726</v>
      </c>
      <c r="N23" s="99">
        <f t="shared" si="6"/>
        <v>443726</v>
      </c>
      <c r="O23" s="99">
        <f t="shared" si="6"/>
        <v>443726</v>
      </c>
      <c r="P23" s="99">
        <f t="shared" si="6"/>
        <v>443726</v>
      </c>
      <c r="Q23" s="99">
        <f t="shared" si="6"/>
        <v>399366.17930880003</v>
      </c>
      <c r="R23" s="99">
        <f t="shared" si="6"/>
        <v>399366.17930880003</v>
      </c>
      <c r="S23" s="99">
        <f t="shared" si="6"/>
        <v>0</v>
      </c>
      <c r="T23" s="99">
        <f t="shared" si="6"/>
        <v>443726</v>
      </c>
      <c r="U23" s="99">
        <f t="shared" si="6"/>
        <v>399366.17930880003</v>
      </c>
      <c r="V23" s="99">
        <f t="shared" si="6"/>
        <v>399366.17930880003</v>
      </c>
      <c r="W23" s="99">
        <f t="shared" si="6"/>
        <v>399366.17930880003</v>
      </c>
      <c r="X23" s="99">
        <f t="shared" si="6"/>
        <v>399366.17930880003</v>
      </c>
      <c r="Y23" s="99">
        <f t="shared" si="6"/>
        <v>443726</v>
      </c>
      <c r="Z23" s="99">
        <f t="shared" si="6"/>
        <v>443726</v>
      </c>
      <c r="AA23" s="99">
        <f t="shared" si="6"/>
        <v>443726</v>
      </c>
      <c r="AB23" s="99">
        <f t="shared" si="6"/>
        <v>443726</v>
      </c>
      <c r="AC23" s="99">
        <f t="shared" si="6"/>
        <v>443726</v>
      </c>
      <c r="AD23" s="99">
        <f t="shared" si="6"/>
        <v>443726</v>
      </c>
      <c r="AE23" s="99">
        <f t="shared" si="6"/>
        <v>443726</v>
      </c>
      <c r="AF23" s="99">
        <f t="shared" si="6"/>
        <v>0</v>
      </c>
      <c r="AG23" s="99">
        <f t="shared" si="6"/>
        <v>443726</v>
      </c>
      <c r="AH23" s="99">
        <f t="shared" si="6"/>
        <v>443726</v>
      </c>
      <c r="AI23" s="99">
        <f t="shared" si="6"/>
        <v>443726</v>
      </c>
      <c r="AJ23" s="99">
        <f t="shared" si="6"/>
        <v>443726</v>
      </c>
      <c r="AK23" s="99">
        <f t="shared" si="6"/>
        <v>443726</v>
      </c>
      <c r="AL23" s="99">
        <f t="shared" si="6"/>
        <v>443726</v>
      </c>
      <c r="AM23" s="99">
        <f t="shared" si="6"/>
        <v>443726</v>
      </c>
      <c r="AN23" s="99">
        <f t="shared" si="6"/>
        <v>443726</v>
      </c>
      <c r="AO23" s="99">
        <f t="shared" si="6"/>
        <v>443726</v>
      </c>
      <c r="AP23" s="99">
        <f t="shared" si="6"/>
        <v>443726</v>
      </c>
      <c r="AQ23" s="99">
        <f t="shared" si="6"/>
        <v>443726</v>
      </c>
      <c r="AR23" s="99">
        <f t="shared" si="6"/>
        <v>443726</v>
      </c>
      <c r="AS23" s="99">
        <f t="shared" si="6"/>
        <v>443726</v>
      </c>
      <c r="AT23" s="99">
        <f t="shared" si="6"/>
        <v>443726</v>
      </c>
      <c r="AU23" s="99">
        <f t="shared" si="6"/>
        <v>443726</v>
      </c>
      <c r="AV23" s="99">
        <f t="shared" si="6"/>
        <v>443726</v>
      </c>
      <c r="AW23" s="99">
        <f t="shared" si="6"/>
        <v>443726</v>
      </c>
      <c r="AX23" s="99">
        <f t="shared" si="6"/>
        <v>443726</v>
      </c>
      <c r="AY23" s="99">
        <f t="shared" si="6"/>
        <v>443726</v>
      </c>
      <c r="AZ23" s="138">
        <f t="shared" si="5"/>
        <v>19257785.0758528</v>
      </c>
    </row>
    <row r="24" spans="1:52" s="109" customFormat="1">
      <c r="A24" s="160" t="s">
        <v>307</v>
      </c>
      <c r="B24" s="161">
        <v>1000</v>
      </c>
      <c r="C24" s="155" t="s">
        <v>292</v>
      </c>
      <c r="D24" s="105">
        <f>D$22*$B$24</f>
        <v>0</v>
      </c>
      <c r="E24" s="105">
        <f t="shared" ref="E24:AY24" si="7">E$22*$B$24</f>
        <v>278136.99999999994</v>
      </c>
      <c r="F24" s="105">
        <f t="shared" si="7"/>
        <v>278136.99999999994</v>
      </c>
      <c r="G24" s="105">
        <f t="shared" si="7"/>
        <v>278136.99999999994</v>
      </c>
      <c r="H24" s="105">
        <f t="shared" si="7"/>
        <v>278136.99999999994</v>
      </c>
      <c r="I24" s="105">
        <f t="shared" si="7"/>
        <v>278136.99999999994</v>
      </c>
      <c r="J24" s="105">
        <f t="shared" si="7"/>
        <v>0</v>
      </c>
      <c r="K24" s="105">
        <f t="shared" si="7"/>
        <v>278136.99999999994</v>
      </c>
      <c r="L24" s="105">
        <f t="shared" si="7"/>
        <v>278136.99999999994</v>
      </c>
      <c r="M24" s="105">
        <f t="shared" si="7"/>
        <v>278136.99999999994</v>
      </c>
      <c r="N24" s="105">
        <f t="shared" si="7"/>
        <v>278136.99999999994</v>
      </c>
      <c r="O24" s="105">
        <f t="shared" si="7"/>
        <v>278136.99999999994</v>
      </c>
      <c r="P24" s="105">
        <f t="shared" si="7"/>
        <v>278136.99999999994</v>
      </c>
      <c r="Q24" s="105">
        <f t="shared" si="7"/>
        <v>250331.31034559998</v>
      </c>
      <c r="R24" s="105">
        <f t="shared" si="7"/>
        <v>250331.31034559998</v>
      </c>
      <c r="S24" s="105">
        <f t="shared" si="7"/>
        <v>0</v>
      </c>
      <c r="T24" s="105">
        <f t="shared" si="7"/>
        <v>278136.99999999994</v>
      </c>
      <c r="U24" s="105">
        <f t="shared" si="7"/>
        <v>250331.31034559998</v>
      </c>
      <c r="V24" s="105">
        <f t="shared" si="7"/>
        <v>250331.31034559998</v>
      </c>
      <c r="W24" s="105">
        <f t="shared" si="7"/>
        <v>250331.31034559998</v>
      </c>
      <c r="X24" s="105">
        <f t="shared" si="7"/>
        <v>250331.31034559998</v>
      </c>
      <c r="Y24" s="105">
        <f t="shared" si="7"/>
        <v>278136.99999999994</v>
      </c>
      <c r="Z24" s="105">
        <f t="shared" si="7"/>
        <v>278136.99999999994</v>
      </c>
      <c r="AA24" s="105">
        <f t="shared" si="7"/>
        <v>278136.99999999994</v>
      </c>
      <c r="AB24" s="105">
        <f t="shared" si="7"/>
        <v>278136.99999999994</v>
      </c>
      <c r="AC24" s="105">
        <f t="shared" si="7"/>
        <v>278136.99999999994</v>
      </c>
      <c r="AD24" s="105">
        <f t="shared" si="7"/>
        <v>278136.99999999994</v>
      </c>
      <c r="AE24" s="105">
        <f t="shared" si="7"/>
        <v>278136.99999999994</v>
      </c>
      <c r="AF24" s="105">
        <f t="shared" si="7"/>
        <v>0</v>
      </c>
      <c r="AG24" s="105">
        <f t="shared" si="7"/>
        <v>278136.99999999994</v>
      </c>
      <c r="AH24" s="105">
        <f t="shared" si="7"/>
        <v>278136.99999999994</v>
      </c>
      <c r="AI24" s="105">
        <f t="shared" si="7"/>
        <v>278136.99999999994</v>
      </c>
      <c r="AJ24" s="105">
        <f t="shared" si="7"/>
        <v>278136.99999999994</v>
      </c>
      <c r="AK24" s="105">
        <f t="shared" si="7"/>
        <v>278136.99999999994</v>
      </c>
      <c r="AL24" s="105">
        <f t="shared" si="7"/>
        <v>278136.99999999994</v>
      </c>
      <c r="AM24" s="105">
        <f t="shared" si="7"/>
        <v>278136.99999999994</v>
      </c>
      <c r="AN24" s="105">
        <f t="shared" si="7"/>
        <v>278136.99999999994</v>
      </c>
      <c r="AO24" s="105">
        <f t="shared" si="7"/>
        <v>278136.99999999994</v>
      </c>
      <c r="AP24" s="105">
        <f t="shared" si="7"/>
        <v>278136.99999999994</v>
      </c>
      <c r="AQ24" s="105">
        <f t="shared" si="7"/>
        <v>278136.99999999994</v>
      </c>
      <c r="AR24" s="105">
        <f t="shared" si="7"/>
        <v>278136.99999999994</v>
      </c>
      <c r="AS24" s="105">
        <f t="shared" si="7"/>
        <v>278136.99999999994</v>
      </c>
      <c r="AT24" s="105">
        <f t="shared" si="7"/>
        <v>278136.99999999994</v>
      </c>
      <c r="AU24" s="105">
        <f t="shared" si="7"/>
        <v>278136.99999999994</v>
      </c>
      <c r="AV24" s="105">
        <f t="shared" si="7"/>
        <v>278136.99999999994</v>
      </c>
      <c r="AW24" s="105">
        <f t="shared" si="7"/>
        <v>278136.99999999994</v>
      </c>
      <c r="AX24" s="105">
        <f t="shared" si="7"/>
        <v>278136.99999999994</v>
      </c>
      <c r="AY24" s="105">
        <f t="shared" si="7"/>
        <v>278136.99999999994</v>
      </c>
      <c r="AZ24" s="140">
        <f t="shared" si="5"/>
        <v>12071193.8620736</v>
      </c>
    </row>
    <row r="25" spans="1:52"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05"/>
    </row>
    <row r="26" spans="1:52">
      <c r="A26" s="162" t="s">
        <v>18</v>
      </c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</row>
    <row r="27" spans="1:52">
      <c r="B27" s="134" t="s">
        <v>308</v>
      </c>
      <c r="C27" s="123">
        <v>22</v>
      </c>
      <c r="D27" s="123">
        <f>C$27-C$28+C$29</f>
        <v>22</v>
      </c>
      <c r="E27" s="123">
        <f t="shared" ref="E27:AY27" si="8">D27-D28+D29</f>
        <v>22</v>
      </c>
      <c r="F27" s="123">
        <f t="shared" si="8"/>
        <v>5</v>
      </c>
      <c r="G27" s="123">
        <f t="shared" si="8"/>
        <v>17</v>
      </c>
      <c r="H27" s="123">
        <f t="shared" si="8"/>
        <v>5</v>
      </c>
      <c r="I27" s="123">
        <f t="shared" si="8"/>
        <v>17</v>
      </c>
      <c r="J27" s="123">
        <f t="shared" si="8"/>
        <v>5</v>
      </c>
      <c r="K27" s="123">
        <f t="shared" si="8"/>
        <v>22</v>
      </c>
      <c r="L27" s="123">
        <f t="shared" si="8"/>
        <v>5</v>
      </c>
      <c r="M27" s="123">
        <f t="shared" si="8"/>
        <v>17</v>
      </c>
      <c r="N27" s="123">
        <f t="shared" si="8"/>
        <v>5</v>
      </c>
      <c r="O27" s="123">
        <f t="shared" si="8"/>
        <v>17</v>
      </c>
      <c r="P27" s="123">
        <f t="shared" si="8"/>
        <v>5</v>
      </c>
      <c r="Q27" s="123">
        <f t="shared" si="8"/>
        <v>17</v>
      </c>
      <c r="R27" s="123">
        <f t="shared" si="8"/>
        <v>6</v>
      </c>
      <c r="S27" s="123">
        <f t="shared" si="8"/>
        <v>16</v>
      </c>
      <c r="T27" s="123">
        <f t="shared" si="8"/>
        <v>22</v>
      </c>
      <c r="U27" s="123">
        <f t="shared" si="8"/>
        <v>5</v>
      </c>
      <c r="V27" s="123">
        <f t="shared" si="8"/>
        <v>17</v>
      </c>
      <c r="W27" s="123">
        <f t="shared" si="8"/>
        <v>6</v>
      </c>
      <c r="X27" s="123">
        <f t="shared" si="8"/>
        <v>16</v>
      </c>
      <c r="Y27" s="123">
        <f t="shared" si="8"/>
        <v>6</v>
      </c>
      <c r="Z27" s="123">
        <f t="shared" si="8"/>
        <v>16</v>
      </c>
      <c r="AA27" s="123">
        <f t="shared" si="8"/>
        <v>6</v>
      </c>
      <c r="AB27" s="123">
        <f t="shared" si="8"/>
        <v>16</v>
      </c>
      <c r="AC27" s="123">
        <f t="shared" si="8"/>
        <v>6</v>
      </c>
      <c r="AD27" s="123">
        <f t="shared" si="8"/>
        <v>16</v>
      </c>
      <c r="AE27" s="123">
        <f t="shared" si="8"/>
        <v>6</v>
      </c>
      <c r="AF27" s="123">
        <f t="shared" si="8"/>
        <v>16</v>
      </c>
      <c r="AG27" s="123">
        <f t="shared" si="8"/>
        <v>22</v>
      </c>
      <c r="AH27" s="123">
        <f t="shared" si="8"/>
        <v>5</v>
      </c>
      <c r="AI27" s="123">
        <f t="shared" si="8"/>
        <v>17</v>
      </c>
      <c r="AJ27" s="123">
        <f t="shared" si="8"/>
        <v>5</v>
      </c>
      <c r="AK27" s="123">
        <f t="shared" si="8"/>
        <v>17</v>
      </c>
      <c r="AL27" s="123">
        <f t="shared" si="8"/>
        <v>5</v>
      </c>
      <c r="AM27" s="123">
        <f t="shared" si="8"/>
        <v>17</v>
      </c>
      <c r="AN27" s="123">
        <f t="shared" si="8"/>
        <v>5</v>
      </c>
      <c r="AO27" s="123">
        <f t="shared" si="8"/>
        <v>17</v>
      </c>
      <c r="AP27" s="123">
        <f t="shared" si="8"/>
        <v>5</v>
      </c>
      <c r="AQ27" s="123">
        <f t="shared" si="8"/>
        <v>17</v>
      </c>
      <c r="AR27" s="123">
        <f t="shared" si="8"/>
        <v>5</v>
      </c>
      <c r="AS27" s="123">
        <f t="shared" si="8"/>
        <v>17</v>
      </c>
      <c r="AT27" s="123">
        <f t="shared" si="8"/>
        <v>5</v>
      </c>
      <c r="AU27" s="123">
        <f t="shared" si="8"/>
        <v>17</v>
      </c>
      <c r="AV27" s="123">
        <f t="shared" si="8"/>
        <v>5</v>
      </c>
      <c r="AW27" s="123">
        <f t="shared" si="8"/>
        <v>17</v>
      </c>
      <c r="AX27" s="123">
        <f t="shared" si="8"/>
        <v>5</v>
      </c>
      <c r="AY27" s="163">
        <f t="shared" si="8"/>
        <v>17</v>
      </c>
      <c r="AZ27" s="105"/>
    </row>
    <row r="28" spans="1:52">
      <c r="B28" s="164" t="s">
        <v>309</v>
      </c>
      <c r="C28" s="109"/>
      <c r="D28" s="109">
        <v>0</v>
      </c>
      <c r="E28" s="109">
        <v>17</v>
      </c>
      <c r="F28" s="109">
        <v>5</v>
      </c>
      <c r="G28" s="109">
        <v>17</v>
      </c>
      <c r="H28" s="109">
        <v>5</v>
      </c>
      <c r="I28" s="109">
        <v>17</v>
      </c>
      <c r="J28" s="109">
        <v>0</v>
      </c>
      <c r="K28" s="109">
        <v>17</v>
      </c>
      <c r="L28" s="109">
        <v>5</v>
      </c>
      <c r="M28" s="109">
        <v>17</v>
      </c>
      <c r="N28" s="109">
        <v>5</v>
      </c>
      <c r="O28" s="109">
        <v>17</v>
      </c>
      <c r="P28" s="109">
        <v>5</v>
      </c>
      <c r="Q28" s="109">
        <v>16</v>
      </c>
      <c r="R28" s="109">
        <v>6</v>
      </c>
      <c r="S28" s="109">
        <v>0</v>
      </c>
      <c r="T28" s="109">
        <v>17</v>
      </c>
      <c r="U28" s="109">
        <v>5</v>
      </c>
      <c r="V28" s="109">
        <v>16</v>
      </c>
      <c r="W28" s="109">
        <v>6</v>
      </c>
      <c r="X28" s="109">
        <v>16</v>
      </c>
      <c r="Y28" s="109">
        <v>6</v>
      </c>
      <c r="Z28" s="109">
        <v>16</v>
      </c>
      <c r="AA28" s="109">
        <v>6</v>
      </c>
      <c r="AB28" s="109">
        <v>16</v>
      </c>
      <c r="AC28" s="109">
        <v>6</v>
      </c>
      <c r="AD28" s="109">
        <v>16</v>
      </c>
      <c r="AE28" s="109">
        <v>6</v>
      </c>
      <c r="AF28" s="109">
        <v>0</v>
      </c>
      <c r="AG28" s="109">
        <v>17</v>
      </c>
      <c r="AH28" s="109">
        <v>5</v>
      </c>
      <c r="AI28" s="109">
        <v>17</v>
      </c>
      <c r="AJ28" s="109">
        <v>5</v>
      </c>
      <c r="AK28" s="109">
        <v>17</v>
      </c>
      <c r="AL28" s="109">
        <v>5</v>
      </c>
      <c r="AM28" s="109">
        <v>17</v>
      </c>
      <c r="AN28" s="109">
        <v>5</v>
      </c>
      <c r="AO28" s="109">
        <v>17</v>
      </c>
      <c r="AP28" s="109">
        <v>5</v>
      </c>
      <c r="AQ28" s="109">
        <v>17</v>
      </c>
      <c r="AR28" s="109">
        <v>5</v>
      </c>
      <c r="AS28" s="109">
        <v>17</v>
      </c>
      <c r="AT28" s="109">
        <v>5</v>
      </c>
      <c r="AU28" s="109">
        <v>17</v>
      </c>
      <c r="AV28" s="109">
        <v>5</v>
      </c>
      <c r="AW28" s="109">
        <v>17</v>
      </c>
      <c r="AX28" s="109">
        <v>5</v>
      </c>
      <c r="AY28" s="165">
        <v>17</v>
      </c>
      <c r="AZ28" s="105"/>
    </row>
    <row r="29" spans="1:52">
      <c r="B29" s="135" t="s">
        <v>310</v>
      </c>
      <c r="C29" s="124"/>
      <c r="D29" s="124">
        <f>C$28</f>
        <v>0</v>
      </c>
      <c r="E29" s="124">
        <f t="shared" ref="E29:AY29" si="9">D$28</f>
        <v>0</v>
      </c>
      <c r="F29" s="124">
        <f t="shared" si="9"/>
        <v>17</v>
      </c>
      <c r="G29" s="124">
        <f t="shared" si="9"/>
        <v>5</v>
      </c>
      <c r="H29" s="124">
        <f t="shared" si="9"/>
        <v>17</v>
      </c>
      <c r="I29" s="124">
        <f t="shared" si="9"/>
        <v>5</v>
      </c>
      <c r="J29" s="124">
        <f t="shared" si="9"/>
        <v>17</v>
      </c>
      <c r="K29" s="124">
        <f t="shared" si="9"/>
        <v>0</v>
      </c>
      <c r="L29" s="124">
        <f t="shared" si="9"/>
        <v>17</v>
      </c>
      <c r="M29" s="124">
        <f t="shared" si="9"/>
        <v>5</v>
      </c>
      <c r="N29" s="124">
        <f t="shared" si="9"/>
        <v>17</v>
      </c>
      <c r="O29" s="124">
        <f t="shared" si="9"/>
        <v>5</v>
      </c>
      <c r="P29" s="124">
        <f t="shared" si="9"/>
        <v>17</v>
      </c>
      <c r="Q29" s="124">
        <f t="shared" si="9"/>
        <v>5</v>
      </c>
      <c r="R29" s="124">
        <f t="shared" si="9"/>
        <v>16</v>
      </c>
      <c r="S29" s="124">
        <f t="shared" si="9"/>
        <v>6</v>
      </c>
      <c r="T29" s="124">
        <f t="shared" si="9"/>
        <v>0</v>
      </c>
      <c r="U29" s="124">
        <f t="shared" si="9"/>
        <v>17</v>
      </c>
      <c r="V29" s="124">
        <f t="shared" si="9"/>
        <v>5</v>
      </c>
      <c r="W29" s="124">
        <f t="shared" si="9"/>
        <v>16</v>
      </c>
      <c r="X29" s="124">
        <f t="shared" si="9"/>
        <v>6</v>
      </c>
      <c r="Y29" s="124">
        <f t="shared" si="9"/>
        <v>16</v>
      </c>
      <c r="Z29" s="124">
        <f t="shared" si="9"/>
        <v>6</v>
      </c>
      <c r="AA29" s="124">
        <f t="shared" si="9"/>
        <v>16</v>
      </c>
      <c r="AB29" s="124">
        <f t="shared" si="9"/>
        <v>6</v>
      </c>
      <c r="AC29" s="124">
        <f t="shared" si="9"/>
        <v>16</v>
      </c>
      <c r="AD29" s="124">
        <f t="shared" si="9"/>
        <v>6</v>
      </c>
      <c r="AE29" s="124">
        <f t="shared" si="9"/>
        <v>16</v>
      </c>
      <c r="AF29" s="124">
        <f t="shared" si="9"/>
        <v>6</v>
      </c>
      <c r="AG29" s="124">
        <f t="shared" si="9"/>
        <v>0</v>
      </c>
      <c r="AH29" s="124">
        <f t="shared" si="9"/>
        <v>17</v>
      </c>
      <c r="AI29" s="124">
        <f t="shared" si="9"/>
        <v>5</v>
      </c>
      <c r="AJ29" s="124">
        <f t="shared" si="9"/>
        <v>17</v>
      </c>
      <c r="AK29" s="124">
        <f t="shared" si="9"/>
        <v>5</v>
      </c>
      <c r="AL29" s="124">
        <f t="shared" si="9"/>
        <v>17</v>
      </c>
      <c r="AM29" s="124">
        <f t="shared" si="9"/>
        <v>5</v>
      </c>
      <c r="AN29" s="124">
        <f t="shared" si="9"/>
        <v>17</v>
      </c>
      <c r="AO29" s="124">
        <f t="shared" si="9"/>
        <v>5</v>
      </c>
      <c r="AP29" s="124">
        <f t="shared" si="9"/>
        <v>17</v>
      </c>
      <c r="AQ29" s="124">
        <f t="shared" si="9"/>
        <v>5</v>
      </c>
      <c r="AR29" s="124">
        <f t="shared" si="9"/>
        <v>17</v>
      </c>
      <c r="AS29" s="124">
        <f t="shared" si="9"/>
        <v>5</v>
      </c>
      <c r="AT29" s="124">
        <f t="shared" si="9"/>
        <v>17</v>
      </c>
      <c r="AU29" s="124">
        <f t="shared" si="9"/>
        <v>5</v>
      </c>
      <c r="AV29" s="124">
        <f t="shared" si="9"/>
        <v>17</v>
      </c>
      <c r="AW29" s="124">
        <f t="shared" si="9"/>
        <v>5</v>
      </c>
      <c r="AX29" s="124">
        <f t="shared" si="9"/>
        <v>17</v>
      </c>
      <c r="AY29" s="166">
        <f t="shared" si="9"/>
        <v>5</v>
      </c>
      <c r="AZ29" s="167"/>
    </row>
    <row r="30" spans="1:52">
      <c r="A30" s="168" t="s">
        <v>311</v>
      </c>
      <c r="B30" s="143">
        <v>10</v>
      </c>
      <c r="C30" s="116" t="s">
        <v>292</v>
      </c>
      <c r="D30" s="116">
        <f>D$27*$B$30</f>
        <v>220</v>
      </c>
      <c r="E30" s="116">
        <f t="shared" ref="E30:AY30" si="10">E$27*$B$30</f>
        <v>220</v>
      </c>
      <c r="F30" s="116">
        <f t="shared" si="10"/>
        <v>50</v>
      </c>
      <c r="G30" s="116">
        <f t="shared" si="10"/>
        <v>170</v>
      </c>
      <c r="H30" s="116">
        <f t="shared" si="10"/>
        <v>50</v>
      </c>
      <c r="I30" s="116">
        <f t="shared" si="10"/>
        <v>170</v>
      </c>
      <c r="J30" s="116">
        <f t="shared" si="10"/>
        <v>50</v>
      </c>
      <c r="K30" s="116">
        <f t="shared" si="10"/>
        <v>220</v>
      </c>
      <c r="L30" s="116">
        <f t="shared" si="10"/>
        <v>50</v>
      </c>
      <c r="M30" s="116">
        <f t="shared" si="10"/>
        <v>170</v>
      </c>
      <c r="N30" s="116">
        <f t="shared" si="10"/>
        <v>50</v>
      </c>
      <c r="O30" s="116">
        <f t="shared" si="10"/>
        <v>170</v>
      </c>
      <c r="P30" s="116">
        <f t="shared" si="10"/>
        <v>50</v>
      </c>
      <c r="Q30" s="116">
        <f t="shared" si="10"/>
        <v>170</v>
      </c>
      <c r="R30" s="116">
        <f>R$27*$B$30</f>
        <v>60</v>
      </c>
      <c r="S30" s="116">
        <f t="shared" si="10"/>
        <v>160</v>
      </c>
      <c r="T30" s="116">
        <f t="shared" si="10"/>
        <v>220</v>
      </c>
      <c r="U30" s="116">
        <f t="shared" si="10"/>
        <v>50</v>
      </c>
      <c r="V30" s="116">
        <f t="shared" si="10"/>
        <v>170</v>
      </c>
      <c r="W30" s="116">
        <f t="shared" si="10"/>
        <v>60</v>
      </c>
      <c r="X30" s="116">
        <f t="shared" si="10"/>
        <v>160</v>
      </c>
      <c r="Y30" s="116">
        <f t="shared" si="10"/>
        <v>60</v>
      </c>
      <c r="Z30" s="116">
        <f t="shared" si="10"/>
        <v>160</v>
      </c>
      <c r="AA30" s="116">
        <f t="shared" si="10"/>
        <v>60</v>
      </c>
      <c r="AB30" s="116">
        <f t="shared" si="10"/>
        <v>160</v>
      </c>
      <c r="AC30" s="116">
        <f t="shared" si="10"/>
        <v>60</v>
      </c>
      <c r="AD30" s="116">
        <f t="shared" si="10"/>
        <v>160</v>
      </c>
      <c r="AE30" s="116">
        <f>AE$27*$B$30</f>
        <v>60</v>
      </c>
      <c r="AF30" s="116">
        <f t="shared" si="10"/>
        <v>160</v>
      </c>
      <c r="AG30" s="116">
        <f t="shared" si="10"/>
        <v>220</v>
      </c>
      <c r="AH30" s="116">
        <f t="shared" si="10"/>
        <v>50</v>
      </c>
      <c r="AI30" s="116">
        <f t="shared" si="10"/>
        <v>170</v>
      </c>
      <c r="AJ30" s="116">
        <f t="shared" si="10"/>
        <v>50</v>
      </c>
      <c r="AK30" s="116">
        <f t="shared" si="10"/>
        <v>170</v>
      </c>
      <c r="AL30" s="116">
        <f t="shared" si="10"/>
        <v>50</v>
      </c>
      <c r="AM30" s="116">
        <f t="shared" si="10"/>
        <v>170</v>
      </c>
      <c r="AN30" s="116">
        <f t="shared" si="10"/>
        <v>50</v>
      </c>
      <c r="AO30" s="116">
        <f t="shared" si="10"/>
        <v>170</v>
      </c>
      <c r="AP30" s="116">
        <f t="shared" si="10"/>
        <v>50</v>
      </c>
      <c r="AQ30" s="116">
        <f t="shared" si="10"/>
        <v>170</v>
      </c>
      <c r="AR30" s="116">
        <f t="shared" si="10"/>
        <v>50</v>
      </c>
      <c r="AS30" s="116">
        <f t="shared" si="10"/>
        <v>170</v>
      </c>
      <c r="AT30" s="116">
        <f t="shared" si="10"/>
        <v>50</v>
      </c>
      <c r="AU30" s="116">
        <f t="shared" si="10"/>
        <v>170</v>
      </c>
      <c r="AV30" s="116">
        <f t="shared" si="10"/>
        <v>50</v>
      </c>
      <c r="AW30" s="116">
        <f t="shared" si="10"/>
        <v>170</v>
      </c>
      <c r="AX30" s="116">
        <f t="shared" si="10"/>
        <v>50</v>
      </c>
      <c r="AY30" s="116">
        <f t="shared" si="10"/>
        <v>170</v>
      </c>
      <c r="AZ30" s="140">
        <f t="shared" si="5"/>
        <v>5770</v>
      </c>
    </row>
    <row r="32" spans="1:52">
      <c r="A32" s="101" t="s">
        <v>299</v>
      </c>
    </row>
    <row r="33" spans="1:52">
      <c r="A33" s="134" t="s">
        <v>22</v>
      </c>
      <c r="B33" s="134" t="s">
        <v>340</v>
      </c>
      <c r="C33" s="123"/>
      <c r="D33" s="123">
        <f>D$21*shipping_manufacturing!$F$27/100</f>
        <v>0</v>
      </c>
      <c r="E33" s="123">
        <f>E$21*shipping_manufacturing!$F$27/100</f>
        <v>221.863</v>
      </c>
      <c r="F33" s="123">
        <f>F$21*shipping_manufacturing!$F$27/100</f>
        <v>221.863</v>
      </c>
      <c r="G33" s="123">
        <f>G$21*shipping_manufacturing!$F$27/100</f>
        <v>221.863</v>
      </c>
      <c r="H33" s="123">
        <f>H$21*shipping_manufacturing!$F$27/100</f>
        <v>221.863</v>
      </c>
      <c r="I33" s="123">
        <f>I$21*shipping_manufacturing!$F$27/100</f>
        <v>221.863</v>
      </c>
      <c r="J33" s="123">
        <f>J$21*shipping_manufacturing!$F$27/100</f>
        <v>0</v>
      </c>
      <c r="K33" s="123">
        <f>K$21*shipping_manufacturing!$F$27/100</f>
        <v>221.863</v>
      </c>
      <c r="L33" s="123">
        <f>L$21*shipping_manufacturing!$F$27/100</f>
        <v>221.863</v>
      </c>
      <c r="M33" s="123">
        <f>M$21*shipping_manufacturing!$F$27/100</f>
        <v>221.863</v>
      </c>
      <c r="N33" s="123">
        <f>N$21*shipping_manufacturing!$F$27/100</f>
        <v>221.863</v>
      </c>
      <c r="O33" s="123">
        <f>O$21*shipping_manufacturing!$F$27/100</f>
        <v>221.863</v>
      </c>
      <c r="P33" s="123">
        <f>P$21*shipping_manufacturing!$F$27/100</f>
        <v>221.863</v>
      </c>
      <c r="Q33" s="123">
        <f>Q$21*shipping_manufacturing!$F$27/100</f>
        <v>199.68308965440002</v>
      </c>
      <c r="R33" s="123">
        <f>R$21*shipping_manufacturing!$F$27/100</f>
        <v>199.68308965440002</v>
      </c>
      <c r="S33" s="123">
        <f>S$21*shipping_manufacturing!$F$27/100</f>
        <v>0</v>
      </c>
      <c r="T33" s="123">
        <f>T$21*shipping_manufacturing!$F$27/100</f>
        <v>221.863</v>
      </c>
      <c r="U33" s="123">
        <f>U$21*shipping_manufacturing!$F$27/100</f>
        <v>199.68308965440002</v>
      </c>
      <c r="V33" s="123">
        <f>V$21*shipping_manufacturing!$F$27/100</f>
        <v>199.68308965440002</v>
      </c>
      <c r="W33" s="123">
        <f>W$21*shipping_manufacturing!$F$27/100</f>
        <v>199.68308965440002</v>
      </c>
      <c r="X33" s="123">
        <f>X$21*shipping_manufacturing!$F$27/100</f>
        <v>199.68308965440002</v>
      </c>
      <c r="Y33" s="123">
        <f>Y$21*shipping_manufacturing!$F$27/100</f>
        <v>221.863</v>
      </c>
      <c r="Z33" s="123">
        <f>Z$21*shipping_manufacturing!$F$27/100</f>
        <v>221.863</v>
      </c>
      <c r="AA33" s="123">
        <f>AA$21*shipping_manufacturing!$F$27/100</f>
        <v>221.863</v>
      </c>
      <c r="AB33" s="123">
        <f>AB$21*shipping_manufacturing!$F$27/100</f>
        <v>221.863</v>
      </c>
      <c r="AC33" s="123">
        <f>AC$21*shipping_manufacturing!$F$27/100</f>
        <v>221.863</v>
      </c>
      <c r="AD33" s="123">
        <f>AD$21*shipping_manufacturing!$F$27/100</f>
        <v>221.863</v>
      </c>
      <c r="AE33" s="123">
        <f>AE$21*shipping_manufacturing!$F$27/100</f>
        <v>221.863</v>
      </c>
      <c r="AF33" s="123">
        <f>AF$21*shipping_manufacturing!$F$27/100</f>
        <v>0</v>
      </c>
      <c r="AG33" s="123">
        <f>AG$21*shipping_manufacturing!$F$27/100</f>
        <v>221.863</v>
      </c>
      <c r="AH33" s="123">
        <f>AH$21*shipping_manufacturing!$F$27/100</f>
        <v>221.863</v>
      </c>
      <c r="AI33" s="123">
        <f>AI$21*shipping_manufacturing!$F$27/100</f>
        <v>221.863</v>
      </c>
      <c r="AJ33" s="123">
        <f>AJ$21*shipping_manufacturing!$F$27/100</f>
        <v>221.863</v>
      </c>
      <c r="AK33" s="123">
        <f>AK$21*shipping_manufacturing!$F$27/100</f>
        <v>221.863</v>
      </c>
      <c r="AL33" s="123">
        <f>AL$21*shipping_manufacturing!$F$27/100</f>
        <v>221.863</v>
      </c>
      <c r="AM33" s="123">
        <f>AM$21*shipping_manufacturing!$F$27/100</f>
        <v>221.863</v>
      </c>
      <c r="AN33" s="123">
        <f>AN$21*shipping_manufacturing!$F$27/100</f>
        <v>221.863</v>
      </c>
      <c r="AO33" s="123">
        <f>AO$21*shipping_manufacturing!$F$27/100</f>
        <v>221.863</v>
      </c>
      <c r="AP33" s="123">
        <f>AP$21*shipping_manufacturing!$F$27/100</f>
        <v>221.863</v>
      </c>
      <c r="AQ33" s="123">
        <f>AQ$21*shipping_manufacturing!$F$27/100</f>
        <v>221.863</v>
      </c>
      <c r="AR33" s="123">
        <f>AR$21*shipping_manufacturing!$F$27/100</f>
        <v>221.863</v>
      </c>
      <c r="AS33" s="123">
        <f>AS$21*shipping_manufacturing!$F$27/100</f>
        <v>221.863</v>
      </c>
      <c r="AT33" s="123">
        <f>AT$21*shipping_manufacturing!$F$27/100</f>
        <v>221.863</v>
      </c>
      <c r="AU33" s="123">
        <f>AU$21*shipping_manufacturing!$F$27/100</f>
        <v>221.863</v>
      </c>
      <c r="AV33" s="123">
        <f>AV$21*shipping_manufacturing!$F$27/100</f>
        <v>221.863</v>
      </c>
      <c r="AW33" s="123">
        <f>AW$21*shipping_manufacturing!$F$27/100</f>
        <v>221.863</v>
      </c>
      <c r="AX33" s="123">
        <f>AX$21*shipping_manufacturing!$F$27/100</f>
        <v>221.863</v>
      </c>
      <c r="AY33" s="123">
        <f>AY$21*shipping_manufacturing!$F$27/100</f>
        <v>221.863</v>
      </c>
    </row>
    <row r="34" spans="1:52">
      <c r="A34" s="112" t="s">
        <v>339</v>
      </c>
      <c r="B34" s="164" t="s">
        <v>341</v>
      </c>
      <c r="C34" s="109"/>
      <c r="D34" s="109">
        <f>D$22*shipping_manufacturing!$G$27/100</f>
        <v>0</v>
      </c>
      <c r="E34" s="109">
        <f>E$22*shipping_manufacturing!$G$27/100</f>
        <v>278.13699999999994</v>
      </c>
      <c r="F34" s="109">
        <f>F$22*shipping_manufacturing!$G$27/100</f>
        <v>278.13699999999994</v>
      </c>
      <c r="G34" s="109">
        <f>G$22*shipping_manufacturing!$G$27/100</f>
        <v>278.13699999999994</v>
      </c>
      <c r="H34" s="109">
        <f>H$22*shipping_manufacturing!$G$27/100</f>
        <v>278.13699999999994</v>
      </c>
      <c r="I34" s="109">
        <f>I$22*shipping_manufacturing!$G$27/100</f>
        <v>278.13699999999994</v>
      </c>
      <c r="J34" s="109">
        <f>J$22*shipping_manufacturing!$G$27/100</f>
        <v>0</v>
      </c>
      <c r="K34" s="109">
        <f>K$22*shipping_manufacturing!$G$27/100</f>
        <v>278.13699999999994</v>
      </c>
      <c r="L34" s="109">
        <f>L$22*shipping_manufacturing!$G$27/100</f>
        <v>278.13699999999994</v>
      </c>
      <c r="M34" s="109">
        <f>M$22*shipping_manufacturing!$G$27/100</f>
        <v>278.13699999999994</v>
      </c>
      <c r="N34" s="109">
        <f>N$22*shipping_manufacturing!$G$27/100</f>
        <v>278.13699999999994</v>
      </c>
      <c r="O34" s="109">
        <f>O$22*shipping_manufacturing!$G$27/100</f>
        <v>278.13699999999994</v>
      </c>
      <c r="P34" s="109">
        <f>P$22*shipping_manufacturing!$G$27/100</f>
        <v>278.13699999999994</v>
      </c>
      <c r="Q34" s="109">
        <f>Q$22*shipping_manufacturing!$G$27/100</f>
        <v>250.33131034559995</v>
      </c>
      <c r="R34" s="109">
        <f>R$22*shipping_manufacturing!$G$27/100</f>
        <v>250.33131034559995</v>
      </c>
      <c r="S34" s="109">
        <f>S$22*shipping_manufacturing!$G$27/100</f>
        <v>0</v>
      </c>
      <c r="T34" s="109">
        <f>T$22*shipping_manufacturing!$G$27/100</f>
        <v>278.13699999999994</v>
      </c>
      <c r="U34" s="109">
        <f>U$22*shipping_manufacturing!$G$27/100</f>
        <v>250.33131034559995</v>
      </c>
      <c r="V34" s="109">
        <f>V$22*shipping_manufacturing!$G$27/100</f>
        <v>250.33131034559995</v>
      </c>
      <c r="W34" s="109">
        <f>W$22*shipping_manufacturing!$G$27/100</f>
        <v>250.33131034559995</v>
      </c>
      <c r="X34" s="109">
        <f>X$22*shipping_manufacturing!$G$27/100</f>
        <v>250.33131034559995</v>
      </c>
      <c r="Y34" s="109">
        <f>Y$22*shipping_manufacturing!$G$27/100</f>
        <v>278.13699999999994</v>
      </c>
      <c r="Z34" s="109">
        <f>Z$22*shipping_manufacturing!$G$27/100</f>
        <v>278.13699999999994</v>
      </c>
      <c r="AA34" s="109">
        <f>AA$22*shipping_manufacturing!$G$27/100</f>
        <v>278.13699999999994</v>
      </c>
      <c r="AB34" s="109">
        <f>AB$22*shipping_manufacturing!$G$27/100</f>
        <v>278.13699999999994</v>
      </c>
      <c r="AC34" s="109">
        <f>AC$22*shipping_manufacturing!$G$27/100</f>
        <v>278.13699999999994</v>
      </c>
      <c r="AD34" s="109">
        <f>AD$22*shipping_manufacturing!$G$27/100</f>
        <v>278.13699999999994</v>
      </c>
      <c r="AE34" s="109">
        <f>AE$22*shipping_manufacturing!$G$27/100</f>
        <v>278.13699999999994</v>
      </c>
      <c r="AF34" s="109">
        <f>AF$22*shipping_manufacturing!$G$27/100</f>
        <v>0</v>
      </c>
      <c r="AG34" s="109">
        <f>AG$22*shipping_manufacturing!$G$27/100</f>
        <v>278.13699999999994</v>
      </c>
      <c r="AH34" s="109">
        <f>AH$22*shipping_manufacturing!$G$27/100</f>
        <v>278.13699999999994</v>
      </c>
      <c r="AI34" s="109">
        <f>AI$22*shipping_manufacturing!$G$27/100</f>
        <v>278.13699999999994</v>
      </c>
      <c r="AJ34" s="109">
        <f>AJ$22*shipping_manufacturing!$G$27/100</f>
        <v>278.13699999999994</v>
      </c>
      <c r="AK34" s="109">
        <f>AK$22*shipping_manufacturing!$G$27/100</f>
        <v>278.13699999999994</v>
      </c>
      <c r="AL34" s="109">
        <f>AL$22*shipping_manufacturing!$G$27/100</f>
        <v>278.13699999999994</v>
      </c>
      <c r="AM34" s="109">
        <f>AM$22*shipping_manufacturing!$G$27/100</f>
        <v>278.13699999999994</v>
      </c>
      <c r="AN34" s="109">
        <f>AN$22*shipping_manufacturing!$G$27/100</f>
        <v>278.13699999999994</v>
      </c>
      <c r="AO34" s="109">
        <f>AO$22*shipping_manufacturing!$G$27/100</f>
        <v>278.13699999999994</v>
      </c>
      <c r="AP34" s="109">
        <f>AP$22*shipping_manufacturing!$G$27/100</f>
        <v>278.13699999999994</v>
      </c>
      <c r="AQ34" s="109">
        <f>AQ$22*shipping_manufacturing!$G$27/100</f>
        <v>278.13699999999994</v>
      </c>
      <c r="AR34" s="109">
        <f>AR$22*shipping_manufacturing!$G$27/100</f>
        <v>278.13699999999994</v>
      </c>
      <c r="AS34" s="109">
        <f>AS$22*shipping_manufacturing!$G$27/100</f>
        <v>278.13699999999994</v>
      </c>
      <c r="AT34" s="109">
        <f>AT$22*shipping_manufacturing!$G$27/100</f>
        <v>278.13699999999994</v>
      </c>
      <c r="AU34" s="109">
        <f>AU$22*shipping_manufacturing!$G$27/100</f>
        <v>278.13699999999994</v>
      </c>
      <c r="AV34" s="109">
        <f>AV$22*shipping_manufacturing!$G$27/100</f>
        <v>278.13699999999994</v>
      </c>
      <c r="AW34" s="109">
        <f>AW$22*shipping_manufacturing!$G$27/100</f>
        <v>278.13699999999994</v>
      </c>
      <c r="AX34" s="109">
        <f>AX$22*shipping_manufacturing!$G$27/100</f>
        <v>278.13699999999994</v>
      </c>
      <c r="AY34" s="109">
        <f>AY$22*shipping_manufacturing!$G$27/100</f>
        <v>278.13699999999994</v>
      </c>
    </row>
    <row r="35" spans="1:52">
      <c r="A35" s="109">
        <v>1225</v>
      </c>
      <c r="B35" s="164" t="s">
        <v>342</v>
      </c>
      <c r="C35" s="109"/>
      <c r="D35" s="109">
        <f>SUM(D33:D34)</f>
        <v>0</v>
      </c>
      <c r="E35" s="109">
        <f t="shared" ref="E35:AY35" si="11">SUM(E33:E34)</f>
        <v>499.99999999999994</v>
      </c>
      <c r="F35" s="109">
        <f t="shared" si="11"/>
        <v>499.99999999999994</v>
      </c>
      <c r="G35" s="109">
        <f t="shared" si="11"/>
        <v>499.99999999999994</v>
      </c>
      <c r="H35" s="109">
        <f t="shared" si="11"/>
        <v>499.99999999999994</v>
      </c>
      <c r="I35" s="109">
        <f t="shared" si="11"/>
        <v>499.99999999999994</v>
      </c>
      <c r="J35" s="109">
        <f t="shared" si="11"/>
        <v>0</v>
      </c>
      <c r="K35" s="109">
        <f t="shared" si="11"/>
        <v>499.99999999999994</v>
      </c>
      <c r="L35" s="109">
        <f t="shared" si="11"/>
        <v>499.99999999999994</v>
      </c>
      <c r="M35" s="109">
        <f t="shared" si="11"/>
        <v>499.99999999999994</v>
      </c>
      <c r="N35" s="109">
        <f t="shared" si="11"/>
        <v>499.99999999999994</v>
      </c>
      <c r="O35" s="109">
        <f t="shared" si="11"/>
        <v>499.99999999999994</v>
      </c>
      <c r="P35" s="109">
        <f t="shared" si="11"/>
        <v>499.99999999999994</v>
      </c>
      <c r="Q35" s="109">
        <f t="shared" si="11"/>
        <v>450.01439999999997</v>
      </c>
      <c r="R35" s="109">
        <f t="shared" si="11"/>
        <v>450.01439999999997</v>
      </c>
      <c r="S35" s="109">
        <f t="shared" si="11"/>
        <v>0</v>
      </c>
      <c r="T35" s="109">
        <f t="shared" si="11"/>
        <v>499.99999999999994</v>
      </c>
      <c r="U35" s="109">
        <f t="shared" si="11"/>
        <v>450.01439999999997</v>
      </c>
      <c r="V35" s="109">
        <f t="shared" si="11"/>
        <v>450.01439999999997</v>
      </c>
      <c r="W35" s="109">
        <f t="shared" si="11"/>
        <v>450.01439999999997</v>
      </c>
      <c r="X35" s="109">
        <f t="shared" si="11"/>
        <v>450.01439999999997</v>
      </c>
      <c r="Y35" s="109">
        <f t="shared" si="11"/>
        <v>499.99999999999994</v>
      </c>
      <c r="Z35" s="109">
        <f t="shared" si="11"/>
        <v>499.99999999999994</v>
      </c>
      <c r="AA35" s="109">
        <f t="shared" si="11"/>
        <v>499.99999999999994</v>
      </c>
      <c r="AB35" s="109">
        <f t="shared" si="11"/>
        <v>499.99999999999994</v>
      </c>
      <c r="AC35" s="109">
        <f t="shared" si="11"/>
        <v>499.99999999999994</v>
      </c>
      <c r="AD35" s="109">
        <f t="shared" si="11"/>
        <v>499.99999999999994</v>
      </c>
      <c r="AE35" s="109">
        <f t="shared" si="11"/>
        <v>499.99999999999994</v>
      </c>
      <c r="AF35" s="109">
        <f t="shared" si="11"/>
        <v>0</v>
      </c>
      <c r="AG35" s="109">
        <f t="shared" si="11"/>
        <v>499.99999999999994</v>
      </c>
      <c r="AH35" s="109">
        <f t="shared" si="11"/>
        <v>499.99999999999994</v>
      </c>
      <c r="AI35" s="109">
        <f t="shared" si="11"/>
        <v>499.99999999999994</v>
      </c>
      <c r="AJ35" s="109">
        <f t="shared" si="11"/>
        <v>499.99999999999994</v>
      </c>
      <c r="AK35" s="109">
        <f t="shared" si="11"/>
        <v>499.99999999999994</v>
      </c>
      <c r="AL35" s="109">
        <f t="shared" si="11"/>
        <v>499.99999999999994</v>
      </c>
      <c r="AM35" s="109">
        <f t="shared" si="11"/>
        <v>499.99999999999994</v>
      </c>
      <c r="AN35" s="109">
        <f t="shared" si="11"/>
        <v>499.99999999999994</v>
      </c>
      <c r="AO35" s="109">
        <f t="shared" si="11"/>
        <v>499.99999999999994</v>
      </c>
      <c r="AP35" s="109">
        <f t="shared" si="11"/>
        <v>499.99999999999994</v>
      </c>
      <c r="AQ35" s="109">
        <f t="shared" si="11"/>
        <v>499.99999999999994</v>
      </c>
      <c r="AR35" s="109">
        <f t="shared" si="11"/>
        <v>499.99999999999994</v>
      </c>
      <c r="AS35" s="109">
        <f t="shared" si="11"/>
        <v>499.99999999999994</v>
      </c>
      <c r="AT35" s="109">
        <f t="shared" si="11"/>
        <v>499.99999999999994</v>
      </c>
      <c r="AU35" s="109">
        <f t="shared" si="11"/>
        <v>499.99999999999994</v>
      </c>
      <c r="AV35" s="109">
        <f t="shared" si="11"/>
        <v>499.99999999999994</v>
      </c>
      <c r="AW35" s="109">
        <f t="shared" si="11"/>
        <v>499.99999999999994</v>
      </c>
      <c r="AX35" s="109">
        <f t="shared" si="11"/>
        <v>499.99999999999994</v>
      </c>
      <c r="AY35" s="109">
        <f t="shared" si="11"/>
        <v>499.99999999999994</v>
      </c>
    </row>
    <row r="36" spans="1:52">
      <c r="A36" s="109"/>
      <c r="B36" s="164" t="s">
        <v>343</v>
      </c>
      <c r="C36" s="109"/>
      <c r="D36" s="109"/>
      <c r="E36" s="109">
        <v>221.863</v>
      </c>
      <c r="F36" s="109">
        <v>66.558900000000008</v>
      </c>
      <c r="G36" s="109">
        <v>221.863</v>
      </c>
      <c r="H36" s="109">
        <v>66.558900000000008</v>
      </c>
      <c r="I36" s="109">
        <v>221.863</v>
      </c>
      <c r="J36" s="109"/>
      <c r="K36" s="109">
        <v>221.863</v>
      </c>
      <c r="L36" s="109">
        <v>66.558900000000008</v>
      </c>
      <c r="M36" s="109">
        <v>221.863</v>
      </c>
      <c r="N36" s="109">
        <v>66.558900000000008</v>
      </c>
      <c r="O36" s="109">
        <v>221.863</v>
      </c>
      <c r="P36" s="109">
        <v>66.558900000000008</v>
      </c>
      <c r="Q36" s="109">
        <v>199.68308965439999</v>
      </c>
      <c r="R36" s="109">
        <v>79.870680000000021</v>
      </c>
      <c r="S36" s="109"/>
      <c r="T36" s="109">
        <v>221.863</v>
      </c>
      <c r="U36" s="109">
        <v>66.558900000000023</v>
      </c>
      <c r="V36" s="109">
        <v>199.68308965439999</v>
      </c>
      <c r="W36" s="109">
        <v>79.870680000000021</v>
      </c>
      <c r="X36" s="109">
        <v>199.68308965439999</v>
      </c>
      <c r="Y36" s="109">
        <v>79.870680000000007</v>
      </c>
      <c r="Z36" s="109">
        <v>212.98848000000001</v>
      </c>
      <c r="AA36" s="109">
        <v>79.870680000000007</v>
      </c>
      <c r="AB36" s="109">
        <v>212.98848000000001</v>
      </c>
      <c r="AC36" s="109">
        <v>79.870680000000007</v>
      </c>
      <c r="AD36" s="109">
        <v>212.98848000000001</v>
      </c>
      <c r="AE36" s="109">
        <v>79.870680000000007</v>
      </c>
      <c r="AF36" s="109"/>
      <c r="AG36" s="109">
        <v>221.863</v>
      </c>
      <c r="AH36" s="109">
        <v>66.558900000000008</v>
      </c>
      <c r="AI36" s="109">
        <v>221.863</v>
      </c>
      <c r="AJ36" s="109">
        <v>66.558900000000008</v>
      </c>
      <c r="AK36" s="109">
        <v>221.863</v>
      </c>
      <c r="AL36" s="109">
        <v>66.558900000000008</v>
      </c>
      <c r="AM36" s="109">
        <v>221.863</v>
      </c>
      <c r="AN36" s="109">
        <v>66.558900000000008</v>
      </c>
      <c r="AO36" s="109">
        <v>221.863</v>
      </c>
      <c r="AP36" s="109">
        <v>66.558900000000008</v>
      </c>
      <c r="AQ36" s="109">
        <v>221.863</v>
      </c>
      <c r="AR36" s="109">
        <v>66.558900000000008</v>
      </c>
      <c r="AS36" s="109">
        <v>221.863</v>
      </c>
      <c r="AT36" s="109">
        <v>66.558900000000008</v>
      </c>
      <c r="AU36" s="109">
        <v>221.863</v>
      </c>
      <c r="AV36" s="109">
        <v>66.558900000000008</v>
      </c>
      <c r="AW36" s="109">
        <v>221.863</v>
      </c>
      <c r="AX36" s="109">
        <v>66.558900000000008</v>
      </c>
      <c r="AY36" s="109">
        <v>221.863</v>
      </c>
    </row>
    <row r="37" spans="1:52">
      <c r="A37" s="109"/>
      <c r="B37" s="164" t="s">
        <v>344</v>
      </c>
      <c r="C37" s="109"/>
      <c r="D37" s="109"/>
      <c r="E37" s="109">
        <v>278.13699999999994</v>
      </c>
      <c r="F37" s="109">
        <v>83.441099999999992</v>
      </c>
      <c r="G37" s="109">
        <v>278.13699999999994</v>
      </c>
      <c r="H37" s="109">
        <v>83.441099999999992</v>
      </c>
      <c r="I37" s="109">
        <v>278.13699999999994</v>
      </c>
      <c r="J37" s="109"/>
      <c r="K37" s="109">
        <v>278.13699999999994</v>
      </c>
      <c r="L37" s="109">
        <v>83.441099999999992</v>
      </c>
      <c r="M37" s="109">
        <v>278.13699999999994</v>
      </c>
      <c r="N37" s="109">
        <v>83.441099999999992</v>
      </c>
      <c r="O37" s="109">
        <v>278.13699999999994</v>
      </c>
      <c r="P37" s="109">
        <v>83.441099999999992</v>
      </c>
      <c r="Q37" s="109">
        <v>250.33131034559997</v>
      </c>
      <c r="R37" s="109">
        <v>100.12931999999998</v>
      </c>
      <c r="S37" s="109"/>
      <c r="T37" s="109">
        <v>278.13699999999994</v>
      </c>
      <c r="U37" s="109">
        <v>83.441099999999992</v>
      </c>
      <c r="V37" s="109">
        <v>250.33131034559997</v>
      </c>
      <c r="W37" s="109">
        <v>100.12931999999998</v>
      </c>
      <c r="X37" s="109">
        <v>250.33131034559997</v>
      </c>
      <c r="Y37" s="109">
        <v>100.12931999999999</v>
      </c>
      <c r="Z37" s="109">
        <v>267.01151999999996</v>
      </c>
      <c r="AA37" s="109">
        <v>100.12931999999999</v>
      </c>
      <c r="AB37" s="109">
        <v>267.01151999999996</v>
      </c>
      <c r="AC37" s="109">
        <v>100.12931999999999</v>
      </c>
      <c r="AD37" s="109">
        <v>267.01151999999996</v>
      </c>
      <c r="AE37" s="109">
        <v>100.12931999999999</v>
      </c>
      <c r="AF37" s="109"/>
      <c r="AG37" s="109">
        <v>278.13699999999994</v>
      </c>
      <c r="AH37" s="109">
        <v>83.441099999999992</v>
      </c>
      <c r="AI37" s="109">
        <v>278.13699999999994</v>
      </c>
      <c r="AJ37" s="109">
        <v>83.441099999999992</v>
      </c>
      <c r="AK37" s="109">
        <v>278.13699999999994</v>
      </c>
      <c r="AL37" s="109">
        <v>83.441099999999992</v>
      </c>
      <c r="AM37" s="109">
        <v>278.13699999999994</v>
      </c>
      <c r="AN37" s="109">
        <v>83.441099999999992</v>
      </c>
      <c r="AO37" s="109">
        <v>278.13699999999994</v>
      </c>
      <c r="AP37" s="109">
        <v>83.441099999999992</v>
      </c>
      <c r="AQ37" s="109">
        <v>278.13699999999994</v>
      </c>
      <c r="AR37" s="109">
        <v>83.441099999999992</v>
      </c>
      <c r="AS37" s="109">
        <v>278.13699999999994</v>
      </c>
      <c r="AT37" s="109">
        <v>83.441099999999992</v>
      </c>
      <c r="AU37" s="109">
        <v>278.13699999999994</v>
      </c>
      <c r="AV37" s="109">
        <v>83.441099999999992</v>
      </c>
      <c r="AW37" s="109">
        <v>278.13699999999994</v>
      </c>
      <c r="AX37" s="109">
        <v>83.441099999999992</v>
      </c>
      <c r="AY37" s="109">
        <v>278.13699999999994</v>
      </c>
    </row>
    <row r="38" spans="1:52">
      <c r="A38" s="109"/>
      <c r="B38" s="164" t="s">
        <v>345</v>
      </c>
      <c r="C38" s="109"/>
      <c r="D38" s="109"/>
      <c r="E38" s="109">
        <v>17</v>
      </c>
      <c r="F38" s="109">
        <v>5</v>
      </c>
      <c r="G38" s="109">
        <v>17</v>
      </c>
      <c r="H38" s="109">
        <v>5</v>
      </c>
      <c r="I38" s="109">
        <v>17</v>
      </c>
      <c r="J38" s="109"/>
      <c r="K38" s="109">
        <v>17</v>
      </c>
      <c r="L38" s="109">
        <v>5</v>
      </c>
      <c r="M38" s="109">
        <v>17</v>
      </c>
      <c r="N38" s="109">
        <v>5</v>
      </c>
      <c r="O38" s="109">
        <v>17</v>
      </c>
      <c r="P38" s="109">
        <v>5</v>
      </c>
      <c r="Q38" s="109">
        <v>16</v>
      </c>
      <c r="R38" s="109">
        <v>6</v>
      </c>
      <c r="S38" s="109"/>
      <c r="T38" s="109">
        <v>17</v>
      </c>
      <c r="U38" s="109">
        <v>5</v>
      </c>
      <c r="V38" s="109">
        <v>16</v>
      </c>
      <c r="W38" s="109">
        <v>6</v>
      </c>
      <c r="X38" s="109">
        <v>16</v>
      </c>
      <c r="Y38" s="109">
        <v>6</v>
      </c>
      <c r="Z38" s="109">
        <v>16</v>
      </c>
      <c r="AA38" s="109">
        <v>6</v>
      </c>
      <c r="AB38" s="109">
        <v>16</v>
      </c>
      <c r="AC38" s="109">
        <v>6</v>
      </c>
      <c r="AD38" s="109">
        <v>16</v>
      </c>
      <c r="AE38" s="109">
        <v>6</v>
      </c>
      <c r="AF38" s="109"/>
      <c r="AG38" s="109">
        <v>17</v>
      </c>
      <c r="AH38" s="109">
        <v>5</v>
      </c>
      <c r="AI38" s="109">
        <v>17</v>
      </c>
      <c r="AJ38" s="109">
        <v>5</v>
      </c>
      <c r="AK38" s="109">
        <v>17</v>
      </c>
      <c r="AL38" s="109">
        <v>5</v>
      </c>
      <c r="AM38" s="109">
        <v>17</v>
      </c>
      <c r="AN38" s="109">
        <v>5</v>
      </c>
      <c r="AO38" s="109">
        <v>17</v>
      </c>
      <c r="AP38" s="109">
        <v>5</v>
      </c>
      <c r="AQ38" s="109">
        <v>17</v>
      </c>
      <c r="AR38" s="109">
        <v>5</v>
      </c>
      <c r="AS38" s="109">
        <v>17</v>
      </c>
      <c r="AT38" s="109">
        <v>5</v>
      </c>
      <c r="AU38" s="109">
        <v>17</v>
      </c>
      <c r="AV38" s="109">
        <v>5</v>
      </c>
      <c r="AW38" s="109">
        <v>17</v>
      </c>
      <c r="AX38" s="109">
        <v>5</v>
      </c>
      <c r="AY38" s="109">
        <v>17</v>
      </c>
    </row>
    <row r="39" spans="1:52">
      <c r="A39" s="109"/>
      <c r="B39" s="164" t="s">
        <v>346</v>
      </c>
      <c r="C39" s="109"/>
      <c r="D39" s="109">
        <f>D33-D36</f>
        <v>0</v>
      </c>
      <c r="E39" s="109">
        <f t="shared" ref="E39:AY39" si="12">E33-E36</f>
        <v>0</v>
      </c>
      <c r="F39" s="109">
        <f t="shared" si="12"/>
        <v>155.30410000000001</v>
      </c>
      <c r="G39" s="109">
        <f t="shared" si="12"/>
        <v>0</v>
      </c>
      <c r="H39" s="109">
        <f t="shared" si="12"/>
        <v>155.30410000000001</v>
      </c>
      <c r="I39" s="109">
        <f t="shared" si="12"/>
        <v>0</v>
      </c>
      <c r="J39" s="109">
        <f t="shared" si="12"/>
        <v>0</v>
      </c>
      <c r="K39" s="109">
        <f t="shared" si="12"/>
        <v>0</v>
      </c>
      <c r="L39" s="109">
        <f t="shared" si="12"/>
        <v>155.30410000000001</v>
      </c>
      <c r="M39" s="109">
        <f t="shared" si="12"/>
        <v>0</v>
      </c>
      <c r="N39" s="109">
        <f t="shared" si="12"/>
        <v>155.30410000000001</v>
      </c>
      <c r="O39" s="109">
        <f t="shared" si="12"/>
        <v>0</v>
      </c>
      <c r="P39" s="109">
        <f t="shared" si="12"/>
        <v>155.30410000000001</v>
      </c>
      <c r="Q39" s="109">
        <f t="shared" si="12"/>
        <v>0</v>
      </c>
      <c r="R39" s="109">
        <f t="shared" si="12"/>
        <v>119.8124096544</v>
      </c>
      <c r="S39" s="109">
        <f t="shared" si="12"/>
        <v>0</v>
      </c>
      <c r="T39" s="109">
        <f t="shared" si="12"/>
        <v>0</v>
      </c>
      <c r="U39" s="109">
        <f t="shared" si="12"/>
        <v>133.1241896544</v>
      </c>
      <c r="V39" s="109">
        <f t="shared" si="12"/>
        <v>0</v>
      </c>
      <c r="W39" s="109">
        <f t="shared" si="12"/>
        <v>119.8124096544</v>
      </c>
      <c r="X39" s="109">
        <f t="shared" si="12"/>
        <v>0</v>
      </c>
      <c r="Y39" s="109">
        <f t="shared" si="12"/>
        <v>141.99232000000001</v>
      </c>
      <c r="Z39" s="109">
        <f t="shared" si="12"/>
        <v>8.8745199999999897</v>
      </c>
      <c r="AA39" s="109">
        <f t="shared" si="12"/>
        <v>141.99232000000001</v>
      </c>
      <c r="AB39" s="109">
        <f t="shared" si="12"/>
        <v>8.8745199999999897</v>
      </c>
      <c r="AC39" s="109">
        <f t="shared" si="12"/>
        <v>141.99232000000001</v>
      </c>
      <c r="AD39" s="109">
        <f t="shared" si="12"/>
        <v>8.8745199999999897</v>
      </c>
      <c r="AE39" s="109">
        <f t="shared" si="12"/>
        <v>141.99232000000001</v>
      </c>
      <c r="AF39" s="109">
        <f t="shared" si="12"/>
        <v>0</v>
      </c>
      <c r="AG39" s="109">
        <f t="shared" si="12"/>
        <v>0</v>
      </c>
      <c r="AH39" s="109">
        <f t="shared" si="12"/>
        <v>155.30410000000001</v>
      </c>
      <c r="AI39" s="109">
        <f t="shared" si="12"/>
        <v>0</v>
      </c>
      <c r="AJ39" s="109">
        <f t="shared" si="12"/>
        <v>155.30410000000001</v>
      </c>
      <c r="AK39" s="109">
        <f t="shared" si="12"/>
        <v>0</v>
      </c>
      <c r="AL39" s="109">
        <f t="shared" si="12"/>
        <v>155.30410000000001</v>
      </c>
      <c r="AM39" s="109">
        <f t="shared" si="12"/>
        <v>0</v>
      </c>
      <c r="AN39" s="109">
        <f t="shared" si="12"/>
        <v>155.30410000000001</v>
      </c>
      <c r="AO39" s="109">
        <f t="shared" si="12"/>
        <v>0</v>
      </c>
      <c r="AP39" s="109">
        <f t="shared" si="12"/>
        <v>155.30410000000001</v>
      </c>
      <c r="AQ39" s="109">
        <f t="shared" si="12"/>
        <v>0</v>
      </c>
      <c r="AR39" s="109">
        <f t="shared" si="12"/>
        <v>155.30410000000001</v>
      </c>
      <c r="AS39" s="109">
        <f t="shared" si="12"/>
        <v>0</v>
      </c>
      <c r="AT39" s="109">
        <f t="shared" si="12"/>
        <v>155.30410000000001</v>
      </c>
      <c r="AU39" s="109">
        <f t="shared" si="12"/>
        <v>0</v>
      </c>
      <c r="AV39" s="109">
        <f t="shared" si="12"/>
        <v>155.30410000000001</v>
      </c>
      <c r="AW39" s="109">
        <f t="shared" si="12"/>
        <v>0</v>
      </c>
      <c r="AX39" s="109">
        <f t="shared" si="12"/>
        <v>155.30410000000001</v>
      </c>
      <c r="AY39" s="109">
        <f t="shared" si="12"/>
        <v>0</v>
      </c>
    </row>
    <row r="40" spans="1:52">
      <c r="A40" s="109"/>
      <c r="B40" s="164" t="s">
        <v>347</v>
      </c>
      <c r="C40" s="109"/>
      <c r="D40" s="109">
        <f>D34-D37</f>
        <v>0</v>
      </c>
      <c r="E40" s="109">
        <f t="shared" ref="E40:AY40" si="13">E34-E37</f>
        <v>0</v>
      </c>
      <c r="F40" s="109">
        <f t="shared" si="13"/>
        <v>194.69589999999994</v>
      </c>
      <c r="G40" s="109">
        <f t="shared" si="13"/>
        <v>0</v>
      </c>
      <c r="H40" s="109">
        <f t="shared" si="13"/>
        <v>194.69589999999994</v>
      </c>
      <c r="I40" s="109">
        <f t="shared" si="13"/>
        <v>0</v>
      </c>
      <c r="J40" s="109">
        <f t="shared" si="13"/>
        <v>0</v>
      </c>
      <c r="K40" s="109">
        <f t="shared" si="13"/>
        <v>0</v>
      </c>
      <c r="L40" s="109">
        <f t="shared" si="13"/>
        <v>194.69589999999994</v>
      </c>
      <c r="M40" s="109">
        <f t="shared" si="13"/>
        <v>0</v>
      </c>
      <c r="N40" s="109">
        <f t="shared" si="13"/>
        <v>194.69589999999994</v>
      </c>
      <c r="O40" s="109">
        <f t="shared" si="13"/>
        <v>0</v>
      </c>
      <c r="P40" s="109">
        <f t="shared" si="13"/>
        <v>194.69589999999994</v>
      </c>
      <c r="Q40" s="109">
        <f t="shared" si="13"/>
        <v>0</v>
      </c>
      <c r="R40" s="109">
        <f t="shared" si="13"/>
        <v>150.20199034559997</v>
      </c>
      <c r="S40" s="109">
        <f t="shared" si="13"/>
        <v>0</v>
      </c>
      <c r="T40" s="109">
        <f t="shared" si="13"/>
        <v>0</v>
      </c>
      <c r="U40" s="109">
        <f t="shared" si="13"/>
        <v>166.89021034559994</v>
      </c>
      <c r="V40" s="109">
        <f t="shared" si="13"/>
        <v>0</v>
      </c>
      <c r="W40" s="109">
        <f t="shared" si="13"/>
        <v>150.20199034559997</v>
      </c>
      <c r="X40" s="109">
        <f t="shared" si="13"/>
        <v>0</v>
      </c>
      <c r="Y40" s="109">
        <f t="shared" si="13"/>
        <v>178.00767999999994</v>
      </c>
      <c r="Z40" s="109">
        <f t="shared" si="13"/>
        <v>11.125479999999982</v>
      </c>
      <c r="AA40" s="109">
        <f t="shared" si="13"/>
        <v>178.00767999999994</v>
      </c>
      <c r="AB40" s="109">
        <f t="shared" si="13"/>
        <v>11.125479999999982</v>
      </c>
      <c r="AC40" s="109">
        <f t="shared" si="13"/>
        <v>178.00767999999994</v>
      </c>
      <c r="AD40" s="109">
        <f t="shared" si="13"/>
        <v>11.125479999999982</v>
      </c>
      <c r="AE40" s="109">
        <f t="shared" si="13"/>
        <v>178.00767999999994</v>
      </c>
      <c r="AF40" s="109">
        <f t="shared" si="13"/>
        <v>0</v>
      </c>
      <c r="AG40" s="109">
        <f t="shared" si="13"/>
        <v>0</v>
      </c>
      <c r="AH40" s="109">
        <f t="shared" si="13"/>
        <v>194.69589999999994</v>
      </c>
      <c r="AI40" s="109">
        <f t="shared" si="13"/>
        <v>0</v>
      </c>
      <c r="AJ40" s="109">
        <f t="shared" si="13"/>
        <v>194.69589999999994</v>
      </c>
      <c r="AK40" s="109">
        <f t="shared" si="13"/>
        <v>0</v>
      </c>
      <c r="AL40" s="109">
        <f t="shared" si="13"/>
        <v>194.69589999999994</v>
      </c>
      <c r="AM40" s="109">
        <f t="shared" si="13"/>
        <v>0</v>
      </c>
      <c r="AN40" s="109">
        <f t="shared" si="13"/>
        <v>194.69589999999994</v>
      </c>
      <c r="AO40" s="109">
        <f t="shared" si="13"/>
        <v>0</v>
      </c>
      <c r="AP40" s="109">
        <f t="shared" si="13"/>
        <v>194.69589999999994</v>
      </c>
      <c r="AQ40" s="109">
        <f t="shared" si="13"/>
        <v>0</v>
      </c>
      <c r="AR40" s="109">
        <f t="shared" si="13"/>
        <v>194.69589999999994</v>
      </c>
      <c r="AS40" s="109">
        <f t="shared" si="13"/>
        <v>0</v>
      </c>
      <c r="AT40" s="109">
        <f t="shared" si="13"/>
        <v>194.69589999999994</v>
      </c>
      <c r="AU40" s="109">
        <f t="shared" si="13"/>
        <v>0</v>
      </c>
      <c r="AV40" s="109">
        <f t="shared" si="13"/>
        <v>194.69589999999994</v>
      </c>
      <c r="AW40" s="109">
        <f t="shared" si="13"/>
        <v>0</v>
      </c>
      <c r="AX40" s="109">
        <f t="shared" si="13"/>
        <v>194.69589999999994</v>
      </c>
      <c r="AY40" s="109">
        <f t="shared" si="13"/>
        <v>0</v>
      </c>
    </row>
    <row r="41" spans="1:52">
      <c r="A41" s="109"/>
      <c r="B41" s="164" t="s">
        <v>348</v>
      </c>
      <c r="C41" s="109"/>
      <c r="D41" s="109">
        <v>1</v>
      </c>
      <c r="E41" s="109">
        <v>1</v>
      </c>
      <c r="F41" s="109">
        <v>2</v>
      </c>
      <c r="G41" s="109">
        <v>2</v>
      </c>
      <c r="H41" s="109">
        <v>1</v>
      </c>
      <c r="I41" s="109">
        <v>2</v>
      </c>
      <c r="J41" s="109">
        <v>2</v>
      </c>
      <c r="K41" s="109">
        <v>2</v>
      </c>
      <c r="L41" s="109">
        <v>1</v>
      </c>
      <c r="M41" s="109">
        <v>1</v>
      </c>
      <c r="N41" s="109">
        <v>1</v>
      </c>
      <c r="O41" s="109">
        <v>1</v>
      </c>
      <c r="P41" s="109">
        <v>2</v>
      </c>
      <c r="Q41" s="109">
        <v>1</v>
      </c>
      <c r="R41" s="109">
        <v>1</v>
      </c>
      <c r="S41" s="109">
        <v>1</v>
      </c>
      <c r="T41" s="109">
        <v>1</v>
      </c>
      <c r="U41" s="109">
        <v>1</v>
      </c>
      <c r="V41" s="109">
        <v>3</v>
      </c>
      <c r="W41" s="109">
        <v>1</v>
      </c>
      <c r="X41" s="109">
        <v>1</v>
      </c>
      <c r="Y41" s="109">
        <v>1</v>
      </c>
      <c r="Z41" s="109">
        <v>1</v>
      </c>
      <c r="AA41" s="109">
        <v>1</v>
      </c>
      <c r="AB41" s="109">
        <v>1</v>
      </c>
      <c r="AC41" s="109">
        <v>2</v>
      </c>
      <c r="AD41" s="109">
        <v>3</v>
      </c>
      <c r="AE41" s="109">
        <v>1</v>
      </c>
      <c r="AF41" s="109">
        <v>2</v>
      </c>
      <c r="AG41" s="109">
        <v>3</v>
      </c>
      <c r="AH41" s="109">
        <v>1</v>
      </c>
      <c r="AI41" s="109">
        <v>1</v>
      </c>
      <c r="AJ41" s="109">
        <v>1</v>
      </c>
      <c r="AK41" s="109">
        <v>1</v>
      </c>
      <c r="AL41" s="109">
        <v>1</v>
      </c>
      <c r="AM41" s="109">
        <v>1</v>
      </c>
      <c r="AN41" s="109">
        <v>1</v>
      </c>
      <c r="AO41" s="109">
        <v>2</v>
      </c>
      <c r="AP41" s="109">
        <v>3</v>
      </c>
      <c r="AQ41" s="109">
        <v>1</v>
      </c>
      <c r="AR41" s="109">
        <v>2</v>
      </c>
      <c r="AS41" s="109">
        <v>3</v>
      </c>
      <c r="AT41" s="109">
        <v>3</v>
      </c>
      <c r="AU41" s="109">
        <v>1</v>
      </c>
      <c r="AV41" s="109">
        <v>3</v>
      </c>
      <c r="AW41" s="109">
        <v>1</v>
      </c>
      <c r="AX41" s="109">
        <v>1</v>
      </c>
      <c r="AY41" s="109">
        <v>1</v>
      </c>
    </row>
    <row r="42" spans="1:52">
      <c r="A42" s="109"/>
      <c r="B42" s="177" t="s">
        <v>349</v>
      </c>
      <c r="C42" s="109"/>
      <c r="D42" s="109">
        <v>0</v>
      </c>
      <c r="E42" s="109">
        <v>749700</v>
      </c>
      <c r="F42" s="109">
        <v>220500</v>
      </c>
      <c r="G42" s="109">
        <v>749700</v>
      </c>
      <c r="H42" s="109">
        <v>220500</v>
      </c>
      <c r="I42" s="109">
        <v>749700</v>
      </c>
      <c r="J42" s="109">
        <v>0</v>
      </c>
      <c r="K42" s="109">
        <v>749700</v>
      </c>
      <c r="L42" s="109">
        <v>220500</v>
      </c>
      <c r="M42" s="109">
        <v>749700</v>
      </c>
      <c r="N42" s="109">
        <v>220500</v>
      </c>
      <c r="O42" s="109">
        <v>749700</v>
      </c>
      <c r="P42" s="109">
        <v>220500</v>
      </c>
      <c r="Q42" s="109">
        <v>705600</v>
      </c>
      <c r="R42" s="109">
        <v>264600</v>
      </c>
      <c r="S42" s="109">
        <v>0</v>
      </c>
      <c r="T42" s="109">
        <v>749700</v>
      </c>
      <c r="U42" s="109">
        <v>220500</v>
      </c>
      <c r="V42" s="109">
        <v>705600</v>
      </c>
      <c r="W42" s="109">
        <v>264600</v>
      </c>
      <c r="X42" s="109">
        <v>705600</v>
      </c>
      <c r="Y42" s="109">
        <v>264600</v>
      </c>
      <c r="Z42" s="109">
        <v>705600</v>
      </c>
      <c r="AA42" s="109">
        <v>264600</v>
      </c>
      <c r="AB42" s="109">
        <v>705600</v>
      </c>
      <c r="AC42" s="109">
        <v>264600</v>
      </c>
      <c r="AD42" s="109">
        <v>705600</v>
      </c>
      <c r="AE42" s="109">
        <v>264600</v>
      </c>
      <c r="AF42" s="109">
        <v>0</v>
      </c>
      <c r="AG42" s="109">
        <v>749700</v>
      </c>
      <c r="AH42" s="109">
        <v>220500</v>
      </c>
      <c r="AI42" s="109">
        <v>749700</v>
      </c>
      <c r="AJ42" s="109">
        <v>220500</v>
      </c>
      <c r="AK42" s="109">
        <v>749700</v>
      </c>
      <c r="AL42" s="109">
        <v>220500</v>
      </c>
      <c r="AM42" s="109">
        <v>749700</v>
      </c>
      <c r="AN42" s="109">
        <v>220500</v>
      </c>
      <c r="AO42" s="109">
        <v>749700</v>
      </c>
      <c r="AP42" s="109">
        <v>220500</v>
      </c>
      <c r="AQ42" s="109">
        <v>749700</v>
      </c>
      <c r="AR42" s="109">
        <v>220500</v>
      </c>
      <c r="AS42" s="109">
        <v>749700</v>
      </c>
      <c r="AT42" s="109">
        <v>220500</v>
      </c>
      <c r="AU42" s="109">
        <v>749700</v>
      </c>
      <c r="AV42" s="109">
        <v>220500</v>
      </c>
      <c r="AW42" s="109">
        <v>749700</v>
      </c>
      <c r="AX42" s="109">
        <v>220500</v>
      </c>
      <c r="AY42" s="109">
        <v>749700</v>
      </c>
      <c r="AZ42" s="99">
        <f>SUM($D$42:$AY$42)</f>
        <v>21873600</v>
      </c>
    </row>
    <row r="43" spans="1:52">
      <c r="A43" s="109"/>
      <c r="B43" s="177" t="s">
        <v>350</v>
      </c>
      <c r="C43" s="109"/>
      <c r="D43" s="109">
        <v>0</v>
      </c>
      <c r="E43" s="109">
        <v>0</v>
      </c>
      <c r="F43" s="109">
        <v>278687.5</v>
      </c>
      <c r="G43" s="109">
        <v>0</v>
      </c>
      <c r="H43" s="109">
        <v>278687.5</v>
      </c>
      <c r="I43" s="109">
        <v>0</v>
      </c>
      <c r="J43" s="109">
        <v>0</v>
      </c>
      <c r="K43" s="109">
        <v>0</v>
      </c>
      <c r="L43" s="109">
        <v>278687.5</v>
      </c>
      <c r="M43" s="109">
        <v>0</v>
      </c>
      <c r="N43" s="109">
        <v>278687.5</v>
      </c>
      <c r="O43" s="109">
        <v>0</v>
      </c>
      <c r="P43" s="109">
        <v>278687.5</v>
      </c>
      <c r="Q43" s="109">
        <v>0</v>
      </c>
      <c r="R43" s="109">
        <v>214998.96599999999</v>
      </c>
      <c r="S43" s="109">
        <v>0</v>
      </c>
      <c r="T43" s="109">
        <v>0</v>
      </c>
      <c r="U43" s="109">
        <v>238886.46599999993</v>
      </c>
      <c r="V43" s="109">
        <v>0</v>
      </c>
      <c r="W43" s="109">
        <v>214998.96599999999</v>
      </c>
      <c r="X43" s="109">
        <v>0</v>
      </c>
      <c r="Y43" s="109">
        <v>254799.99999999997</v>
      </c>
      <c r="Z43" s="109">
        <v>15924.999999999976</v>
      </c>
      <c r="AA43" s="109">
        <v>254799.99999999997</v>
      </c>
      <c r="AB43" s="109">
        <v>15924.999999999976</v>
      </c>
      <c r="AC43" s="109">
        <v>254799.99999999997</v>
      </c>
      <c r="AD43" s="109">
        <v>15924.999999999976</v>
      </c>
      <c r="AE43" s="109">
        <v>254799.99999999997</v>
      </c>
      <c r="AF43" s="109">
        <v>0</v>
      </c>
      <c r="AG43" s="109">
        <v>0</v>
      </c>
      <c r="AH43" s="109">
        <v>278687.5</v>
      </c>
      <c r="AI43" s="109">
        <v>0</v>
      </c>
      <c r="AJ43" s="109">
        <v>278687.5</v>
      </c>
      <c r="AK43" s="109">
        <v>0</v>
      </c>
      <c r="AL43" s="109">
        <v>278687.5</v>
      </c>
      <c r="AM43" s="109">
        <v>0</v>
      </c>
      <c r="AN43" s="109">
        <v>278687.5</v>
      </c>
      <c r="AO43" s="109">
        <v>0</v>
      </c>
      <c r="AP43" s="109">
        <v>278687.5</v>
      </c>
      <c r="AQ43" s="109">
        <v>0</v>
      </c>
      <c r="AR43" s="109">
        <v>278687.5</v>
      </c>
      <c r="AS43" s="109">
        <v>0</v>
      </c>
      <c r="AT43" s="109">
        <v>278687.5</v>
      </c>
      <c r="AU43" s="109">
        <v>0</v>
      </c>
      <c r="AV43" s="109">
        <v>278687.5</v>
      </c>
      <c r="AW43" s="109">
        <v>0</v>
      </c>
      <c r="AX43" s="109">
        <v>278687.5</v>
      </c>
      <c r="AY43" s="109">
        <v>0</v>
      </c>
      <c r="AZ43" s="99">
        <f>SUM($D$43:$AY$43)</f>
        <v>5637484.398</v>
      </c>
    </row>
    <row r="44" spans="1:52">
      <c r="A44" s="134" t="s">
        <v>59</v>
      </c>
      <c r="B44" s="134" t="s">
        <v>340</v>
      </c>
      <c r="C44" s="123"/>
      <c r="D44" s="123">
        <f>D$21*shipping_manufacturing!$F$28/100</f>
        <v>0</v>
      </c>
      <c r="E44" s="123">
        <f>E$21*shipping_manufacturing!$F$28/100</f>
        <v>0</v>
      </c>
      <c r="F44" s="123">
        <f>F$21*shipping_manufacturing!$F$28/100</f>
        <v>0</v>
      </c>
      <c r="G44" s="123">
        <f>G$21*shipping_manufacturing!$F$28/100</f>
        <v>0</v>
      </c>
      <c r="H44" s="123">
        <f>H$21*shipping_manufacturing!$F$28/100</f>
        <v>0</v>
      </c>
      <c r="I44" s="123">
        <f>I$21*shipping_manufacturing!$F$28/100</f>
        <v>0</v>
      </c>
      <c r="J44" s="123">
        <f>J$21*shipping_manufacturing!$F$28/100</f>
        <v>0</v>
      </c>
      <c r="K44" s="123">
        <f>K$21*shipping_manufacturing!$F$28/100</f>
        <v>0</v>
      </c>
      <c r="L44" s="123">
        <f>L$21*shipping_manufacturing!$F$28/100</f>
        <v>0</v>
      </c>
      <c r="M44" s="123">
        <f>M$21*shipping_manufacturing!$F$28/100</f>
        <v>0</v>
      </c>
      <c r="N44" s="123">
        <f>N$21*shipping_manufacturing!$F$28/100</f>
        <v>0</v>
      </c>
      <c r="O44" s="123">
        <f>O$21*shipping_manufacturing!$F$28/100</f>
        <v>0</v>
      </c>
      <c r="P44" s="123">
        <f>P$21*shipping_manufacturing!$F$28/100</f>
        <v>0</v>
      </c>
      <c r="Q44" s="123">
        <f>Q$21*shipping_manufacturing!$F$28/100</f>
        <v>0</v>
      </c>
      <c r="R44" s="123">
        <f>R$21*shipping_manufacturing!$F$28/100</f>
        <v>0</v>
      </c>
      <c r="S44" s="123">
        <f>S$21*shipping_manufacturing!$F$28/100</f>
        <v>0</v>
      </c>
      <c r="T44" s="123">
        <f>T$21*shipping_manufacturing!$F$28/100</f>
        <v>0</v>
      </c>
      <c r="U44" s="123">
        <f>U$21*shipping_manufacturing!$F$28/100</f>
        <v>0</v>
      </c>
      <c r="V44" s="123">
        <f>V$21*shipping_manufacturing!$F$28/100</f>
        <v>0</v>
      </c>
      <c r="W44" s="123">
        <f>W$21*shipping_manufacturing!$F$28/100</f>
        <v>0</v>
      </c>
      <c r="X44" s="123">
        <f>X$21*shipping_manufacturing!$F$28/100</f>
        <v>0</v>
      </c>
      <c r="Y44" s="123">
        <f>Y$21*shipping_manufacturing!$F$28/100</f>
        <v>0</v>
      </c>
      <c r="Z44" s="123">
        <f>Z$21*shipping_manufacturing!$F$28/100</f>
        <v>0</v>
      </c>
      <c r="AA44" s="123">
        <f>AA$21*shipping_manufacturing!$F$28/100</f>
        <v>0</v>
      </c>
      <c r="AB44" s="123">
        <f>AB$21*shipping_manufacturing!$F$28/100</f>
        <v>0</v>
      </c>
      <c r="AC44" s="123">
        <f>AC$21*shipping_manufacturing!$F$28/100</f>
        <v>0</v>
      </c>
      <c r="AD44" s="123">
        <f>AD$21*shipping_manufacturing!$F$28/100</f>
        <v>0</v>
      </c>
      <c r="AE44" s="123">
        <f>AE$21*shipping_manufacturing!$F$28/100</f>
        <v>0</v>
      </c>
      <c r="AF44" s="123">
        <f>AF$21*shipping_manufacturing!$F$28/100</f>
        <v>0</v>
      </c>
      <c r="AG44" s="123">
        <f>AG$21*shipping_manufacturing!$F$28/100</f>
        <v>0</v>
      </c>
      <c r="AH44" s="123">
        <f>AH$21*shipping_manufacturing!$F$28/100</f>
        <v>0</v>
      </c>
      <c r="AI44" s="123">
        <f>AI$21*shipping_manufacturing!$F$28/100</f>
        <v>0</v>
      </c>
      <c r="AJ44" s="123">
        <f>AJ$21*shipping_manufacturing!$F$28/100</f>
        <v>0</v>
      </c>
      <c r="AK44" s="123">
        <f>AK$21*shipping_manufacturing!$F$28/100</f>
        <v>0</v>
      </c>
      <c r="AL44" s="123">
        <f>AL$21*shipping_manufacturing!$F$28/100</f>
        <v>0</v>
      </c>
      <c r="AM44" s="123">
        <f>AM$21*shipping_manufacturing!$F$28/100</f>
        <v>0</v>
      </c>
      <c r="AN44" s="123">
        <f>AN$21*shipping_manufacturing!$F$28/100</f>
        <v>0</v>
      </c>
      <c r="AO44" s="123">
        <f>AO$21*shipping_manufacturing!$F$28/100</f>
        <v>0</v>
      </c>
      <c r="AP44" s="123">
        <f>AP$21*shipping_manufacturing!$F$28/100</f>
        <v>0</v>
      </c>
      <c r="AQ44" s="123">
        <f>AQ$21*shipping_manufacturing!$F$28/100</f>
        <v>0</v>
      </c>
      <c r="AR44" s="123">
        <f>AR$21*shipping_manufacturing!$F$28/100</f>
        <v>0</v>
      </c>
      <c r="AS44" s="123">
        <f>AS$21*shipping_manufacturing!$F$28/100</f>
        <v>0</v>
      </c>
      <c r="AT44" s="123">
        <f>AT$21*shipping_manufacturing!$F$28/100</f>
        <v>0</v>
      </c>
      <c r="AU44" s="123">
        <f>AU$21*shipping_manufacturing!$F$28/100</f>
        <v>0</v>
      </c>
      <c r="AV44" s="123">
        <f>AV$21*shipping_manufacturing!$F$28/100</f>
        <v>0</v>
      </c>
      <c r="AW44" s="123">
        <f>AW$21*shipping_manufacturing!$F$28/100</f>
        <v>0</v>
      </c>
      <c r="AX44" s="123">
        <f>AX$21*shipping_manufacturing!$F$28/100</f>
        <v>0</v>
      </c>
      <c r="AY44" s="123">
        <f>AY$21*shipping_manufacturing!$F$28/100</f>
        <v>0</v>
      </c>
    </row>
    <row r="45" spans="1:52">
      <c r="A45" s="112" t="s">
        <v>339</v>
      </c>
      <c r="B45" s="164" t="s">
        <v>341</v>
      </c>
      <c r="C45" s="109"/>
      <c r="D45" s="109">
        <f>D$22*shipping_manufacturing!$G$28/100</f>
        <v>0</v>
      </c>
      <c r="E45" s="109">
        <f>E$22*shipping_manufacturing!$G$28/100</f>
        <v>0</v>
      </c>
      <c r="F45" s="109">
        <f>F$22*shipping_manufacturing!$G$28/100</f>
        <v>0</v>
      </c>
      <c r="G45" s="109">
        <f>G$22*shipping_manufacturing!$G$28/100</f>
        <v>0</v>
      </c>
      <c r="H45" s="109">
        <f>H$22*shipping_manufacturing!$G$28/100</f>
        <v>0</v>
      </c>
      <c r="I45" s="109">
        <f>I$22*shipping_manufacturing!$G$28/100</f>
        <v>0</v>
      </c>
      <c r="J45" s="109">
        <f>J$22*shipping_manufacturing!$G$28/100</f>
        <v>0</v>
      </c>
      <c r="K45" s="109">
        <f>K$22*shipping_manufacturing!$G$28/100</f>
        <v>0</v>
      </c>
      <c r="L45" s="109">
        <f>L$22*shipping_manufacturing!$G$28/100</f>
        <v>0</v>
      </c>
      <c r="M45" s="109">
        <f>M$22*shipping_manufacturing!$G$28/100</f>
        <v>0</v>
      </c>
      <c r="N45" s="109">
        <f>N$22*shipping_manufacturing!$G$28/100</f>
        <v>0</v>
      </c>
      <c r="O45" s="109">
        <f>O$22*shipping_manufacturing!$G$28/100</f>
        <v>0</v>
      </c>
      <c r="P45" s="109">
        <f>P$22*shipping_manufacturing!$G$28/100</f>
        <v>0</v>
      </c>
      <c r="Q45" s="109">
        <f>Q$22*shipping_manufacturing!$G$28/100</f>
        <v>0</v>
      </c>
      <c r="R45" s="109">
        <f>R$22*shipping_manufacturing!$G$28/100</f>
        <v>0</v>
      </c>
      <c r="S45" s="109">
        <f>S$22*shipping_manufacturing!$G$28/100</f>
        <v>0</v>
      </c>
      <c r="T45" s="109">
        <f>T$22*shipping_manufacturing!$G$28/100</f>
        <v>0</v>
      </c>
      <c r="U45" s="109">
        <f>U$22*shipping_manufacturing!$G$28/100</f>
        <v>0</v>
      </c>
      <c r="V45" s="109">
        <f>V$22*shipping_manufacturing!$G$28/100</f>
        <v>0</v>
      </c>
      <c r="W45" s="109">
        <f>W$22*shipping_manufacturing!$G$28/100</f>
        <v>0</v>
      </c>
      <c r="X45" s="109">
        <f>X$22*shipping_manufacturing!$G$28/100</f>
        <v>0</v>
      </c>
      <c r="Y45" s="109">
        <f>Y$22*shipping_manufacturing!$G$28/100</f>
        <v>0</v>
      </c>
      <c r="Z45" s="109">
        <f>Z$22*shipping_manufacturing!$G$28/100</f>
        <v>0</v>
      </c>
      <c r="AA45" s="109">
        <f>AA$22*shipping_manufacturing!$G$28/100</f>
        <v>0</v>
      </c>
      <c r="AB45" s="109">
        <f>AB$22*shipping_manufacturing!$G$28/100</f>
        <v>0</v>
      </c>
      <c r="AC45" s="109">
        <f>AC$22*shipping_manufacturing!$G$28/100</f>
        <v>0</v>
      </c>
      <c r="AD45" s="109">
        <f>AD$22*shipping_manufacturing!$G$28/100</f>
        <v>0</v>
      </c>
      <c r="AE45" s="109">
        <f>AE$22*shipping_manufacturing!$G$28/100</f>
        <v>0</v>
      </c>
      <c r="AF45" s="109">
        <f>AF$22*shipping_manufacturing!$G$28/100</f>
        <v>0</v>
      </c>
      <c r="AG45" s="109">
        <f>AG$22*shipping_manufacturing!$G$28/100</f>
        <v>0</v>
      </c>
      <c r="AH45" s="109">
        <f>AH$22*shipping_manufacturing!$G$28/100</f>
        <v>0</v>
      </c>
      <c r="AI45" s="109">
        <f>AI$22*shipping_manufacturing!$G$28/100</f>
        <v>0</v>
      </c>
      <c r="AJ45" s="109">
        <f>AJ$22*shipping_manufacturing!$G$28/100</f>
        <v>0</v>
      </c>
      <c r="AK45" s="109">
        <f>AK$22*shipping_manufacturing!$G$28/100</f>
        <v>0</v>
      </c>
      <c r="AL45" s="109">
        <f>AL$22*shipping_manufacturing!$G$28/100</f>
        <v>0</v>
      </c>
      <c r="AM45" s="109">
        <f>AM$22*shipping_manufacturing!$G$28/100</f>
        <v>0</v>
      </c>
      <c r="AN45" s="109">
        <f>AN$22*shipping_manufacturing!$G$28/100</f>
        <v>0</v>
      </c>
      <c r="AO45" s="109">
        <f>AO$22*shipping_manufacturing!$G$28/100</f>
        <v>0</v>
      </c>
      <c r="AP45" s="109">
        <f>AP$22*shipping_manufacturing!$G$28/100</f>
        <v>0</v>
      </c>
      <c r="AQ45" s="109">
        <f>AQ$22*shipping_manufacturing!$G$28/100</f>
        <v>0</v>
      </c>
      <c r="AR45" s="109">
        <f>AR$22*shipping_manufacturing!$G$28/100</f>
        <v>0</v>
      </c>
      <c r="AS45" s="109">
        <f>AS$22*shipping_manufacturing!$G$28/100</f>
        <v>0</v>
      </c>
      <c r="AT45" s="109">
        <f>AT$22*shipping_manufacturing!$G$28/100</f>
        <v>0</v>
      </c>
      <c r="AU45" s="109">
        <f>AU$22*shipping_manufacturing!$G$28/100</f>
        <v>0</v>
      </c>
      <c r="AV45" s="109">
        <f>AV$22*shipping_manufacturing!$G$28/100</f>
        <v>0</v>
      </c>
      <c r="AW45" s="109">
        <f>AW$22*shipping_manufacturing!$G$28/100</f>
        <v>0</v>
      </c>
      <c r="AX45" s="109">
        <f>AX$22*shipping_manufacturing!$G$28/100</f>
        <v>0</v>
      </c>
      <c r="AY45" s="109">
        <f>AY$22*shipping_manufacturing!$G$28/100</f>
        <v>0</v>
      </c>
    </row>
    <row r="46" spans="1:52">
      <c r="A46" s="109">
        <v>2339</v>
      </c>
      <c r="B46" s="164" t="s">
        <v>342</v>
      </c>
      <c r="C46" s="109"/>
      <c r="D46" s="109">
        <f>SUM(D44:D45)</f>
        <v>0</v>
      </c>
      <c r="E46" s="109">
        <f t="shared" ref="E46:AY46" si="14">SUM(E44:E45)</f>
        <v>0</v>
      </c>
      <c r="F46" s="109">
        <f t="shared" si="14"/>
        <v>0</v>
      </c>
      <c r="G46" s="109">
        <f t="shared" si="14"/>
        <v>0</v>
      </c>
      <c r="H46" s="109">
        <f t="shared" si="14"/>
        <v>0</v>
      </c>
      <c r="I46" s="109">
        <f t="shared" si="14"/>
        <v>0</v>
      </c>
      <c r="J46" s="109">
        <f t="shared" si="14"/>
        <v>0</v>
      </c>
      <c r="K46" s="109">
        <f t="shared" si="14"/>
        <v>0</v>
      </c>
      <c r="L46" s="109">
        <f t="shared" si="14"/>
        <v>0</v>
      </c>
      <c r="M46" s="109">
        <f t="shared" si="14"/>
        <v>0</v>
      </c>
      <c r="N46" s="109">
        <f t="shared" si="14"/>
        <v>0</v>
      </c>
      <c r="O46" s="109">
        <f t="shared" si="14"/>
        <v>0</v>
      </c>
      <c r="P46" s="109">
        <f t="shared" si="14"/>
        <v>0</v>
      </c>
      <c r="Q46" s="109">
        <f t="shared" si="14"/>
        <v>0</v>
      </c>
      <c r="R46" s="109">
        <f t="shared" si="14"/>
        <v>0</v>
      </c>
      <c r="S46" s="109">
        <f t="shared" si="14"/>
        <v>0</v>
      </c>
      <c r="T46" s="109">
        <f t="shared" si="14"/>
        <v>0</v>
      </c>
      <c r="U46" s="109">
        <f t="shared" si="14"/>
        <v>0</v>
      </c>
      <c r="V46" s="109">
        <f t="shared" si="14"/>
        <v>0</v>
      </c>
      <c r="W46" s="109">
        <f t="shared" si="14"/>
        <v>0</v>
      </c>
      <c r="X46" s="109">
        <f t="shared" si="14"/>
        <v>0</v>
      </c>
      <c r="Y46" s="109">
        <f t="shared" si="14"/>
        <v>0</v>
      </c>
      <c r="Z46" s="109">
        <f t="shared" si="14"/>
        <v>0</v>
      </c>
      <c r="AA46" s="109">
        <f t="shared" si="14"/>
        <v>0</v>
      </c>
      <c r="AB46" s="109">
        <f t="shared" si="14"/>
        <v>0</v>
      </c>
      <c r="AC46" s="109">
        <f t="shared" si="14"/>
        <v>0</v>
      </c>
      <c r="AD46" s="109">
        <f t="shared" si="14"/>
        <v>0</v>
      </c>
      <c r="AE46" s="109">
        <f t="shared" si="14"/>
        <v>0</v>
      </c>
      <c r="AF46" s="109">
        <f t="shared" si="14"/>
        <v>0</v>
      </c>
      <c r="AG46" s="109">
        <f t="shared" si="14"/>
        <v>0</v>
      </c>
      <c r="AH46" s="109">
        <f t="shared" si="14"/>
        <v>0</v>
      </c>
      <c r="AI46" s="109">
        <f t="shared" si="14"/>
        <v>0</v>
      </c>
      <c r="AJ46" s="109">
        <f t="shared" si="14"/>
        <v>0</v>
      </c>
      <c r="AK46" s="109">
        <f t="shared" si="14"/>
        <v>0</v>
      </c>
      <c r="AL46" s="109">
        <f t="shared" si="14"/>
        <v>0</v>
      </c>
      <c r="AM46" s="109">
        <f t="shared" si="14"/>
        <v>0</v>
      </c>
      <c r="AN46" s="109">
        <f t="shared" si="14"/>
        <v>0</v>
      </c>
      <c r="AO46" s="109">
        <f t="shared" si="14"/>
        <v>0</v>
      </c>
      <c r="AP46" s="109">
        <f t="shared" si="14"/>
        <v>0</v>
      </c>
      <c r="AQ46" s="109">
        <f t="shared" si="14"/>
        <v>0</v>
      </c>
      <c r="AR46" s="109">
        <f t="shared" si="14"/>
        <v>0</v>
      </c>
      <c r="AS46" s="109">
        <f t="shared" si="14"/>
        <v>0</v>
      </c>
      <c r="AT46" s="109">
        <f t="shared" si="14"/>
        <v>0</v>
      </c>
      <c r="AU46" s="109">
        <f t="shared" si="14"/>
        <v>0</v>
      </c>
      <c r="AV46" s="109">
        <f t="shared" si="14"/>
        <v>0</v>
      </c>
      <c r="AW46" s="109">
        <f t="shared" si="14"/>
        <v>0</v>
      </c>
      <c r="AX46" s="109">
        <f t="shared" si="14"/>
        <v>0</v>
      </c>
      <c r="AY46" s="109">
        <f t="shared" si="14"/>
        <v>0</v>
      </c>
    </row>
    <row r="47" spans="1:52">
      <c r="A47" s="109"/>
      <c r="B47" s="164" t="s">
        <v>343</v>
      </c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</row>
    <row r="48" spans="1:52">
      <c r="A48" s="109"/>
      <c r="B48" s="164" t="s">
        <v>344</v>
      </c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</row>
    <row r="49" spans="1:52">
      <c r="A49" s="109"/>
      <c r="B49" s="164" t="s">
        <v>345</v>
      </c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</row>
    <row r="50" spans="1:52">
      <c r="A50" s="109"/>
      <c r="B50" s="164" t="s">
        <v>346</v>
      </c>
      <c r="C50" s="109"/>
      <c r="D50" s="109">
        <f>D44-D47</f>
        <v>0</v>
      </c>
      <c r="E50" s="109">
        <f t="shared" ref="E50:AY50" si="15">E44-E47</f>
        <v>0</v>
      </c>
      <c r="F50" s="109">
        <f t="shared" si="15"/>
        <v>0</v>
      </c>
      <c r="G50" s="109">
        <f t="shared" si="15"/>
        <v>0</v>
      </c>
      <c r="H50" s="109">
        <f t="shared" si="15"/>
        <v>0</v>
      </c>
      <c r="I50" s="109">
        <f t="shared" si="15"/>
        <v>0</v>
      </c>
      <c r="J50" s="109">
        <f t="shared" si="15"/>
        <v>0</v>
      </c>
      <c r="K50" s="109">
        <f t="shared" si="15"/>
        <v>0</v>
      </c>
      <c r="L50" s="109">
        <f t="shared" si="15"/>
        <v>0</v>
      </c>
      <c r="M50" s="109">
        <f t="shared" si="15"/>
        <v>0</v>
      </c>
      <c r="N50" s="109">
        <f t="shared" si="15"/>
        <v>0</v>
      </c>
      <c r="O50" s="109">
        <f t="shared" si="15"/>
        <v>0</v>
      </c>
      <c r="P50" s="109">
        <f t="shared" si="15"/>
        <v>0</v>
      </c>
      <c r="Q50" s="109">
        <f t="shared" si="15"/>
        <v>0</v>
      </c>
      <c r="R50" s="109">
        <f t="shared" si="15"/>
        <v>0</v>
      </c>
      <c r="S50" s="109">
        <f t="shared" si="15"/>
        <v>0</v>
      </c>
      <c r="T50" s="109">
        <f t="shared" si="15"/>
        <v>0</v>
      </c>
      <c r="U50" s="109">
        <f t="shared" si="15"/>
        <v>0</v>
      </c>
      <c r="V50" s="109">
        <f t="shared" si="15"/>
        <v>0</v>
      </c>
      <c r="W50" s="109">
        <f t="shared" si="15"/>
        <v>0</v>
      </c>
      <c r="X50" s="109">
        <f t="shared" si="15"/>
        <v>0</v>
      </c>
      <c r="Y50" s="109">
        <f t="shared" si="15"/>
        <v>0</v>
      </c>
      <c r="Z50" s="109">
        <f t="shared" si="15"/>
        <v>0</v>
      </c>
      <c r="AA50" s="109">
        <f t="shared" si="15"/>
        <v>0</v>
      </c>
      <c r="AB50" s="109">
        <f t="shared" si="15"/>
        <v>0</v>
      </c>
      <c r="AC50" s="109">
        <f t="shared" si="15"/>
        <v>0</v>
      </c>
      <c r="AD50" s="109">
        <f t="shared" si="15"/>
        <v>0</v>
      </c>
      <c r="AE50" s="109">
        <f t="shared" si="15"/>
        <v>0</v>
      </c>
      <c r="AF50" s="109">
        <f t="shared" si="15"/>
        <v>0</v>
      </c>
      <c r="AG50" s="109">
        <f t="shared" si="15"/>
        <v>0</v>
      </c>
      <c r="AH50" s="109">
        <f t="shared" si="15"/>
        <v>0</v>
      </c>
      <c r="AI50" s="109">
        <f t="shared" si="15"/>
        <v>0</v>
      </c>
      <c r="AJ50" s="109">
        <f t="shared" si="15"/>
        <v>0</v>
      </c>
      <c r="AK50" s="109">
        <f t="shared" si="15"/>
        <v>0</v>
      </c>
      <c r="AL50" s="109">
        <f t="shared" si="15"/>
        <v>0</v>
      </c>
      <c r="AM50" s="109">
        <f t="shared" si="15"/>
        <v>0</v>
      </c>
      <c r="AN50" s="109">
        <f t="shared" si="15"/>
        <v>0</v>
      </c>
      <c r="AO50" s="109">
        <f t="shared" si="15"/>
        <v>0</v>
      </c>
      <c r="AP50" s="109">
        <f t="shared" si="15"/>
        <v>0</v>
      </c>
      <c r="AQ50" s="109">
        <f t="shared" si="15"/>
        <v>0</v>
      </c>
      <c r="AR50" s="109">
        <f t="shared" si="15"/>
        <v>0</v>
      </c>
      <c r="AS50" s="109">
        <f t="shared" si="15"/>
        <v>0</v>
      </c>
      <c r="AT50" s="109">
        <f t="shared" si="15"/>
        <v>0</v>
      </c>
      <c r="AU50" s="109">
        <f t="shared" si="15"/>
        <v>0</v>
      </c>
      <c r="AV50" s="109">
        <f t="shared" si="15"/>
        <v>0</v>
      </c>
      <c r="AW50" s="109">
        <f t="shared" si="15"/>
        <v>0</v>
      </c>
      <c r="AX50" s="109">
        <f t="shared" si="15"/>
        <v>0</v>
      </c>
      <c r="AY50" s="109">
        <f t="shared" si="15"/>
        <v>0</v>
      </c>
    </row>
    <row r="51" spans="1:52">
      <c r="A51" s="109"/>
      <c r="B51" s="164" t="s">
        <v>347</v>
      </c>
      <c r="C51" s="109"/>
      <c r="D51" s="109">
        <f>D45-D48</f>
        <v>0</v>
      </c>
      <c r="E51" s="109">
        <f t="shared" ref="E51:AY51" si="16">E45-E48</f>
        <v>0</v>
      </c>
      <c r="F51" s="109">
        <f t="shared" si="16"/>
        <v>0</v>
      </c>
      <c r="G51" s="109">
        <f t="shared" si="16"/>
        <v>0</v>
      </c>
      <c r="H51" s="109">
        <f t="shared" si="16"/>
        <v>0</v>
      </c>
      <c r="I51" s="109">
        <f t="shared" si="16"/>
        <v>0</v>
      </c>
      <c r="J51" s="109">
        <f t="shared" si="16"/>
        <v>0</v>
      </c>
      <c r="K51" s="109">
        <f t="shared" si="16"/>
        <v>0</v>
      </c>
      <c r="L51" s="109">
        <f t="shared" si="16"/>
        <v>0</v>
      </c>
      <c r="M51" s="109">
        <f t="shared" si="16"/>
        <v>0</v>
      </c>
      <c r="N51" s="109">
        <f t="shared" si="16"/>
        <v>0</v>
      </c>
      <c r="O51" s="109">
        <f t="shared" si="16"/>
        <v>0</v>
      </c>
      <c r="P51" s="109">
        <f t="shared" si="16"/>
        <v>0</v>
      </c>
      <c r="Q51" s="109">
        <f t="shared" si="16"/>
        <v>0</v>
      </c>
      <c r="R51" s="109">
        <f t="shared" si="16"/>
        <v>0</v>
      </c>
      <c r="S51" s="109">
        <f t="shared" si="16"/>
        <v>0</v>
      </c>
      <c r="T51" s="109">
        <f t="shared" si="16"/>
        <v>0</v>
      </c>
      <c r="U51" s="109">
        <f t="shared" si="16"/>
        <v>0</v>
      </c>
      <c r="V51" s="109">
        <f t="shared" si="16"/>
        <v>0</v>
      </c>
      <c r="W51" s="109">
        <f t="shared" si="16"/>
        <v>0</v>
      </c>
      <c r="X51" s="109">
        <f t="shared" si="16"/>
        <v>0</v>
      </c>
      <c r="Y51" s="109">
        <f t="shared" si="16"/>
        <v>0</v>
      </c>
      <c r="Z51" s="109">
        <f t="shared" si="16"/>
        <v>0</v>
      </c>
      <c r="AA51" s="109">
        <f t="shared" si="16"/>
        <v>0</v>
      </c>
      <c r="AB51" s="109">
        <f t="shared" si="16"/>
        <v>0</v>
      </c>
      <c r="AC51" s="109">
        <f t="shared" si="16"/>
        <v>0</v>
      </c>
      <c r="AD51" s="109">
        <f t="shared" si="16"/>
        <v>0</v>
      </c>
      <c r="AE51" s="109">
        <f t="shared" si="16"/>
        <v>0</v>
      </c>
      <c r="AF51" s="109">
        <f t="shared" si="16"/>
        <v>0</v>
      </c>
      <c r="AG51" s="109">
        <f t="shared" si="16"/>
        <v>0</v>
      </c>
      <c r="AH51" s="109">
        <f t="shared" si="16"/>
        <v>0</v>
      </c>
      <c r="AI51" s="109">
        <f t="shared" si="16"/>
        <v>0</v>
      </c>
      <c r="AJ51" s="109">
        <f t="shared" si="16"/>
        <v>0</v>
      </c>
      <c r="AK51" s="109">
        <f t="shared" si="16"/>
        <v>0</v>
      </c>
      <c r="AL51" s="109">
        <f t="shared" si="16"/>
        <v>0</v>
      </c>
      <c r="AM51" s="109">
        <f t="shared" si="16"/>
        <v>0</v>
      </c>
      <c r="AN51" s="109">
        <f t="shared" si="16"/>
        <v>0</v>
      </c>
      <c r="AO51" s="109">
        <f t="shared" si="16"/>
        <v>0</v>
      </c>
      <c r="AP51" s="109">
        <f t="shared" si="16"/>
        <v>0</v>
      </c>
      <c r="AQ51" s="109">
        <f t="shared" si="16"/>
        <v>0</v>
      </c>
      <c r="AR51" s="109">
        <f t="shared" si="16"/>
        <v>0</v>
      </c>
      <c r="AS51" s="109">
        <f t="shared" si="16"/>
        <v>0</v>
      </c>
      <c r="AT51" s="109">
        <f t="shared" si="16"/>
        <v>0</v>
      </c>
      <c r="AU51" s="109">
        <f t="shared" si="16"/>
        <v>0</v>
      </c>
      <c r="AV51" s="109">
        <f t="shared" si="16"/>
        <v>0</v>
      </c>
      <c r="AW51" s="109">
        <f t="shared" si="16"/>
        <v>0</v>
      </c>
      <c r="AX51" s="109">
        <f t="shared" si="16"/>
        <v>0</v>
      </c>
      <c r="AY51" s="109">
        <f t="shared" si="16"/>
        <v>0</v>
      </c>
    </row>
    <row r="52" spans="1:52">
      <c r="A52" s="109"/>
      <c r="B52" s="164" t="s">
        <v>348</v>
      </c>
      <c r="C52" s="109"/>
      <c r="D52" s="109">
        <v>3</v>
      </c>
      <c r="E52" s="109">
        <v>2</v>
      </c>
      <c r="F52" s="109">
        <v>2</v>
      </c>
      <c r="G52" s="109">
        <v>2</v>
      </c>
      <c r="H52" s="109">
        <v>3</v>
      </c>
      <c r="I52" s="109">
        <v>3</v>
      </c>
      <c r="J52" s="109">
        <v>2</v>
      </c>
      <c r="K52" s="109">
        <v>2</v>
      </c>
      <c r="L52" s="109">
        <v>3</v>
      </c>
      <c r="M52" s="109">
        <v>4</v>
      </c>
      <c r="N52" s="109">
        <v>2</v>
      </c>
      <c r="O52" s="109">
        <v>2</v>
      </c>
      <c r="P52" s="109">
        <v>4</v>
      </c>
      <c r="Q52" s="109">
        <v>2</v>
      </c>
      <c r="R52" s="109">
        <v>3</v>
      </c>
      <c r="S52" s="109">
        <v>3</v>
      </c>
      <c r="T52" s="109">
        <v>3</v>
      </c>
      <c r="U52" s="109">
        <v>2</v>
      </c>
      <c r="V52" s="109">
        <v>3</v>
      </c>
      <c r="W52" s="109">
        <v>2</v>
      </c>
      <c r="X52" s="109">
        <v>3</v>
      </c>
      <c r="Y52" s="109">
        <v>2</v>
      </c>
      <c r="Z52" s="109">
        <v>2</v>
      </c>
      <c r="AA52" s="109">
        <v>4</v>
      </c>
      <c r="AB52" s="109">
        <v>2</v>
      </c>
      <c r="AC52" s="109">
        <v>2</v>
      </c>
      <c r="AD52" s="109">
        <v>4</v>
      </c>
      <c r="AE52" s="109">
        <v>2</v>
      </c>
      <c r="AF52" s="109">
        <v>2</v>
      </c>
      <c r="AG52" s="109">
        <v>2</v>
      </c>
      <c r="AH52" s="109">
        <v>2</v>
      </c>
      <c r="AI52" s="109">
        <v>2</v>
      </c>
      <c r="AJ52" s="109">
        <v>3</v>
      </c>
      <c r="AK52" s="109">
        <v>2</v>
      </c>
      <c r="AL52" s="109">
        <v>3</v>
      </c>
      <c r="AM52" s="109">
        <v>2</v>
      </c>
      <c r="AN52" s="109">
        <v>3</v>
      </c>
      <c r="AO52" s="109">
        <v>3</v>
      </c>
      <c r="AP52" s="109">
        <v>2</v>
      </c>
      <c r="AQ52" s="109">
        <v>2</v>
      </c>
      <c r="AR52" s="109">
        <v>3</v>
      </c>
      <c r="AS52" s="109">
        <v>3</v>
      </c>
      <c r="AT52" s="109">
        <v>3</v>
      </c>
      <c r="AU52" s="109">
        <v>4</v>
      </c>
      <c r="AV52" s="109">
        <v>3</v>
      </c>
      <c r="AW52" s="109">
        <v>2</v>
      </c>
      <c r="AX52" s="109">
        <v>4</v>
      </c>
      <c r="AY52" s="109">
        <v>2</v>
      </c>
    </row>
    <row r="53" spans="1:52">
      <c r="A53" s="109"/>
      <c r="B53" s="177" t="s">
        <v>349</v>
      </c>
      <c r="C53" s="109"/>
      <c r="D53" s="109">
        <v>0</v>
      </c>
      <c r="E53" s="109">
        <v>0</v>
      </c>
      <c r="F53" s="109">
        <v>0</v>
      </c>
      <c r="G53" s="109">
        <v>0</v>
      </c>
      <c r="H53" s="109">
        <v>0</v>
      </c>
      <c r="I53" s="109">
        <v>0</v>
      </c>
      <c r="J53" s="109">
        <v>0</v>
      </c>
      <c r="K53" s="109">
        <v>0</v>
      </c>
      <c r="L53" s="109">
        <v>0</v>
      </c>
      <c r="M53" s="109">
        <v>0</v>
      </c>
      <c r="N53" s="109">
        <v>0</v>
      </c>
      <c r="O53" s="109">
        <v>0</v>
      </c>
      <c r="P53" s="109">
        <v>0</v>
      </c>
      <c r="Q53" s="109">
        <v>0</v>
      </c>
      <c r="R53" s="109">
        <v>0</v>
      </c>
      <c r="S53" s="109">
        <v>0</v>
      </c>
      <c r="T53" s="109">
        <v>0</v>
      </c>
      <c r="U53" s="109">
        <v>0</v>
      </c>
      <c r="V53" s="109">
        <v>0</v>
      </c>
      <c r="W53" s="109">
        <v>0</v>
      </c>
      <c r="X53" s="109">
        <v>0</v>
      </c>
      <c r="Y53" s="109">
        <v>0</v>
      </c>
      <c r="Z53" s="109">
        <v>0</v>
      </c>
      <c r="AA53" s="109">
        <v>0</v>
      </c>
      <c r="AB53" s="109">
        <v>0</v>
      </c>
      <c r="AC53" s="109">
        <v>0</v>
      </c>
      <c r="AD53" s="109">
        <v>0</v>
      </c>
      <c r="AE53" s="109">
        <v>0</v>
      </c>
      <c r="AF53" s="109">
        <v>0</v>
      </c>
      <c r="AG53" s="109">
        <v>0</v>
      </c>
      <c r="AH53" s="109">
        <v>0</v>
      </c>
      <c r="AI53" s="109">
        <v>0</v>
      </c>
      <c r="AJ53" s="109">
        <v>0</v>
      </c>
      <c r="AK53" s="109">
        <v>0</v>
      </c>
      <c r="AL53" s="109">
        <v>0</v>
      </c>
      <c r="AM53" s="109">
        <v>0</v>
      </c>
      <c r="AN53" s="109">
        <v>0</v>
      </c>
      <c r="AO53" s="109">
        <v>0</v>
      </c>
      <c r="AP53" s="109">
        <v>0</v>
      </c>
      <c r="AQ53" s="109">
        <v>0</v>
      </c>
      <c r="AR53" s="109">
        <v>0</v>
      </c>
      <c r="AS53" s="109">
        <v>0</v>
      </c>
      <c r="AT53" s="109">
        <v>0</v>
      </c>
      <c r="AU53" s="109">
        <v>0</v>
      </c>
      <c r="AV53" s="109">
        <v>0</v>
      </c>
      <c r="AW53" s="109">
        <v>0</v>
      </c>
      <c r="AX53" s="109">
        <v>0</v>
      </c>
      <c r="AY53" s="109">
        <v>0</v>
      </c>
      <c r="AZ53" s="99">
        <f>SUM($D$53:$AY$53)</f>
        <v>0</v>
      </c>
    </row>
    <row r="54" spans="1:52">
      <c r="A54" s="124"/>
      <c r="B54" s="139" t="s">
        <v>350</v>
      </c>
      <c r="C54" s="124"/>
      <c r="D54" s="124">
        <v>0</v>
      </c>
      <c r="E54" s="124">
        <v>0</v>
      </c>
      <c r="F54" s="124">
        <v>0</v>
      </c>
      <c r="G54" s="124">
        <v>0</v>
      </c>
      <c r="H54" s="124">
        <v>0</v>
      </c>
      <c r="I54" s="124">
        <v>0</v>
      </c>
      <c r="J54" s="124">
        <v>0</v>
      </c>
      <c r="K54" s="124">
        <v>0</v>
      </c>
      <c r="L54" s="124">
        <v>0</v>
      </c>
      <c r="M54" s="124">
        <v>0</v>
      </c>
      <c r="N54" s="124">
        <v>0</v>
      </c>
      <c r="O54" s="124">
        <v>0</v>
      </c>
      <c r="P54" s="124">
        <v>0</v>
      </c>
      <c r="Q54" s="124">
        <v>0</v>
      </c>
      <c r="R54" s="124">
        <v>0</v>
      </c>
      <c r="S54" s="124">
        <v>0</v>
      </c>
      <c r="T54" s="124">
        <v>0</v>
      </c>
      <c r="U54" s="124">
        <v>0</v>
      </c>
      <c r="V54" s="124">
        <v>0</v>
      </c>
      <c r="W54" s="124">
        <v>0</v>
      </c>
      <c r="X54" s="124">
        <v>0</v>
      </c>
      <c r="Y54" s="124">
        <v>0</v>
      </c>
      <c r="Z54" s="124">
        <v>0</v>
      </c>
      <c r="AA54" s="124">
        <v>0</v>
      </c>
      <c r="AB54" s="124">
        <v>0</v>
      </c>
      <c r="AC54" s="124">
        <v>0</v>
      </c>
      <c r="AD54" s="124">
        <v>0</v>
      </c>
      <c r="AE54" s="124">
        <v>0</v>
      </c>
      <c r="AF54" s="124">
        <v>0</v>
      </c>
      <c r="AG54" s="124">
        <v>0</v>
      </c>
      <c r="AH54" s="124">
        <v>0</v>
      </c>
      <c r="AI54" s="124">
        <v>0</v>
      </c>
      <c r="AJ54" s="124">
        <v>0</v>
      </c>
      <c r="AK54" s="124">
        <v>0</v>
      </c>
      <c r="AL54" s="124">
        <v>0</v>
      </c>
      <c r="AM54" s="124">
        <v>0</v>
      </c>
      <c r="AN54" s="124">
        <v>0</v>
      </c>
      <c r="AO54" s="124">
        <v>0</v>
      </c>
      <c r="AP54" s="124">
        <v>0</v>
      </c>
      <c r="AQ54" s="124">
        <v>0</v>
      </c>
      <c r="AR54" s="124">
        <v>0</v>
      </c>
      <c r="AS54" s="124">
        <v>0</v>
      </c>
      <c r="AT54" s="124">
        <v>0</v>
      </c>
      <c r="AU54" s="124">
        <v>0</v>
      </c>
      <c r="AV54" s="124">
        <v>0</v>
      </c>
      <c r="AW54" s="124">
        <v>0</v>
      </c>
      <c r="AX54" s="124">
        <v>0</v>
      </c>
      <c r="AY54" s="124">
        <v>0</v>
      </c>
      <c r="AZ54" s="99">
        <f>SUM($D$54:$AY$54)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baseColWidth="10" defaultColWidth="8.83203125" defaultRowHeight="12" x14ac:dyDescent="0"/>
  <cols>
    <col min="1" max="1" width="14.6640625" style="99" customWidth="1"/>
    <col min="2" max="2" width="17.6640625" style="99" customWidth="1"/>
    <col min="3" max="51" width="8.83203125" style="99"/>
    <col min="52" max="52" width="10.6640625" style="99" customWidth="1"/>
    <col min="53" max="16384" width="8.83203125" style="99"/>
  </cols>
  <sheetData>
    <row r="1" spans="1:52">
      <c r="A1" s="101" t="s">
        <v>118</v>
      </c>
    </row>
    <row r="2" spans="1:52">
      <c r="A2" s="99" t="s">
        <v>302</v>
      </c>
      <c r="B2" s="106" t="s">
        <v>12</v>
      </c>
      <c r="E2" s="109"/>
    </row>
    <row r="3" spans="1:52">
      <c r="A3" s="99" t="s">
        <v>285</v>
      </c>
      <c r="B3" s="106">
        <v>3589</v>
      </c>
      <c r="E3" s="109"/>
    </row>
    <row r="4" spans="1:52">
      <c r="A4" s="101"/>
      <c r="C4" s="110" t="s">
        <v>286</v>
      </c>
    </row>
    <row r="5" spans="1:52">
      <c r="B5" s="105"/>
      <c r="C5" s="111">
        <v>0</v>
      </c>
      <c r="D5" s="111">
        <v>1</v>
      </c>
      <c r="E5" s="111">
        <v>2</v>
      </c>
      <c r="F5" s="111">
        <v>3</v>
      </c>
      <c r="G5" s="111">
        <v>4</v>
      </c>
      <c r="H5" s="111">
        <v>5</v>
      </c>
      <c r="I5" s="111">
        <v>6</v>
      </c>
      <c r="J5" s="111">
        <v>7</v>
      </c>
      <c r="K5" s="111">
        <v>8</v>
      </c>
      <c r="L5" s="111">
        <v>9</v>
      </c>
      <c r="M5" s="111">
        <v>10</v>
      </c>
      <c r="N5" s="111">
        <v>11</v>
      </c>
      <c r="O5" s="111">
        <v>12</v>
      </c>
      <c r="P5" s="111">
        <v>13</v>
      </c>
      <c r="Q5" s="111">
        <v>14</v>
      </c>
      <c r="R5" s="111">
        <v>15</v>
      </c>
      <c r="S5" s="111">
        <v>16</v>
      </c>
      <c r="T5" s="111">
        <v>17</v>
      </c>
      <c r="U5" s="111">
        <v>18</v>
      </c>
      <c r="V5" s="111">
        <v>19</v>
      </c>
      <c r="W5" s="111">
        <v>20</v>
      </c>
      <c r="X5" s="111">
        <v>21</v>
      </c>
      <c r="Y5" s="111">
        <v>22</v>
      </c>
      <c r="Z5" s="111">
        <v>23</v>
      </c>
      <c r="AA5" s="111">
        <v>24</v>
      </c>
      <c r="AB5" s="111">
        <v>25</v>
      </c>
      <c r="AC5" s="111">
        <v>26</v>
      </c>
      <c r="AD5" s="111">
        <v>27</v>
      </c>
      <c r="AE5" s="111">
        <v>28</v>
      </c>
      <c r="AF5" s="111">
        <v>29</v>
      </c>
      <c r="AG5" s="111">
        <v>30</v>
      </c>
      <c r="AH5" s="111">
        <v>31</v>
      </c>
      <c r="AI5" s="111">
        <v>32</v>
      </c>
      <c r="AJ5" s="111">
        <v>33</v>
      </c>
      <c r="AK5" s="111">
        <v>34</v>
      </c>
      <c r="AL5" s="111">
        <v>35</v>
      </c>
      <c r="AM5" s="111">
        <v>36</v>
      </c>
      <c r="AN5" s="111">
        <v>37</v>
      </c>
      <c r="AO5" s="111">
        <v>38</v>
      </c>
      <c r="AP5" s="111">
        <v>39</v>
      </c>
      <c r="AQ5" s="111">
        <v>40</v>
      </c>
      <c r="AR5" s="111">
        <v>41</v>
      </c>
      <c r="AS5" s="111">
        <v>42</v>
      </c>
      <c r="AT5" s="111">
        <v>43</v>
      </c>
      <c r="AU5" s="111">
        <v>44</v>
      </c>
      <c r="AV5" s="111">
        <v>45</v>
      </c>
      <c r="AW5" s="111">
        <v>46</v>
      </c>
      <c r="AX5" s="111">
        <v>47</v>
      </c>
      <c r="AY5" s="111">
        <v>48</v>
      </c>
    </row>
    <row r="6" spans="1:52">
      <c r="A6" s="101" t="s">
        <v>303</v>
      </c>
      <c r="B6" s="113"/>
      <c r="C6" s="112" t="s">
        <v>287</v>
      </c>
      <c r="D6" s="111" t="s">
        <v>288</v>
      </c>
      <c r="E6" s="111" t="s">
        <v>288</v>
      </c>
      <c r="F6" s="111" t="s">
        <v>288</v>
      </c>
      <c r="G6" s="111" t="s">
        <v>288</v>
      </c>
      <c r="H6" s="111" t="s">
        <v>288</v>
      </c>
      <c r="I6" s="111" t="s">
        <v>288</v>
      </c>
      <c r="J6" s="111" t="s">
        <v>288</v>
      </c>
      <c r="K6" s="111" t="s">
        <v>288</v>
      </c>
      <c r="L6" s="111" t="s">
        <v>288</v>
      </c>
      <c r="M6" s="111" t="s">
        <v>288</v>
      </c>
      <c r="N6" s="111" t="s">
        <v>288</v>
      </c>
      <c r="O6" s="111" t="s">
        <v>288</v>
      </c>
      <c r="P6" s="111" t="s">
        <v>288</v>
      </c>
      <c r="Q6" s="111" t="s">
        <v>288</v>
      </c>
      <c r="R6" s="111" t="s">
        <v>288</v>
      </c>
      <c r="S6" s="111" t="s">
        <v>288</v>
      </c>
      <c r="T6" s="111" t="s">
        <v>288</v>
      </c>
      <c r="U6" s="111" t="s">
        <v>288</v>
      </c>
      <c r="V6" s="111" t="s">
        <v>288</v>
      </c>
      <c r="W6" s="111" t="s">
        <v>288</v>
      </c>
      <c r="X6" s="111" t="s">
        <v>288</v>
      </c>
      <c r="Y6" s="111" t="s">
        <v>288</v>
      </c>
      <c r="Z6" s="111" t="s">
        <v>288</v>
      </c>
      <c r="AA6" s="111" t="s">
        <v>288</v>
      </c>
      <c r="AB6" s="111" t="s">
        <v>288</v>
      </c>
      <c r="AC6" s="111" t="s">
        <v>288</v>
      </c>
      <c r="AD6" s="111" t="s">
        <v>288</v>
      </c>
      <c r="AE6" s="111" t="s">
        <v>288</v>
      </c>
      <c r="AF6" s="111" t="s">
        <v>288</v>
      </c>
      <c r="AG6" s="111" t="s">
        <v>288</v>
      </c>
      <c r="AH6" s="111" t="s">
        <v>288</v>
      </c>
      <c r="AI6" s="111" t="s">
        <v>288</v>
      </c>
      <c r="AJ6" s="111" t="s">
        <v>288</v>
      </c>
      <c r="AK6" s="111" t="s">
        <v>288</v>
      </c>
      <c r="AL6" s="111" t="s">
        <v>288</v>
      </c>
      <c r="AM6" s="111" t="s">
        <v>288</v>
      </c>
      <c r="AN6" s="111" t="s">
        <v>288</v>
      </c>
      <c r="AO6" s="111" t="s">
        <v>288</v>
      </c>
      <c r="AP6" s="111" t="s">
        <v>288</v>
      </c>
      <c r="AQ6" s="111" t="s">
        <v>288</v>
      </c>
      <c r="AR6" s="111" t="s">
        <v>288</v>
      </c>
      <c r="AS6" s="111" t="s">
        <v>288</v>
      </c>
      <c r="AT6" s="111" t="s">
        <v>288</v>
      </c>
      <c r="AU6" s="111" t="s">
        <v>288</v>
      </c>
      <c r="AV6" s="111" t="s">
        <v>288</v>
      </c>
      <c r="AW6" s="111" t="s">
        <v>288</v>
      </c>
      <c r="AX6" s="111" t="s">
        <v>288</v>
      </c>
      <c r="AY6" s="110" t="s">
        <v>289</v>
      </c>
      <c r="AZ6" s="141" t="s">
        <v>150</v>
      </c>
    </row>
    <row r="7" spans="1:52">
      <c r="A7" s="114" t="s">
        <v>125</v>
      </c>
      <c r="B7" s="142">
        <v>1</v>
      </c>
      <c r="C7" s="143" t="s">
        <v>292</v>
      </c>
      <c r="D7" s="143">
        <v>3588.9726000000001</v>
      </c>
      <c r="E7" s="143">
        <v>3588.9726000000001</v>
      </c>
      <c r="F7" s="143">
        <v>3226.3413626364127</v>
      </c>
      <c r="G7" s="143">
        <v>3588.9726000000001</v>
      </c>
      <c r="H7" s="143">
        <v>3588.9726000000001</v>
      </c>
      <c r="I7" s="143">
        <v>3588.9726000000001</v>
      </c>
      <c r="J7" s="143">
        <v>3588.9726000000001</v>
      </c>
      <c r="K7" s="143">
        <v>3588.9726000000001</v>
      </c>
      <c r="L7" s="143">
        <v>3302.1241176293706</v>
      </c>
      <c r="M7" s="143">
        <v>3588.9726000000001</v>
      </c>
      <c r="N7" s="143">
        <v>3588.9726000000001</v>
      </c>
      <c r="O7" s="143">
        <v>3588.9726000000001</v>
      </c>
      <c r="P7" s="143">
        <v>3588.9726000000001</v>
      </c>
      <c r="Q7" s="143">
        <v>3588.9726000000001</v>
      </c>
      <c r="R7" s="143">
        <v>3588.9726000000001</v>
      </c>
      <c r="S7" s="143">
        <v>3588.9726000000001</v>
      </c>
      <c r="T7" s="143">
        <v>3588.9726000000001</v>
      </c>
      <c r="U7" s="143">
        <v>3588.9726000000001</v>
      </c>
      <c r="V7" s="143">
        <v>3588.9726000000001</v>
      </c>
      <c r="W7" s="143">
        <v>3588.9726000000001</v>
      </c>
      <c r="X7" s="143">
        <v>3588.9726000000001</v>
      </c>
      <c r="Y7" s="143">
        <v>3588.9726000000001</v>
      </c>
      <c r="Z7" s="143">
        <v>3588.9726000000001</v>
      </c>
      <c r="AA7" s="143">
        <v>3588.9726000000001</v>
      </c>
      <c r="AB7" s="143">
        <v>3588.9726000000001</v>
      </c>
      <c r="AC7" s="143">
        <v>3588.9726000000001</v>
      </c>
      <c r="AD7" s="143">
        <v>3588.9726000000001</v>
      </c>
      <c r="AE7" s="143">
        <v>3588.9726000000001</v>
      </c>
      <c r="AF7" s="143">
        <v>3804.2721000000001</v>
      </c>
      <c r="AG7" s="143">
        <v>3804.2721000000001</v>
      </c>
      <c r="AH7" s="143">
        <v>3804.2721000000001</v>
      </c>
      <c r="AI7" s="143">
        <v>3804.2721000000001</v>
      </c>
      <c r="AJ7" s="143">
        <v>3804.2721000000001</v>
      </c>
      <c r="AK7" s="143">
        <v>3804.2721000000001</v>
      </c>
      <c r="AL7" s="143">
        <v>3804.2721000000001</v>
      </c>
      <c r="AM7" s="143">
        <v>3804.2721000000001</v>
      </c>
      <c r="AN7" s="143">
        <v>3303.391293575995</v>
      </c>
      <c r="AO7" s="143">
        <v>3305.5043364381277</v>
      </c>
      <c r="AP7" s="143">
        <v>3445.3748399999999</v>
      </c>
      <c r="AQ7" s="143">
        <v>3445.3748399999999</v>
      </c>
      <c r="AR7" s="143">
        <v>3588.9726000000001</v>
      </c>
      <c r="AS7" s="143">
        <v>3588.9726000000001</v>
      </c>
      <c r="AT7" s="143">
        <v>3588.9726000000001</v>
      </c>
      <c r="AU7" s="143">
        <v>3588.9726000000001</v>
      </c>
      <c r="AV7" s="143">
        <v>3517.2708600000005</v>
      </c>
      <c r="AW7" s="143">
        <v>3517.2708600000005</v>
      </c>
      <c r="AX7" s="143">
        <v>3517.2708600000005</v>
      </c>
      <c r="AY7" s="143">
        <v>3517.2708600000005</v>
      </c>
      <c r="AZ7" s="105"/>
    </row>
    <row r="8" spans="1:52">
      <c r="A8" s="144"/>
      <c r="B8" s="145"/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44"/>
      <c r="AV8" s="144"/>
      <c r="AW8" s="144"/>
      <c r="AX8" s="144"/>
      <c r="AY8" s="144"/>
      <c r="AZ8" s="146"/>
    </row>
    <row r="9" spans="1:52">
      <c r="A9" s="101" t="s">
        <v>293</v>
      </c>
      <c r="B9" s="147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</row>
    <row r="10" spans="1:52">
      <c r="A10" s="148" t="s">
        <v>125</v>
      </c>
      <c r="B10" s="149">
        <v>1</v>
      </c>
      <c r="C10" s="143" t="s">
        <v>292</v>
      </c>
      <c r="D10" s="143">
        <f t="shared" ref="D10:AY10" si="0">MAX(SUM(D$14:D$16)+D$7-$B$3,0)</f>
        <v>0</v>
      </c>
      <c r="E10" s="143">
        <f t="shared" si="0"/>
        <v>0</v>
      </c>
      <c r="F10" s="143">
        <f t="shared" si="0"/>
        <v>0</v>
      </c>
      <c r="G10" s="143">
        <f t="shared" si="0"/>
        <v>0</v>
      </c>
      <c r="H10" s="143">
        <f t="shared" si="0"/>
        <v>0</v>
      </c>
      <c r="I10" s="143">
        <f t="shared" si="0"/>
        <v>0</v>
      </c>
      <c r="J10" s="143">
        <f t="shared" si="0"/>
        <v>0</v>
      </c>
      <c r="K10" s="143">
        <f t="shared" si="0"/>
        <v>0</v>
      </c>
      <c r="L10" s="143">
        <f t="shared" si="0"/>
        <v>0</v>
      </c>
      <c r="M10" s="143">
        <f t="shared" si="0"/>
        <v>0</v>
      </c>
      <c r="N10" s="143">
        <f t="shared" si="0"/>
        <v>0</v>
      </c>
      <c r="O10" s="143">
        <f t="shared" si="0"/>
        <v>0</v>
      </c>
      <c r="P10" s="143">
        <f t="shared" si="0"/>
        <v>0</v>
      </c>
      <c r="Q10" s="143">
        <f t="shared" si="0"/>
        <v>0</v>
      </c>
      <c r="R10" s="143">
        <f t="shared" si="0"/>
        <v>0</v>
      </c>
      <c r="S10" s="143">
        <f t="shared" si="0"/>
        <v>0</v>
      </c>
      <c r="T10" s="143">
        <f t="shared" si="0"/>
        <v>0</v>
      </c>
      <c r="U10" s="143">
        <f t="shared" si="0"/>
        <v>0</v>
      </c>
      <c r="V10" s="143">
        <f t="shared" si="0"/>
        <v>0</v>
      </c>
      <c r="W10" s="143">
        <f t="shared" si="0"/>
        <v>0</v>
      </c>
      <c r="X10" s="143">
        <f t="shared" si="0"/>
        <v>0</v>
      </c>
      <c r="Y10" s="143">
        <f t="shared" si="0"/>
        <v>0</v>
      </c>
      <c r="Z10" s="143">
        <f t="shared" si="0"/>
        <v>0</v>
      </c>
      <c r="AA10" s="143">
        <f t="shared" si="0"/>
        <v>0</v>
      </c>
      <c r="AB10" s="143">
        <f t="shared" si="0"/>
        <v>0</v>
      </c>
      <c r="AC10" s="143">
        <f t="shared" si="0"/>
        <v>0</v>
      </c>
      <c r="AD10" s="143">
        <f t="shared" si="0"/>
        <v>0</v>
      </c>
      <c r="AE10" s="143">
        <f t="shared" si="0"/>
        <v>0</v>
      </c>
      <c r="AF10" s="143">
        <f t="shared" si="0"/>
        <v>215.27210000000014</v>
      </c>
      <c r="AG10" s="143">
        <f t="shared" si="0"/>
        <v>215.27210000000014</v>
      </c>
      <c r="AH10" s="143">
        <f t="shared" si="0"/>
        <v>215.27210000000014</v>
      </c>
      <c r="AI10" s="143">
        <f t="shared" si="0"/>
        <v>215.27210000000014</v>
      </c>
      <c r="AJ10" s="143">
        <f t="shared" si="0"/>
        <v>215.27210000000014</v>
      </c>
      <c r="AK10" s="143">
        <f t="shared" si="0"/>
        <v>215.27210000000014</v>
      </c>
      <c r="AL10" s="143">
        <f t="shared" si="0"/>
        <v>3804.2721000000001</v>
      </c>
      <c r="AM10" s="143">
        <f t="shared" si="0"/>
        <v>215.27210000000014</v>
      </c>
      <c r="AN10" s="143">
        <f t="shared" si="0"/>
        <v>0</v>
      </c>
      <c r="AO10" s="143">
        <f t="shared" si="0"/>
        <v>0</v>
      </c>
      <c r="AP10" s="143">
        <f t="shared" si="0"/>
        <v>0</v>
      </c>
      <c r="AQ10" s="143">
        <f t="shared" si="0"/>
        <v>0</v>
      </c>
      <c r="AR10" s="143">
        <f t="shared" si="0"/>
        <v>3445.3474399999996</v>
      </c>
      <c r="AS10" s="143">
        <f t="shared" si="0"/>
        <v>3588.972600000001</v>
      </c>
      <c r="AT10" s="143">
        <f t="shared" si="0"/>
        <v>3588.972600000001</v>
      </c>
      <c r="AU10" s="143">
        <f t="shared" si="0"/>
        <v>0</v>
      </c>
      <c r="AV10" s="143">
        <f t="shared" si="0"/>
        <v>0</v>
      </c>
      <c r="AW10" s="143">
        <f t="shared" si="0"/>
        <v>0</v>
      </c>
      <c r="AX10" s="143">
        <f t="shared" si="0"/>
        <v>0</v>
      </c>
      <c r="AY10" s="143">
        <f t="shared" si="0"/>
        <v>0</v>
      </c>
      <c r="AZ10" s="150">
        <f>SUM($D10:$AY10)</f>
        <v>15934.469440000003</v>
      </c>
    </row>
    <row r="11" spans="1:52">
      <c r="C11" s="109"/>
    </row>
    <row r="12" spans="1:52">
      <c r="A12" s="151" t="s">
        <v>294</v>
      </c>
      <c r="B12" s="145"/>
      <c r="C12" s="109"/>
    </row>
    <row r="13" spans="1:52">
      <c r="A13" s="121" t="s">
        <v>125</v>
      </c>
      <c r="B13" s="122">
        <v>1</v>
      </c>
      <c r="C13" s="123"/>
      <c r="D13" s="137">
        <f t="shared" ref="D13:AY13" si="1">D$7-D$10</f>
        <v>3588.9726000000001</v>
      </c>
      <c r="E13" s="137">
        <f t="shared" si="1"/>
        <v>3588.9726000000001</v>
      </c>
      <c r="F13" s="137">
        <f t="shared" si="1"/>
        <v>3226.3413626364127</v>
      </c>
      <c r="G13" s="137">
        <f t="shared" si="1"/>
        <v>3588.9726000000001</v>
      </c>
      <c r="H13" s="137">
        <f t="shared" si="1"/>
        <v>3588.9726000000001</v>
      </c>
      <c r="I13" s="137">
        <f t="shared" si="1"/>
        <v>3588.9726000000001</v>
      </c>
      <c r="J13" s="137">
        <f t="shared" si="1"/>
        <v>3588.9726000000001</v>
      </c>
      <c r="K13" s="137">
        <f t="shared" si="1"/>
        <v>3588.9726000000001</v>
      </c>
      <c r="L13" s="137">
        <f t="shared" si="1"/>
        <v>3302.1241176293706</v>
      </c>
      <c r="M13" s="137">
        <f t="shared" si="1"/>
        <v>3588.9726000000001</v>
      </c>
      <c r="N13" s="137">
        <f t="shared" si="1"/>
        <v>3588.9726000000001</v>
      </c>
      <c r="O13" s="137">
        <f t="shared" si="1"/>
        <v>3588.9726000000001</v>
      </c>
      <c r="P13" s="137">
        <f t="shared" si="1"/>
        <v>3588.9726000000001</v>
      </c>
      <c r="Q13" s="137">
        <f t="shared" si="1"/>
        <v>3588.9726000000001</v>
      </c>
      <c r="R13" s="137">
        <f t="shared" si="1"/>
        <v>3588.9726000000001</v>
      </c>
      <c r="S13" s="137">
        <f t="shared" si="1"/>
        <v>3588.9726000000001</v>
      </c>
      <c r="T13" s="137">
        <f t="shared" si="1"/>
        <v>3588.9726000000001</v>
      </c>
      <c r="U13" s="137">
        <f t="shared" si="1"/>
        <v>3588.9726000000001</v>
      </c>
      <c r="V13" s="137">
        <f t="shared" si="1"/>
        <v>3588.9726000000001</v>
      </c>
      <c r="W13" s="137">
        <f t="shared" si="1"/>
        <v>3588.9726000000001</v>
      </c>
      <c r="X13" s="137">
        <f t="shared" si="1"/>
        <v>3588.9726000000001</v>
      </c>
      <c r="Y13" s="137">
        <f t="shared" si="1"/>
        <v>3588.9726000000001</v>
      </c>
      <c r="Z13" s="137">
        <f t="shared" si="1"/>
        <v>3588.9726000000001</v>
      </c>
      <c r="AA13" s="137">
        <f t="shared" si="1"/>
        <v>3588.9726000000001</v>
      </c>
      <c r="AB13" s="137">
        <f t="shared" si="1"/>
        <v>3588.9726000000001</v>
      </c>
      <c r="AC13" s="137">
        <f t="shared" si="1"/>
        <v>3588.9726000000001</v>
      </c>
      <c r="AD13" s="137">
        <f t="shared" si="1"/>
        <v>3588.9726000000001</v>
      </c>
      <c r="AE13" s="137">
        <f t="shared" si="1"/>
        <v>3588.9726000000001</v>
      </c>
      <c r="AF13" s="137">
        <f t="shared" si="1"/>
        <v>3589</v>
      </c>
      <c r="AG13" s="137">
        <f t="shared" si="1"/>
        <v>3589</v>
      </c>
      <c r="AH13" s="137">
        <f t="shared" si="1"/>
        <v>3589</v>
      </c>
      <c r="AI13" s="137">
        <f t="shared" si="1"/>
        <v>3589</v>
      </c>
      <c r="AJ13" s="137">
        <f t="shared" si="1"/>
        <v>3589</v>
      </c>
      <c r="AK13" s="137">
        <f t="shared" si="1"/>
        <v>3589</v>
      </c>
      <c r="AL13" s="137">
        <f t="shared" si="1"/>
        <v>0</v>
      </c>
      <c r="AM13" s="137">
        <f t="shared" si="1"/>
        <v>3589</v>
      </c>
      <c r="AN13" s="137">
        <f t="shared" si="1"/>
        <v>3303.391293575995</v>
      </c>
      <c r="AO13" s="137">
        <f t="shared" si="1"/>
        <v>3305.5043364381277</v>
      </c>
      <c r="AP13" s="137">
        <f t="shared" si="1"/>
        <v>3445.3748399999999</v>
      </c>
      <c r="AQ13" s="137">
        <f t="shared" si="1"/>
        <v>3445.3748399999999</v>
      </c>
      <c r="AR13" s="137">
        <f t="shared" si="1"/>
        <v>143.62516000000051</v>
      </c>
      <c r="AS13" s="137">
        <f t="shared" si="1"/>
        <v>0</v>
      </c>
      <c r="AT13" s="137">
        <f t="shared" si="1"/>
        <v>0</v>
      </c>
      <c r="AU13" s="137">
        <f t="shared" si="1"/>
        <v>3588.9726000000001</v>
      </c>
      <c r="AV13" s="137">
        <f t="shared" si="1"/>
        <v>3517.2708600000005</v>
      </c>
      <c r="AW13" s="137">
        <f t="shared" si="1"/>
        <v>3517.2708600000005</v>
      </c>
      <c r="AX13" s="137">
        <f t="shared" si="1"/>
        <v>3517.2708600000005</v>
      </c>
      <c r="AY13" s="137">
        <f t="shared" si="1"/>
        <v>3517.2708600000005</v>
      </c>
      <c r="AZ13" s="108"/>
    </row>
    <row r="14" spans="1:52">
      <c r="A14" s="109"/>
      <c r="B14" s="119">
        <v>2</v>
      </c>
      <c r="C14" s="109"/>
      <c r="D14" s="105">
        <f>IF(C$20="Yes",C13,0)</f>
        <v>0</v>
      </c>
      <c r="E14" s="105">
        <f t="shared" ref="E14:AY17" si="2">IF(D$20="Yes",D13,0)</f>
        <v>0</v>
      </c>
      <c r="F14" s="105">
        <f t="shared" si="2"/>
        <v>0</v>
      </c>
      <c r="G14" s="105">
        <f t="shared" si="2"/>
        <v>0</v>
      </c>
      <c r="H14" s="105">
        <f t="shared" si="2"/>
        <v>0</v>
      </c>
      <c r="I14" s="105">
        <f t="shared" si="2"/>
        <v>0</v>
      </c>
      <c r="J14" s="105">
        <f t="shared" si="2"/>
        <v>0</v>
      </c>
      <c r="K14" s="105">
        <f t="shared" si="2"/>
        <v>0</v>
      </c>
      <c r="L14" s="105">
        <f t="shared" si="2"/>
        <v>0</v>
      </c>
      <c r="M14" s="105">
        <f t="shared" si="2"/>
        <v>0</v>
      </c>
      <c r="N14" s="105">
        <f t="shared" si="2"/>
        <v>0</v>
      </c>
      <c r="O14" s="105">
        <f t="shared" si="2"/>
        <v>0</v>
      </c>
      <c r="P14" s="105">
        <f t="shared" si="2"/>
        <v>0</v>
      </c>
      <c r="Q14" s="105">
        <f t="shared" si="2"/>
        <v>0</v>
      </c>
      <c r="R14" s="105">
        <f t="shared" si="2"/>
        <v>0</v>
      </c>
      <c r="S14" s="105">
        <f t="shared" si="2"/>
        <v>0</v>
      </c>
      <c r="T14" s="105">
        <f t="shared" si="2"/>
        <v>0</v>
      </c>
      <c r="U14" s="105">
        <f t="shared" si="2"/>
        <v>0</v>
      </c>
      <c r="V14" s="105">
        <f t="shared" si="2"/>
        <v>0</v>
      </c>
      <c r="W14" s="105">
        <f t="shared" si="2"/>
        <v>0</v>
      </c>
      <c r="X14" s="105">
        <f t="shared" si="2"/>
        <v>0</v>
      </c>
      <c r="Y14" s="105">
        <f t="shared" si="2"/>
        <v>0</v>
      </c>
      <c r="Z14" s="105">
        <f t="shared" si="2"/>
        <v>0</v>
      </c>
      <c r="AA14" s="105">
        <f t="shared" si="2"/>
        <v>0</v>
      </c>
      <c r="AB14" s="105">
        <f t="shared" si="2"/>
        <v>0</v>
      </c>
      <c r="AC14" s="105">
        <f t="shared" si="2"/>
        <v>0</v>
      </c>
      <c r="AD14" s="105">
        <f t="shared" si="2"/>
        <v>0</v>
      </c>
      <c r="AE14" s="105">
        <f t="shared" si="2"/>
        <v>0</v>
      </c>
      <c r="AF14" s="105">
        <f t="shared" si="2"/>
        <v>0</v>
      </c>
      <c r="AG14" s="105">
        <f t="shared" si="2"/>
        <v>0</v>
      </c>
      <c r="AH14" s="105">
        <f t="shared" si="2"/>
        <v>0</v>
      </c>
      <c r="AI14" s="105">
        <f t="shared" si="2"/>
        <v>0</v>
      </c>
      <c r="AJ14" s="105">
        <f t="shared" si="2"/>
        <v>0</v>
      </c>
      <c r="AK14" s="105">
        <f t="shared" si="2"/>
        <v>0</v>
      </c>
      <c r="AL14" s="105">
        <f t="shared" si="2"/>
        <v>3589</v>
      </c>
      <c r="AM14" s="105">
        <f t="shared" si="2"/>
        <v>0</v>
      </c>
      <c r="AN14" s="105">
        <f t="shared" si="2"/>
        <v>0</v>
      </c>
      <c r="AO14" s="105">
        <f t="shared" si="2"/>
        <v>0</v>
      </c>
      <c r="AP14" s="105">
        <f t="shared" si="2"/>
        <v>0</v>
      </c>
      <c r="AQ14" s="105">
        <f t="shared" si="2"/>
        <v>0</v>
      </c>
      <c r="AR14" s="105">
        <f t="shared" si="2"/>
        <v>3445.3748399999999</v>
      </c>
      <c r="AS14" s="105">
        <f t="shared" si="2"/>
        <v>143.62516000000051</v>
      </c>
      <c r="AT14" s="105">
        <f t="shared" si="2"/>
        <v>0</v>
      </c>
      <c r="AU14" s="105">
        <f t="shared" si="2"/>
        <v>0</v>
      </c>
      <c r="AV14" s="105">
        <f t="shared" si="2"/>
        <v>0</v>
      </c>
      <c r="AW14" s="105">
        <f t="shared" si="2"/>
        <v>0</v>
      </c>
      <c r="AX14" s="105">
        <f t="shared" si="2"/>
        <v>0</v>
      </c>
      <c r="AY14" s="105">
        <f t="shared" si="2"/>
        <v>0</v>
      </c>
      <c r="AZ14" s="108"/>
    </row>
    <row r="15" spans="1:52">
      <c r="A15" s="109"/>
      <c r="B15" s="126">
        <v>3</v>
      </c>
      <c r="C15" s="109"/>
      <c r="D15" s="105">
        <f>IF(C$20="Yes",C14,0)</f>
        <v>0</v>
      </c>
      <c r="E15" s="105">
        <f t="shared" si="2"/>
        <v>0</v>
      </c>
      <c r="F15" s="105">
        <f t="shared" si="2"/>
        <v>0</v>
      </c>
      <c r="G15" s="105">
        <f t="shared" si="2"/>
        <v>0</v>
      </c>
      <c r="H15" s="105">
        <f t="shared" si="2"/>
        <v>0</v>
      </c>
      <c r="I15" s="105">
        <f t="shared" si="2"/>
        <v>0</v>
      </c>
      <c r="J15" s="105">
        <f t="shared" si="2"/>
        <v>0</v>
      </c>
      <c r="K15" s="105">
        <f t="shared" si="2"/>
        <v>0</v>
      </c>
      <c r="L15" s="105">
        <f t="shared" si="2"/>
        <v>0</v>
      </c>
      <c r="M15" s="105">
        <f t="shared" si="2"/>
        <v>0</v>
      </c>
      <c r="N15" s="105">
        <f t="shared" si="2"/>
        <v>0</v>
      </c>
      <c r="O15" s="105">
        <f t="shared" si="2"/>
        <v>0</v>
      </c>
      <c r="P15" s="105">
        <f t="shared" si="2"/>
        <v>0</v>
      </c>
      <c r="Q15" s="105">
        <f t="shared" si="2"/>
        <v>0</v>
      </c>
      <c r="R15" s="105">
        <f t="shared" si="2"/>
        <v>0</v>
      </c>
      <c r="S15" s="105">
        <f t="shared" si="2"/>
        <v>0</v>
      </c>
      <c r="T15" s="105">
        <f t="shared" si="2"/>
        <v>0</v>
      </c>
      <c r="U15" s="105">
        <f t="shared" si="2"/>
        <v>0</v>
      </c>
      <c r="V15" s="105">
        <f t="shared" si="2"/>
        <v>0</v>
      </c>
      <c r="W15" s="105">
        <f t="shared" si="2"/>
        <v>0</v>
      </c>
      <c r="X15" s="105">
        <f t="shared" si="2"/>
        <v>0</v>
      </c>
      <c r="Y15" s="105">
        <f t="shared" si="2"/>
        <v>0</v>
      </c>
      <c r="Z15" s="105">
        <f t="shared" si="2"/>
        <v>0</v>
      </c>
      <c r="AA15" s="105">
        <f t="shared" si="2"/>
        <v>0</v>
      </c>
      <c r="AB15" s="105">
        <f t="shared" si="2"/>
        <v>0</v>
      </c>
      <c r="AC15" s="105">
        <f t="shared" si="2"/>
        <v>0</v>
      </c>
      <c r="AD15" s="105">
        <f t="shared" si="2"/>
        <v>0</v>
      </c>
      <c r="AE15" s="105">
        <f t="shared" si="2"/>
        <v>0</v>
      </c>
      <c r="AF15" s="105">
        <f t="shared" si="2"/>
        <v>0</v>
      </c>
      <c r="AG15" s="105">
        <f t="shared" si="2"/>
        <v>0</v>
      </c>
      <c r="AH15" s="105">
        <f t="shared" si="2"/>
        <v>0</v>
      </c>
      <c r="AI15" s="105">
        <f t="shared" si="2"/>
        <v>0</v>
      </c>
      <c r="AJ15" s="105">
        <f t="shared" si="2"/>
        <v>0</v>
      </c>
      <c r="AK15" s="105">
        <f t="shared" si="2"/>
        <v>0</v>
      </c>
      <c r="AL15" s="105">
        <f t="shared" si="2"/>
        <v>0</v>
      </c>
      <c r="AM15" s="105">
        <f t="shared" si="2"/>
        <v>0</v>
      </c>
      <c r="AN15" s="105">
        <f t="shared" si="2"/>
        <v>0</v>
      </c>
      <c r="AO15" s="105">
        <f t="shared" si="2"/>
        <v>0</v>
      </c>
      <c r="AP15" s="105">
        <f t="shared" si="2"/>
        <v>0</v>
      </c>
      <c r="AQ15" s="105">
        <f t="shared" si="2"/>
        <v>0</v>
      </c>
      <c r="AR15" s="105">
        <f t="shared" si="2"/>
        <v>0</v>
      </c>
      <c r="AS15" s="105">
        <f t="shared" si="2"/>
        <v>3445.3748399999999</v>
      </c>
      <c r="AT15" s="105">
        <f t="shared" si="2"/>
        <v>143.62516000000051</v>
      </c>
      <c r="AU15" s="105">
        <f t="shared" si="2"/>
        <v>0</v>
      </c>
      <c r="AV15" s="105">
        <f t="shared" si="2"/>
        <v>0</v>
      </c>
      <c r="AW15" s="105">
        <f t="shared" si="2"/>
        <v>0</v>
      </c>
      <c r="AX15" s="105">
        <f t="shared" si="2"/>
        <v>0</v>
      </c>
      <c r="AY15" s="105">
        <f t="shared" si="2"/>
        <v>0</v>
      </c>
      <c r="AZ15" s="108"/>
    </row>
    <row r="16" spans="1:52">
      <c r="A16" s="109"/>
      <c r="B16" s="129">
        <v>4</v>
      </c>
      <c r="C16" s="109"/>
      <c r="D16" s="105">
        <f>IF(C$20="Yes",C15,0)</f>
        <v>0</v>
      </c>
      <c r="E16" s="105">
        <f t="shared" si="2"/>
        <v>0</v>
      </c>
      <c r="F16" s="105">
        <f t="shared" si="2"/>
        <v>0</v>
      </c>
      <c r="G16" s="105">
        <f t="shared" si="2"/>
        <v>0</v>
      </c>
      <c r="H16" s="105">
        <f t="shared" si="2"/>
        <v>0</v>
      </c>
      <c r="I16" s="105">
        <f t="shared" si="2"/>
        <v>0</v>
      </c>
      <c r="J16" s="105">
        <f t="shared" si="2"/>
        <v>0</v>
      </c>
      <c r="K16" s="105">
        <f t="shared" si="2"/>
        <v>0</v>
      </c>
      <c r="L16" s="105">
        <f t="shared" si="2"/>
        <v>0</v>
      </c>
      <c r="M16" s="105">
        <f t="shared" si="2"/>
        <v>0</v>
      </c>
      <c r="N16" s="105">
        <f t="shared" si="2"/>
        <v>0</v>
      </c>
      <c r="O16" s="105">
        <f t="shared" si="2"/>
        <v>0</v>
      </c>
      <c r="P16" s="105">
        <f t="shared" si="2"/>
        <v>0</v>
      </c>
      <c r="Q16" s="105">
        <f t="shared" si="2"/>
        <v>0</v>
      </c>
      <c r="R16" s="105">
        <f t="shared" si="2"/>
        <v>0</v>
      </c>
      <c r="S16" s="105">
        <f t="shared" si="2"/>
        <v>0</v>
      </c>
      <c r="T16" s="105">
        <f t="shared" si="2"/>
        <v>0</v>
      </c>
      <c r="U16" s="105">
        <f t="shared" si="2"/>
        <v>0</v>
      </c>
      <c r="V16" s="105">
        <f t="shared" si="2"/>
        <v>0</v>
      </c>
      <c r="W16" s="105">
        <f t="shared" si="2"/>
        <v>0</v>
      </c>
      <c r="X16" s="105">
        <f t="shared" si="2"/>
        <v>0</v>
      </c>
      <c r="Y16" s="105">
        <f t="shared" si="2"/>
        <v>0</v>
      </c>
      <c r="Z16" s="105">
        <f t="shared" si="2"/>
        <v>0</v>
      </c>
      <c r="AA16" s="105">
        <f t="shared" si="2"/>
        <v>0</v>
      </c>
      <c r="AB16" s="105">
        <f t="shared" si="2"/>
        <v>0</v>
      </c>
      <c r="AC16" s="105">
        <f t="shared" si="2"/>
        <v>0</v>
      </c>
      <c r="AD16" s="105">
        <f t="shared" si="2"/>
        <v>0</v>
      </c>
      <c r="AE16" s="105">
        <f t="shared" si="2"/>
        <v>0</v>
      </c>
      <c r="AF16" s="105">
        <f t="shared" si="2"/>
        <v>0</v>
      </c>
      <c r="AG16" s="105">
        <f t="shared" si="2"/>
        <v>0</v>
      </c>
      <c r="AH16" s="105">
        <f t="shared" si="2"/>
        <v>0</v>
      </c>
      <c r="AI16" s="105">
        <f t="shared" si="2"/>
        <v>0</v>
      </c>
      <c r="AJ16" s="105">
        <f t="shared" si="2"/>
        <v>0</v>
      </c>
      <c r="AK16" s="105">
        <f t="shared" si="2"/>
        <v>0</v>
      </c>
      <c r="AL16" s="105">
        <f t="shared" si="2"/>
        <v>0</v>
      </c>
      <c r="AM16" s="105">
        <f t="shared" si="2"/>
        <v>0</v>
      </c>
      <c r="AN16" s="105">
        <f t="shared" si="2"/>
        <v>0</v>
      </c>
      <c r="AO16" s="105">
        <f t="shared" si="2"/>
        <v>0</v>
      </c>
      <c r="AP16" s="105">
        <f t="shared" si="2"/>
        <v>0</v>
      </c>
      <c r="AQ16" s="105">
        <f t="shared" si="2"/>
        <v>0</v>
      </c>
      <c r="AR16" s="105">
        <f t="shared" si="2"/>
        <v>0</v>
      </c>
      <c r="AS16" s="105">
        <f t="shared" si="2"/>
        <v>0</v>
      </c>
      <c r="AT16" s="105">
        <f t="shared" si="2"/>
        <v>3445.3748399999999</v>
      </c>
      <c r="AU16" s="105">
        <f t="shared" si="2"/>
        <v>0</v>
      </c>
      <c r="AV16" s="105">
        <f t="shared" si="2"/>
        <v>0</v>
      </c>
      <c r="AW16" s="105">
        <f t="shared" si="2"/>
        <v>0</v>
      </c>
      <c r="AX16" s="105">
        <f t="shared" si="2"/>
        <v>0</v>
      </c>
      <c r="AY16" s="105">
        <f t="shared" si="2"/>
        <v>0</v>
      </c>
      <c r="AZ16" s="127"/>
    </row>
    <row r="17" spans="1:52">
      <c r="A17" s="124"/>
      <c r="B17" s="131" t="s">
        <v>295</v>
      </c>
      <c r="C17" s="124"/>
      <c r="D17" s="113">
        <f>IF(C$20="Yes",C16,0)</f>
        <v>0</v>
      </c>
      <c r="E17" s="113">
        <f t="shared" si="2"/>
        <v>0</v>
      </c>
      <c r="F17" s="113">
        <f t="shared" si="2"/>
        <v>0</v>
      </c>
      <c r="G17" s="113">
        <f t="shared" si="2"/>
        <v>0</v>
      </c>
      <c r="H17" s="113">
        <f t="shared" si="2"/>
        <v>0</v>
      </c>
      <c r="I17" s="113">
        <f t="shared" si="2"/>
        <v>0</v>
      </c>
      <c r="J17" s="113">
        <f t="shared" si="2"/>
        <v>0</v>
      </c>
      <c r="K17" s="113">
        <f t="shared" si="2"/>
        <v>0</v>
      </c>
      <c r="L17" s="113">
        <f t="shared" si="2"/>
        <v>0</v>
      </c>
      <c r="M17" s="113">
        <f t="shared" si="2"/>
        <v>0</v>
      </c>
      <c r="N17" s="113">
        <f t="shared" si="2"/>
        <v>0</v>
      </c>
      <c r="O17" s="113">
        <f t="shared" si="2"/>
        <v>0</v>
      </c>
      <c r="P17" s="113">
        <f t="shared" si="2"/>
        <v>0</v>
      </c>
      <c r="Q17" s="113">
        <f t="shared" si="2"/>
        <v>0</v>
      </c>
      <c r="R17" s="113">
        <f t="shared" si="2"/>
        <v>0</v>
      </c>
      <c r="S17" s="113">
        <f t="shared" si="2"/>
        <v>0</v>
      </c>
      <c r="T17" s="113">
        <f t="shared" si="2"/>
        <v>0</v>
      </c>
      <c r="U17" s="113">
        <f t="shared" si="2"/>
        <v>0</v>
      </c>
      <c r="V17" s="113">
        <f t="shared" si="2"/>
        <v>0</v>
      </c>
      <c r="W17" s="113">
        <f t="shared" si="2"/>
        <v>0</v>
      </c>
      <c r="X17" s="113">
        <f t="shared" si="2"/>
        <v>0</v>
      </c>
      <c r="Y17" s="113">
        <f t="shared" si="2"/>
        <v>0</v>
      </c>
      <c r="Z17" s="113">
        <f t="shared" si="2"/>
        <v>0</v>
      </c>
      <c r="AA17" s="113">
        <f t="shared" si="2"/>
        <v>0</v>
      </c>
      <c r="AB17" s="113">
        <f t="shared" si="2"/>
        <v>0</v>
      </c>
      <c r="AC17" s="113">
        <f t="shared" si="2"/>
        <v>0</v>
      </c>
      <c r="AD17" s="113">
        <f t="shared" si="2"/>
        <v>0</v>
      </c>
      <c r="AE17" s="113">
        <f t="shared" si="2"/>
        <v>0</v>
      </c>
      <c r="AF17" s="113">
        <f t="shared" si="2"/>
        <v>0</v>
      </c>
      <c r="AG17" s="113">
        <f t="shared" si="2"/>
        <v>0</v>
      </c>
      <c r="AH17" s="113">
        <f t="shared" si="2"/>
        <v>0</v>
      </c>
      <c r="AI17" s="113">
        <f t="shared" si="2"/>
        <v>0</v>
      </c>
      <c r="AJ17" s="113">
        <f t="shared" si="2"/>
        <v>0</v>
      </c>
      <c r="AK17" s="113">
        <f t="shared" si="2"/>
        <v>0</v>
      </c>
      <c r="AL17" s="113">
        <f t="shared" si="2"/>
        <v>0</v>
      </c>
      <c r="AM17" s="113">
        <f t="shared" si="2"/>
        <v>0</v>
      </c>
      <c r="AN17" s="113">
        <f t="shared" si="2"/>
        <v>0</v>
      </c>
      <c r="AO17" s="113">
        <f t="shared" si="2"/>
        <v>0</v>
      </c>
      <c r="AP17" s="113">
        <f t="shared" si="2"/>
        <v>0</v>
      </c>
      <c r="AQ17" s="113">
        <f t="shared" si="2"/>
        <v>0</v>
      </c>
      <c r="AR17" s="113">
        <f t="shared" si="2"/>
        <v>0</v>
      </c>
      <c r="AS17" s="113">
        <f t="shared" si="2"/>
        <v>0</v>
      </c>
      <c r="AT17" s="113">
        <f t="shared" si="2"/>
        <v>0</v>
      </c>
      <c r="AU17" s="113">
        <f t="shared" si="2"/>
        <v>0</v>
      </c>
      <c r="AV17" s="113">
        <f t="shared" si="2"/>
        <v>0</v>
      </c>
      <c r="AW17" s="113">
        <f t="shared" si="2"/>
        <v>0</v>
      </c>
      <c r="AX17" s="113">
        <f t="shared" si="2"/>
        <v>0</v>
      </c>
      <c r="AY17" s="113">
        <f t="shared" si="2"/>
        <v>0</v>
      </c>
      <c r="AZ17" s="150">
        <f>SUM($D$17:$AY$17)</f>
        <v>0</v>
      </c>
    </row>
    <row r="18" spans="1:52">
      <c r="A18" s="105"/>
      <c r="B18" s="152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7"/>
      <c r="S18" s="137"/>
      <c r="T18" s="137"/>
      <c r="U18" s="137"/>
      <c r="V18" s="137"/>
      <c r="W18" s="137"/>
      <c r="X18" s="137"/>
      <c r="Y18" s="137"/>
      <c r="Z18" s="137"/>
      <c r="AA18" s="137"/>
      <c r="AB18" s="137"/>
      <c r="AC18" s="137"/>
      <c r="AD18" s="137"/>
      <c r="AE18" s="137"/>
      <c r="AF18" s="137"/>
      <c r="AG18" s="137"/>
      <c r="AH18" s="137"/>
      <c r="AI18" s="137"/>
      <c r="AJ18" s="137"/>
      <c r="AK18" s="137"/>
      <c r="AL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05"/>
    </row>
    <row r="19" spans="1:52">
      <c r="A19" s="101" t="s">
        <v>116</v>
      </c>
      <c r="B19" s="105"/>
      <c r="C19" s="105"/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5"/>
      <c r="AI19" s="105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5"/>
    </row>
    <row r="20" spans="1:52" s="109" customFormat="1">
      <c r="A20" s="114" t="s">
        <v>304</v>
      </c>
      <c r="B20" s="153" t="s">
        <v>305</v>
      </c>
      <c r="C20" s="116"/>
      <c r="D20" s="116"/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116"/>
      <c r="AK20" s="116" t="s">
        <v>338</v>
      </c>
      <c r="AL20" s="116"/>
      <c r="AM20" s="116"/>
      <c r="AN20" s="116"/>
      <c r="AO20" s="116"/>
      <c r="AP20" s="116"/>
      <c r="AQ20" s="116" t="s">
        <v>338</v>
      </c>
      <c r="AR20" s="116" t="s">
        <v>338</v>
      </c>
      <c r="AS20" s="116" t="s">
        <v>338</v>
      </c>
      <c r="AT20" s="116"/>
      <c r="AU20" s="116"/>
      <c r="AV20" s="116"/>
      <c r="AW20" s="116"/>
      <c r="AX20" s="116"/>
      <c r="AY20" s="116"/>
      <c r="AZ20" s="106"/>
    </row>
    <row r="21" spans="1:52" s="109" customFormat="1">
      <c r="A21" s="154" t="s">
        <v>133</v>
      </c>
      <c r="B21" s="155">
        <f>shipping_manufacturing!$G$19/100</f>
        <v>0.59</v>
      </c>
      <c r="C21" s="155" t="s">
        <v>292</v>
      </c>
      <c r="D21" s="105">
        <f>IF(C$20="Yes",0,SUM(C$13:C$16)*$B$21)</f>
        <v>0</v>
      </c>
      <c r="E21" s="105">
        <f t="shared" ref="E21:AY21" si="3">IF(D$20="Yes",0,SUM(D$13:D$16)*$B$21)</f>
        <v>2117.4938339999999</v>
      </c>
      <c r="F21" s="105">
        <f t="shared" si="3"/>
        <v>2117.4938339999999</v>
      </c>
      <c r="G21" s="105">
        <f t="shared" si="3"/>
        <v>1903.5414039554835</v>
      </c>
      <c r="H21" s="105">
        <f t="shared" si="3"/>
        <v>2117.4938339999999</v>
      </c>
      <c r="I21" s="105">
        <f t="shared" si="3"/>
        <v>2117.4938339999999</v>
      </c>
      <c r="J21" s="105">
        <f t="shared" si="3"/>
        <v>2117.4938339999999</v>
      </c>
      <c r="K21" s="105">
        <f t="shared" si="3"/>
        <v>2117.4938339999999</v>
      </c>
      <c r="L21" s="105">
        <f t="shared" si="3"/>
        <v>2117.4938339999999</v>
      </c>
      <c r="M21" s="105">
        <f t="shared" si="3"/>
        <v>1948.2532294013286</v>
      </c>
      <c r="N21" s="105">
        <f t="shared" si="3"/>
        <v>2117.4938339999999</v>
      </c>
      <c r="O21" s="105">
        <f t="shared" si="3"/>
        <v>2117.4938339999999</v>
      </c>
      <c r="P21" s="105">
        <f t="shared" si="3"/>
        <v>2117.4938339999999</v>
      </c>
      <c r="Q21" s="105">
        <f t="shared" si="3"/>
        <v>2117.4938339999999</v>
      </c>
      <c r="R21" s="105">
        <f t="shared" si="3"/>
        <v>2117.4938339999999</v>
      </c>
      <c r="S21" s="105">
        <f t="shared" si="3"/>
        <v>2117.4938339999999</v>
      </c>
      <c r="T21" s="105">
        <f t="shared" si="3"/>
        <v>2117.4938339999999</v>
      </c>
      <c r="U21" s="105">
        <f t="shared" si="3"/>
        <v>2117.4938339999999</v>
      </c>
      <c r="V21" s="105">
        <f t="shared" si="3"/>
        <v>2117.4938339999999</v>
      </c>
      <c r="W21" s="105">
        <f t="shared" si="3"/>
        <v>2117.4938339999999</v>
      </c>
      <c r="X21" s="105">
        <f t="shared" si="3"/>
        <v>2117.4938339999999</v>
      </c>
      <c r="Y21" s="105">
        <f t="shared" si="3"/>
        <v>2117.4938339999999</v>
      </c>
      <c r="Z21" s="105">
        <f t="shared" si="3"/>
        <v>2117.4938339999999</v>
      </c>
      <c r="AA21" s="105">
        <f t="shared" si="3"/>
        <v>2117.4938339999999</v>
      </c>
      <c r="AB21" s="105">
        <f t="shared" si="3"/>
        <v>2117.4938339999999</v>
      </c>
      <c r="AC21" s="105">
        <f t="shared" si="3"/>
        <v>2117.4938339999999</v>
      </c>
      <c r="AD21" s="105">
        <f t="shared" si="3"/>
        <v>2117.4938339999999</v>
      </c>
      <c r="AE21" s="105">
        <f t="shared" si="3"/>
        <v>2117.4938339999999</v>
      </c>
      <c r="AF21" s="105">
        <f t="shared" si="3"/>
        <v>2117.4938339999999</v>
      </c>
      <c r="AG21" s="105">
        <f t="shared" si="3"/>
        <v>2117.5099999999998</v>
      </c>
      <c r="AH21" s="105">
        <f t="shared" si="3"/>
        <v>2117.5099999999998</v>
      </c>
      <c r="AI21" s="105">
        <f t="shared" si="3"/>
        <v>2117.5099999999998</v>
      </c>
      <c r="AJ21" s="105">
        <f t="shared" si="3"/>
        <v>2117.5099999999998</v>
      </c>
      <c r="AK21" s="105">
        <f t="shared" si="3"/>
        <v>2117.5099999999998</v>
      </c>
      <c r="AL21" s="105">
        <f t="shared" si="3"/>
        <v>0</v>
      </c>
      <c r="AM21" s="105">
        <f t="shared" si="3"/>
        <v>2117.5099999999998</v>
      </c>
      <c r="AN21" s="105">
        <f t="shared" si="3"/>
        <v>2117.5099999999998</v>
      </c>
      <c r="AO21" s="105">
        <f t="shared" si="3"/>
        <v>1949.000863209837</v>
      </c>
      <c r="AP21" s="105">
        <f t="shared" si="3"/>
        <v>1950.2475584984952</v>
      </c>
      <c r="AQ21" s="105">
        <f t="shared" si="3"/>
        <v>2032.7711555999999</v>
      </c>
      <c r="AR21" s="105">
        <f t="shared" si="3"/>
        <v>0</v>
      </c>
      <c r="AS21" s="105">
        <f t="shared" si="3"/>
        <v>0</v>
      </c>
      <c r="AT21" s="105">
        <f t="shared" si="3"/>
        <v>0</v>
      </c>
      <c r="AU21" s="105">
        <f t="shared" si="3"/>
        <v>2117.5100000000002</v>
      </c>
      <c r="AV21" s="105">
        <f t="shared" si="3"/>
        <v>2117.4938339999999</v>
      </c>
      <c r="AW21" s="105">
        <f t="shared" si="3"/>
        <v>2075.1898074000001</v>
      </c>
      <c r="AX21" s="105">
        <f t="shared" si="3"/>
        <v>2075.1898074000001</v>
      </c>
      <c r="AY21" s="105">
        <f t="shared" si="3"/>
        <v>2075.1898074000001</v>
      </c>
      <c r="AZ21" s="156">
        <f>SUM($D21:$AY21)</f>
        <v>90121.797150865154</v>
      </c>
    </row>
    <row r="22" spans="1:52" s="109" customFormat="1">
      <c r="A22" s="157" t="s">
        <v>123</v>
      </c>
      <c r="B22" s="158">
        <f>1-$B$21</f>
        <v>0.41000000000000003</v>
      </c>
      <c r="C22" s="158" t="s">
        <v>292</v>
      </c>
      <c r="D22" s="113">
        <f>IF(C$20="Yes",0,SUM(C$13:C$16)*$B$22)</f>
        <v>0</v>
      </c>
      <c r="E22" s="113">
        <f t="shared" ref="E22:AY22" si="4">IF(D$20="Yes",0,SUM(D$13:D$16)*$B$22)</f>
        <v>1471.4787660000002</v>
      </c>
      <c r="F22" s="113">
        <f t="shared" si="4"/>
        <v>1471.4787660000002</v>
      </c>
      <c r="G22" s="113">
        <f t="shared" si="4"/>
        <v>1322.7999586809292</v>
      </c>
      <c r="H22" s="113">
        <f t="shared" si="4"/>
        <v>1471.4787660000002</v>
      </c>
      <c r="I22" s="113">
        <f t="shared" si="4"/>
        <v>1471.4787660000002</v>
      </c>
      <c r="J22" s="113">
        <f t="shared" si="4"/>
        <v>1471.4787660000002</v>
      </c>
      <c r="K22" s="113">
        <f t="shared" si="4"/>
        <v>1471.4787660000002</v>
      </c>
      <c r="L22" s="113">
        <f t="shared" si="4"/>
        <v>1471.4787660000002</v>
      </c>
      <c r="M22" s="113">
        <f t="shared" si="4"/>
        <v>1353.8708882280421</v>
      </c>
      <c r="N22" s="113">
        <f t="shared" si="4"/>
        <v>1471.4787660000002</v>
      </c>
      <c r="O22" s="113">
        <f t="shared" si="4"/>
        <v>1471.4787660000002</v>
      </c>
      <c r="P22" s="113">
        <f t="shared" si="4"/>
        <v>1471.4787660000002</v>
      </c>
      <c r="Q22" s="113">
        <f t="shared" si="4"/>
        <v>1471.4787660000002</v>
      </c>
      <c r="R22" s="113">
        <f t="shared" si="4"/>
        <v>1471.4787660000002</v>
      </c>
      <c r="S22" s="113">
        <f t="shared" si="4"/>
        <v>1471.4787660000002</v>
      </c>
      <c r="T22" s="113">
        <f t="shared" si="4"/>
        <v>1471.4787660000002</v>
      </c>
      <c r="U22" s="113">
        <f t="shared" si="4"/>
        <v>1471.4787660000002</v>
      </c>
      <c r="V22" s="113">
        <f t="shared" si="4"/>
        <v>1471.4787660000002</v>
      </c>
      <c r="W22" s="113">
        <f t="shared" si="4"/>
        <v>1471.4787660000002</v>
      </c>
      <c r="X22" s="113">
        <f t="shared" si="4"/>
        <v>1471.4787660000002</v>
      </c>
      <c r="Y22" s="113">
        <f t="shared" si="4"/>
        <v>1471.4787660000002</v>
      </c>
      <c r="Z22" s="113">
        <f t="shared" si="4"/>
        <v>1471.4787660000002</v>
      </c>
      <c r="AA22" s="113">
        <f t="shared" si="4"/>
        <v>1471.4787660000002</v>
      </c>
      <c r="AB22" s="113">
        <f t="shared" si="4"/>
        <v>1471.4787660000002</v>
      </c>
      <c r="AC22" s="113">
        <f t="shared" si="4"/>
        <v>1471.4787660000002</v>
      </c>
      <c r="AD22" s="113">
        <f t="shared" si="4"/>
        <v>1471.4787660000002</v>
      </c>
      <c r="AE22" s="113">
        <f t="shared" si="4"/>
        <v>1471.4787660000002</v>
      </c>
      <c r="AF22" s="113">
        <f t="shared" si="4"/>
        <v>1471.4787660000002</v>
      </c>
      <c r="AG22" s="113">
        <f t="shared" si="4"/>
        <v>1471.49</v>
      </c>
      <c r="AH22" s="113">
        <f t="shared" si="4"/>
        <v>1471.49</v>
      </c>
      <c r="AI22" s="113">
        <f t="shared" si="4"/>
        <v>1471.49</v>
      </c>
      <c r="AJ22" s="113">
        <f t="shared" si="4"/>
        <v>1471.49</v>
      </c>
      <c r="AK22" s="113">
        <f t="shared" si="4"/>
        <v>1471.49</v>
      </c>
      <c r="AL22" s="113">
        <f t="shared" si="4"/>
        <v>0</v>
      </c>
      <c r="AM22" s="113">
        <f t="shared" si="4"/>
        <v>1471.49</v>
      </c>
      <c r="AN22" s="113">
        <f t="shared" si="4"/>
        <v>1471.49</v>
      </c>
      <c r="AO22" s="113">
        <f t="shared" si="4"/>
        <v>1354.3904303661579</v>
      </c>
      <c r="AP22" s="113">
        <f t="shared" si="4"/>
        <v>1355.2567779396325</v>
      </c>
      <c r="AQ22" s="113">
        <f t="shared" si="4"/>
        <v>1412.6036844</v>
      </c>
      <c r="AR22" s="113">
        <f t="shared" si="4"/>
        <v>0</v>
      </c>
      <c r="AS22" s="113">
        <f t="shared" si="4"/>
        <v>0</v>
      </c>
      <c r="AT22" s="113">
        <f t="shared" si="4"/>
        <v>0</v>
      </c>
      <c r="AU22" s="113">
        <f t="shared" si="4"/>
        <v>1471.4900000000002</v>
      </c>
      <c r="AV22" s="113">
        <f t="shared" si="4"/>
        <v>1471.4787660000002</v>
      </c>
      <c r="AW22" s="113">
        <f t="shared" si="4"/>
        <v>1442.0810526000002</v>
      </c>
      <c r="AX22" s="113">
        <f t="shared" si="4"/>
        <v>1442.0810526000002</v>
      </c>
      <c r="AY22" s="113">
        <f t="shared" si="4"/>
        <v>1442.0810526000002</v>
      </c>
      <c r="AZ22" s="140">
        <f t="shared" ref="AZ22:AZ30" si="5">SUM($D22:$AY22)</f>
        <v>62627.011579414742</v>
      </c>
    </row>
    <row r="23" spans="1:52">
      <c r="A23" s="159" t="s">
        <v>306</v>
      </c>
      <c r="B23" s="123">
        <v>2000</v>
      </c>
      <c r="C23" s="99" t="s">
        <v>292</v>
      </c>
      <c r="D23" s="99">
        <f>D$21*$B$23</f>
        <v>0</v>
      </c>
      <c r="E23" s="99">
        <f t="shared" ref="E23:AY23" si="6">E$21*$B$23</f>
        <v>4234987.6679999996</v>
      </c>
      <c r="F23" s="99">
        <f t="shared" si="6"/>
        <v>4234987.6679999996</v>
      </c>
      <c r="G23" s="99">
        <f t="shared" si="6"/>
        <v>3807082.8079109672</v>
      </c>
      <c r="H23" s="99">
        <f t="shared" si="6"/>
        <v>4234987.6679999996</v>
      </c>
      <c r="I23" s="99">
        <f t="shared" si="6"/>
        <v>4234987.6679999996</v>
      </c>
      <c r="J23" s="99">
        <f t="shared" si="6"/>
        <v>4234987.6679999996</v>
      </c>
      <c r="K23" s="99">
        <f t="shared" si="6"/>
        <v>4234987.6679999996</v>
      </c>
      <c r="L23" s="99">
        <f t="shared" si="6"/>
        <v>4234987.6679999996</v>
      </c>
      <c r="M23" s="99">
        <f t="shared" si="6"/>
        <v>3896506.4588026572</v>
      </c>
      <c r="N23" s="99">
        <f t="shared" si="6"/>
        <v>4234987.6679999996</v>
      </c>
      <c r="O23" s="99">
        <f t="shared" si="6"/>
        <v>4234987.6679999996</v>
      </c>
      <c r="P23" s="99">
        <f t="shared" si="6"/>
        <v>4234987.6679999996</v>
      </c>
      <c r="Q23" s="99">
        <f t="shared" si="6"/>
        <v>4234987.6679999996</v>
      </c>
      <c r="R23" s="99">
        <f t="shared" si="6"/>
        <v>4234987.6679999996</v>
      </c>
      <c r="S23" s="99">
        <f t="shared" si="6"/>
        <v>4234987.6679999996</v>
      </c>
      <c r="T23" s="99">
        <f t="shared" si="6"/>
        <v>4234987.6679999996</v>
      </c>
      <c r="U23" s="99">
        <f t="shared" si="6"/>
        <v>4234987.6679999996</v>
      </c>
      <c r="V23" s="99">
        <f t="shared" si="6"/>
        <v>4234987.6679999996</v>
      </c>
      <c r="W23" s="99">
        <f t="shared" si="6"/>
        <v>4234987.6679999996</v>
      </c>
      <c r="X23" s="99">
        <f t="shared" si="6"/>
        <v>4234987.6679999996</v>
      </c>
      <c r="Y23" s="99">
        <f t="shared" si="6"/>
        <v>4234987.6679999996</v>
      </c>
      <c r="Z23" s="99">
        <f t="shared" si="6"/>
        <v>4234987.6679999996</v>
      </c>
      <c r="AA23" s="99">
        <f t="shared" si="6"/>
        <v>4234987.6679999996</v>
      </c>
      <c r="AB23" s="99">
        <f t="shared" si="6"/>
        <v>4234987.6679999996</v>
      </c>
      <c r="AC23" s="99">
        <f t="shared" si="6"/>
        <v>4234987.6679999996</v>
      </c>
      <c r="AD23" s="99">
        <f t="shared" si="6"/>
        <v>4234987.6679999996</v>
      </c>
      <c r="AE23" s="99">
        <f t="shared" si="6"/>
        <v>4234987.6679999996</v>
      </c>
      <c r="AF23" s="99">
        <f t="shared" si="6"/>
        <v>4234987.6679999996</v>
      </c>
      <c r="AG23" s="99">
        <f t="shared" si="6"/>
        <v>4235019.9999999991</v>
      </c>
      <c r="AH23" s="99">
        <f t="shared" si="6"/>
        <v>4235019.9999999991</v>
      </c>
      <c r="AI23" s="99">
        <f t="shared" si="6"/>
        <v>4235019.9999999991</v>
      </c>
      <c r="AJ23" s="99">
        <f t="shared" si="6"/>
        <v>4235019.9999999991</v>
      </c>
      <c r="AK23" s="99">
        <f t="shared" si="6"/>
        <v>4235019.9999999991</v>
      </c>
      <c r="AL23" s="99">
        <f t="shared" si="6"/>
        <v>0</v>
      </c>
      <c r="AM23" s="99">
        <f t="shared" si="6"/>
        <v>4235019.9999999991</v>
      </c>
      <c r="AN23" s="99">
        <f t="shared" si="6"/>
        <v>4235019.9999999991</v>
      </c>
      <c r="AO23" s="99">
        <f t="shared" si="6"/>
        <v>3898001.7264196742</v>
      </c>
      <c r="AP23" s="99">
        <f t="shared" si="6"/>
        <v>3900495.1169969905</v>
      </c>
      <c r="AQ23" s="99">
        <f t="shared" si="6"/>
        <v>4065542.3111999999</v>
      </c>
      <c r="AR23" s="99">
        <f t="shared" si="6"/>
        <v>0</v>
      </c>
      <c r="AS23" s="99">
        <f t="shared" si="6"/>
        <v>0</v>
      </c>
      <c r="AT23" s="99">
        <f t="shared" si="6"/>
        <v>0</v>
      </c>
      <c r="AU23" s="99">
        <f t="shared" si="6"/>
        <v>4235020</v>
      </c>
      <c r="AV23" s="99">
        <f t="shared" si="6"/>
        <v>4234987.6679999996</v>
      </c>
      <c r="AW23" s="99">
        <f t="shared" si="6"/>
        <v>4150379.6148000001</v>
      </c>
      <c r="AX23" s="99">
        <f t="shared" si="6"/>
        <v>4150379.6148000001</v>
      </c>
      <c r="AY23" s="99">
        <f t="shared" si="6"/>
        <v>4150379.6148000001</v>
      </c>
      <c r="AZ23" s="138">
        <f t="shared" si="5"/>
        <v>180243594.30173028</v>
      </c>
    </row>
    <row r="24" spans="1:52" s="109" customFormat="1">
      <c r="A24" s="160" t="s">
        <v>307</v>
      </c>
      <c r="B24" s="161">
        <v>1000</v>
      </c>
      <c r="C24" s="155" t="s">
        <v>292</v>
      </c>
      <c r="D24" s="105">
        <f>D$22*$B$24</f>
        <v>0</v>
      </c>
      <c r="E24" s="105">
        <f t="shared" ref="E24:AY24" si="7">E$22*$B$24</f>
        <v>1471478.7660000003</v>
      </c>
      <c r="F24" s="105">
        <f t="shared" si="7"/>
        <v>1471478.7660000003</v>
      </c>
      <c r="G24" s="105">
        <f t="shared" si="7"/>
        <v>1322799.9586809292</v>
      </c>
      <c r="H24" s="105">
        <f t="shared" si="7"/>
        <v>1471478.7660000003</v>
      </c>
      <c r="I24" s="105">
        <f t="shared" si="7"/>
        <v>1471478.7660000003</v>
      </c>
      <c r="J24" s="105">
        <f t="shared" si="7"/>
        <v>1471478.7660000003</v>
      </c>
      <c r="K24" s="105">
        <f t="shared" si="7"/>
        <v>1471478.7660000003</v>
      </c>
      <c r="L24" s="105">
        <f t="shared" si="7"/>
        <v>1471478.7660000003</v>
      </c>
      <c r="M24" s="105">
        <f t="shared" si="7"/>
        <v>1353870.8882280421</v>
      </c>
      <c r="N24" s="105">
        <f t="shared" si="7"/>
        <v>1471478.7660000003</v>
      </c>
      <c r="O24" s="105">
        <f t="shared" si="7"/>
        <v>1471478.7660000003</v>
      </c>
      <c r="P24" s="105">
        <f t="shared" si="7"/>
        <v>1471478.7660000003</v>
      </c>
      <c r="Q24" s="105">
        <f t="shared" si="7"/>
        <v>1471478.7660000003</v>
      </c>
      <c r="R24" s="105">
        <f t="shared" si="7"/>
        <v>1471478.7660000003</v>
      </c>
      <c r="S24" s="105">
        <f t="shared" si="7"/>
        <v>1471478.7660000003</v>
      </c>
      <c r="T24" s="105">
        <f t="shared" si="7"/>
        <v>1471478.7660000003</v>
      </c>
      <c r="U24" s="105">
        <f t="shared" si="7"/>
        <v>1471478.7660000003</v>
      </c>
      <c r="V24" s="105">
        <f t="shared" si="7"/>
        <v>1471478.7660000003</v>
      </c>
      <c r="W24" s="105">
        <f t="shared" si="7"/>
        <v>1471478.7660000003</v>
      </c>
      <c r="X24" s="105">
        <f t="shared" si="7"/>
        <v>1471478.7660000003</v>
      </c>
      <c r="Y24" s="105">
        <f t="shared" si="7"/>
        <v>1471478.7660000003</v>
      </c>
      <c r="Z24" s="105">
        <f t="shared" si="7"/>
        <v>1471478.7660000003</v>
      </c>
      <c r="AA24" s="105">
        <f t="shared" si="7"/>
        <v>1471478.7660000003</v>
      </c>
      <c r="AB24" s="105">
        <f t="shared" si="7"/>
        <v>1471478.7660000003</v>
      </c>
      <c r="AC24" s="105">
        <f t="shared" si="7"/>
        <v>1471478.7660000003</v>
      </c>
      <c r="AD24" s="105">
        <f t="shared" si="7"/>
        <v>1471478.7660000003</v>
      </c>
      <c r="AE24" s="105">
        <f t="shared" si="7"/>
        <v>1471478.7660000003</v>
      </c>
      <c r="AF24" s="105">
        <f t="shared" si="7"/>
        <v>1471478.7660000003</v>
      </c>
      <c r="AG24" s="105">
        <f t="shared" si="7"/>
        <v>1471490</v>
      </c>
      <c r="AH24" s="105">
        <f t="shared" si="7"/>
        <v>1471490</v>
      </c>
      <c r="AI24" s="105">
        <f t="shared" si="7"/>
        <v>1471490</v>
      </c>
      <c r="AJ24" s="105">
        <f t="shared" si="7"/>
        <v>1471490</v>
      </c>
      <c r="AK24" s="105">
        <f t="shared" si="7"/>
        <v>1471490</v>
      </c>
      <c r="AL24" s="105">
        <f t="shared" si="7"/>
        <v>0</v>
      </c>
      <c r="AM24" s="105">
        <f t="shared" si="7"/>
        <v>1471490</v>
      </c>
      <c r="AN24" s="105">
        <f t="shared" si="7"/>
        <v>1471490</v>
      </c>
      <c r="AO24" s="105">
        <f t="shared" si="7"/>
        <v>1354390.430366158</v>
      </c>
      <c r="AP24" s="105">
        <f t="shared" si="7"/>
        <v>1355256.7779396325</v>
      </c>
      <c r="AQ24" s="105">
        <f t="shared" si="7"/>
        <v>1412603.6843999999</v>
      </c>
      <c r="AR24" s="105">
        <f t="shared" si="7"/>
        <v>0</v>
      </c>
      <c r="AS24" s="105">
        <f t="shared" si="7"/>
        <v>0</v>
      </c>
      <c r="AT24" s="105">
        <f t="shared" si="7"/>
        <v>0</v>
      </c>
      <c r="AU24" s="105">
        <f t="shared" si="7"/>
        <v>1471490.0000000002</v>
      </c>
      <c r="AV24" s="105">
        <f t="shared" si="7"/>
        <v>1471478.7660000003</v>
      </c>
      <c r="AW24" s="105">
        <f t="shared" si="7"/>
        <v>1442081.0526000003</v>
      </c>
      <c r="AX24" s="105">
        <f t="shared" si="7"/>
        <v>1442081.0526000003</v>
      </c>
      <c r="AY24" s="105">
        <f t="shared" si="7"/>
        <v>1442081.0526000003</v>
      </c>
      <c r="AZ24" s="140">
        <f t="shared" si="5"/>
        <v>62627011.579414785</v>
      </c>
    </row>
    <row r="25" spans="1:52"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05"/>
    </row>
    <row r="26" spans="1:52">
      <c r="A26" s="162" t="s">
        <v>18</v>
      </c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</row>
    <row r="27" spans="1:52">
      <c r="B27" s="134" t="s">
        <v>308</v>
      </c>
      <c r="C27" s="123">
        <v>53</v>
      </c>
      <c r="D27" s="123">
        <f>C$27-C$28+C$29</f>
        <v>53</v>
      </c>
      <c r="E27" s="123">
        <f t="shared" ref="E27:AY27" si="8">D27-D28+D29</f>
        <v>53</v>
      </c>
      <c r="F27" s="123">
        <f t="shared" si="8"/>
        <v>0</v>
      </c>
      <c r="G27" s="123">
        <f t="shared" si="8"/>
        <v>53</v>
      </c>
      <c r="H27" s="123">
        <f t="shared" si="8"/>
        <v>0</v>
      </c>
      <c r="I27" s="123">
        <f t="shared" si="8"/>
        <v>53</v>
      </c>
      <c r="J27" s="123">
        <f t="shared" si="8"/>
        <v>0</v>
      </c>
      <c r="K27" s="123">
        <f t="shared" si="8"/>
        <v>53</v>
      </c>
      <c r="L27" s="123">
        <f t="shared" si="8"/>
        <v>0</v>
      </c>
      <c r="M27" s="123">
        <f t="shared" si="8"/>
        <v>53</v>
      </c>
      <c r="N27" s="123">
        <f t="shared" si="8"/>
        <v>0</v>
      </c>
      <c r="O27" s="123">
        <f t="shared" si="8"/>
        <v>53</v>
      </c>
      <c r="P27" s="123">
        <f t="shared" si="8"/>
        <v>0</v>
      </c>
      <c r="Q27" s="123">
        <f t="shared" si="8"/>
        <v>53</v>
      </c>
      <c r="R27" s="123">
        <f t="shared" si="8"/>
        <v>0</v>
      </c>
      <c r="S27" s="123">
        <f t="shared" si="8"/>
        <v>53</v>
      </c>
      <c r="T27" s="123">
        <f t="shared" si="8"/>
        <v>0</v>
      </c>
      <c r="U27" s="123">
        <f t="shared" si="8"/>
        <v>53</v>
      </c>
      <c r="V27" s="123">
        <f t="shared" si="8"/>
        <v>0</v>
      </c>
      <c r="W27" s="123">
        <f t="shared" si="8"/>
        <v>53</v>
      </c>
      <c r="X27" s="123">
        <f t="shared" si="8"/>
        <v>0</v>
      </c>
      <c r="Y27" s="123">
        <f t="shared" si="8"/>
        <v>53</v>
      </c>
      <c r="Z27" s="123">
        <f t="shared" si="8"/>
        <v>0</v>
      </c>
      <c r="AA27" s="123">
        <f t="shared" si="8"/>
        <v>53</v>
      </c>
      <c r="AB27" s="123">
        <f t="shared" si="8"/>
        <v>0</v>
      </c>
      <c r="AC27" s="123">
        <f t="shared" si="8"/>
        <v>53</v>
      </c>
      <c r="AD27" s="123">
        <f t="shared" si="8"/>
        <v>0</v>
      </c>
      <c r="AE27" s="123">
        <f t="shared" si="8"/>
        <v>53</v>
      </c>
      <c r="AF27" s="123">
        <f t="shared" si="8"/>
        <v>0</v>
      </c>
      <c r="AG27" s="123">
        <f t="shared" si="8"/>
        <v>53</v>
      </c>
      <c r="AH27" s="123">
        <f t="shared" si="8"/>
        <v>0</v>
      </c>
      <c r="AI27" s="123">
        <f t="shared" si="8"/>
        <v>53</v>
      </c>
      <c r="AJ27" s="123">
        <f t="shared" si="8"/>
        <v>0</v>
      </c>
      <c r="AK27" s="123">
        <f t="shared" si="8"/>
        <v>53</v>
      </c>
      <c r="AL27" s="123">
        <f t="shared" si="8"/>
        <v>0</v>
      </c>
      <c r="AM27" s="123">
        <f t="shared" si="8"/>
        <v>53</v>
      </c>
      <c r="AN27" s="123">
        <f t="shared" si="8"/>
        <v>0</v>
      </c>
      <c r="AO27" s="123">
        <f t="shared" si="8"/>
        <v>53</v>
      </c>
      <c r="AP27" s="123">
        <f t="shared" si="8"/>
        <v>0</v>
      </c>
      <c r="AQ27" s="123">
        <f t="shared" si="8"/>
        <v>53</v>
      </c>
      <c r="AR27" s="123">
        <f t="shared" si="8"/>
        <v>0</v>
      </c>
      <c r="AS27" s="123">
        <f t="shared" si="8"/>
        <v>53</v>
      </c>
      <c r="AT27" s="123">
        <f t="shared" si="8"/>
        <v>53</v>
      </c>
      <c r="AU27" s="123">
        <f t="shared" si="8"/>
        <v>53</v>
      </c>
      <c r="AV27" s="123">
        <f t="shared" si="8"/>
        <v>0</v>
      </c>
      <c r="AW27" s="123">
        <f t="shared" si="8"/>
        <v>53</v>
      </c>
      <c r="AX27" s="123">
        <f t="shared" si="8"/>
        <v>0</v>
      </c>
      <c r="AY27" s="163">
        <f t="shared" si="8"/>
        <v>53</v>
      </c>
      <c r="AZ27" s="105"/>
    </row>
    <row r="28" spans="1:52">
      <c r="B28" s="164" t="s">
        <v>309</v>
      </c>
      <c r="C28" s="109"/>
      <c r="D28" s="109">
        <v>0</v>
      </c>
      <c r="E28" s="109">
        <v>53</v>
      </c>
      <c r="F28" s="109">
        <v>0</v>
      </c>
      <c r="G28" s="109">
        <v>53</v>
      </c>
      <c r="H28" s="109">
        <v>0</v>
      </c>
      <c r="I28" s="109">
        <v>53</v>
      </c>
      <c r="J28" s="109">
        <v>0</v>
      </c>
      <c r="K28" s="109">
        <v>53</v>
      </c>
      <c r="L28" s="109">
        <v>0</v>
      </c>
      <c r="M28" s="109">
        <v>53</v>
      </c>
      <c r="N28" s="109">
        <v>0</v>
      </c>
      <c r="O28" s="109">
        <v>53</v>
      </c>
      <c r="P28" s="109">
        <v>0</v>
      </c>
      <c r="Q28" s="109">
        <v>53</v>
      </c>
      <c r="R28" s="109">
        <v>0</v>
      </c>
      <c r="S28" s="109">
        <v>53</v>
      </c>
      <c r="T28" s="109">
        <v>0</v>
      </c>
      <c r="U28" s="109">
        <v>53</v>
      </c>
      <c r="V28" s="109">
        <v>0</v>
      </c>
      <c r="W28" s="109">
        <v>53</v>
      </c>
      <c r="X28" s="109">
        <v>0</v>
      </c>
      <c r="Y28" s="109">
        <v>53</v>
      </c>
      <c r="Z28" s="109">
        <v>0</v>
      </c>
      <c r="AA28" s="109">
        <v>53</v>
      </c>
      <c r="AB28" s="109">
        <v>0</v>
      </c>
      <c r="AC28" s="109">
        <v>53</v>
      </c>
      <c r="AD28" s="109">
        <v>0</v>
      </c>
      <c r="AE28" s="109">
        <v>53</v>
      </c>
      <c r="AF28" s="109">
        <v>0</v>
      </c>
      <c r="AG28" s="109">
        <v>53</v>
      </c>
      <c r="AH28" s="109">
        <v>0</v>
      </c>
      <c r="AI28" s="109">
        <v>53</v>
      </c>
      <c r="AJ28" s="109">
        <v>0</v>
      </c>
      <c r="AK28" s="109">
        <v>53</v>
      </c>
      <c r="AL28" s="109">
        <v>0</v>
      </c>
      <c r="AM28" s="109">
        <v>53</v>
      </c>
      <c r="AN28" s="109">
        <v>0</v>
      </c>
      <c r="AO28" s="109">
        <v>53</v>
      </c>
      <c r="AP28" s="109">
        <v>0</v>
      </c>
      <c r="AQ28" s="109">
        <v>53</v>
      </c>
      <c r="AR28" s="109">
        <v>0</v>
      </c>
      <c r="AS28" s="109">
        <v>0</v>
      </c>
      <c r="AT28" s="109">
        <v>0</v>
      </c>
      <c r="AU28" s="109">
        <v>53</v>
      </c>
      <c r="AV28" s="109">
        <v>0</v>
      </c>
      <c r="AW28" s="109">
        <v>53</v>
      </c>
      <c r="AX28" s="109">
        <v>0</v>
      </c>
      <c r="AY28" s="165">
        <v>53</v>
      </c>
      <c r="AZ28" s="105"/>
    </row>
    <row r="29" spans="1:52">
      <c r="B29" s="135" t="s">
        <v>310</v>
      </c>
      <c r="C29" s="124"/>
      <c r="D29" s="124">
        <f>C$28</f>
        <v>0</v>
      </c>
      <c r="E29" s="124">
        <f t="shared" ref="E29:AY29" si="9">D$28</f>
        <v>0</v>
      </c>
      <c r="F29" s="124">
        <f t="shared" si="9"/>
        <v>53</v>
      </c>
      <c r="G29" s="124">
        <f t="shared" si="9"/>
        <v>0</v>
      </c>
      <c r="H29" s="124">
        <f t="shared" si="9"/>
        <v>53</v>
      </c>
      <c r="I29" s="124">
        <f t="shared" si="9"/>
        <v>0</v>
      </c>
      <c r="J29" s="124">
        <f t="shared" si="9"/>
        <v>53</v>
      </c>
      <c r="K29" s="124">
        <f t="shared" si="9"/>
        <v>0</v>
      </c>
      <c r="L29" s="124">
        <f t="shared" si="9"/>
        <v>53</v>
      </c>
      <c r="M29" s="124">
        <f t="shared" si="9"/>
        <v>0</v>
      </c>
      <c r="N29" s="124">
        <f t="shared" si="9"/>
        <v>53</v>
      </c>
      <c r="O29" s="124">
        <f t="shared" si="9"/>
        <v>0</v>
      </c>
      <c r="P29" s="124">
        <f t="shared" si="9"/>
        <v>53</v>
      </c>
      <c r="Q29" s="124">
        <f t="shared" si="9"/>
        <v>0</v>
      </c>
      <c r="R29" s="124">
        <f t="shared" si="9"/>
        <v>53</v>
      </c>
      <c r="S29" s="124">
        <f t="shared" si="9"/>
        <v>0</v>
      </c>
      <c r="T29" s="124">
        <f t="shared" si="9"/>
        <v>53</v>
      </c>
      <c r="U29" s="124">
        <f t="shared" si="9"/>
        <v>0</v>
      </c>
      <c r="V29" s="124">
        <f t="shared" si="9"/>
        <v>53</v>
      </c>
      <c r="W29" s="124">
        <f t="shared" si="9"/>
        <v>0</v>
      </c>
      <c r="X29" s="124">
        <f t="shared" si="9"/>
        <v>53</v>
      </c>
      <c r="Y29" s="124">
        <f t="shared" si="9"/>
        <v>0</v>
      </c>
      <c r="Z29" s="124">
        <f t="shared" si="9"/>
        <v>53</v>
      </c>
      <c r="AA29" s="124">
        <f t="shared" si="9"/>
        <v>0</v>
      </c>
      <c r="AB29" s="124">
        <f t="shared" si="9"/>
        <v>53</v>
      </c>
      <c r="AC29" s="124">
        <f t="shared" si="9"/>
        <v>0</v>
      </c>
      <c r="AD29" s="124">
        <f t="shared" si="9"/>
        <v>53</v>
      </c>
      <c r="AE29" s="124">
        <f t="shared" si="9"/>
        <v>0</v>
      </c>
      <c r="AF29" s="124">
        <f t="shared" si="9"/>
        <v>53</v>
      </c>
      <c r="AG29" s="124">
        <f t="shared" si="9"/>
        <v>0</v>
      </c>
      <c r="AH29" s="124">
        <f t="shared" si="9"/>
        <v>53</v>
      </c>
      <c r="AI29" s="124">
        <f t="shared" si="9"/>
        <v>0</v>
      </c>
      <c r="AJ29" s="124">
        <f t="shared" si="9"/>
        <v>53</v>
      </c>
      <c r="AK29" s="124">
        <f t="shared" si="9"/>
        <v>0</v>
      </c>
      <c r="AL29" s="124">
        <f t="shared" si="9"/>
        <v>53</v>
      </c>
      <c r="AM29" s="124">
        <f t="shared" si="9"/>
        <v>0</v>
      </c>
      <c r="AN29" s="124">
        <f t="shared" si="9"/>
        <v>53</v>
      </c>
      <c r="AO29" s="124">
        <f t="shared" si="9"/>
        <v>0</v>
      </c>
      <c r="AP29" s="124">
        <f t="shared" si="9"/>
        <v>53</v>
      </c>
      <c r="AQ29" s="124">
        <f t="shared" si="9"/>
        <v>0</v>
      </c>
      <c r="AR29" s="124">
        <f t="shared" si="9"/>
        <v>53</v>
      </c>
      <c r="AS29" s="124">
        <f t="shared" si="9"/>
        <v>0</v>
      </c>
      <c r="AT29" s="124">
        <f t="shared" si="9"/>
        <v>0</v>
      </c>
      <c r="AU29" s="124">
        <f t="shared" si="9"/>
        <v>0</v>
      </c>
      <c r="AV29" s="124">
        <f t="shared" si="9"/>
        <v>53</v>
      </c>
      <c r="AW29" s="124">
        <f t="shared" si="9"/>
        <v>0</v>
      </c>
      <c r="AX29" s="124">
        <f t="shared" si="9"/>
        <v>53</v>
      </c>
      <c r="AY29" s="166">
        <f t="shared" si="9"/>
        <v>0</v>
      </c>
      <c r="AZ29" s="167"/>
    </row>
    <row r="30" spans="1:52">
      <c r="A30" s="168" t="s">
        <v>311</v>
      </c>
      <c r="B30" s="143">
        <v>10</v>
      </c>
      <c r="C30" s="116" t="s">
        <v>292</v>
      </c>
      <c r="D30" s="116">
        <f>D$27*$B$30</f>
        <v>530</v>
      </c>
      <c r="E30" s="116">
        <f t="shared" ref="E30:AY30" si="10">E$27*$B$30</f>
        <v>530</v>
      </c>
      <c r="F30" s="116">
        <f t="shared" si="10"/>
        <v>0</v>
      </c>
      <c r="G30" s="116">
        <f t="shared" si="10"/>
        <v>530</v>
      </c>
      <c r="H30" s="116">
        <f t="shared" si="10"/>
        <v>0</v>
      </c>
      <c r="I30" s="116">
        <f t="shared" si="10"/>
        <v>530</v>
      </c>
      <c r="J30" s="116">
        <f t="shared" si="10"/>
        <v>0</v>
      </c>
      <c r="K30" s="116">
        <f t="shared" si="10"/>
        <v>530</v>
      </c>
      <c r="L30" s="116">
        <f t="shared" si="10"/>
        <v>0</v>
      </c>
      <c r="M30" s="116">
        <f t="shared" si="10"/>
        <v>530</v>
      </c>
      <c r="N30" s="116">
        <f t="shared" si="10"/>
        <v>0</v>
      </c>
      <c r="O30" s="116">
        <f t="shared" si="10"/>
        <v>530</v>
      </c>
      <c r="P30" s="116">
        <f t="shared" si="10"/>
        <v>0</v>
      </c>
      <c r="Q30" s="116">
        <f t="shared" si="10"/>
        <v>530</v>
      </c>
      <c r="R30" s="116">
        <f>R$27*$B$30</f>
        <v>0</v>
      </c>
      <c r="S30" s="116">
        <f t="shared" si="10"/>
        <v>530</v>
      </c>
      <c r="T30" s="116">
        <f t="shared" si="10"/>
        <v>0</v>
      </c>
      <c r="U30" s="116">
        <f t="shared" si="10"/>
        <v>530</v>
      </c>
      <c r="V30" s="116">
        <f t="shared" si="10"/>
        <v>0</v>
      </c>
      <c r="W30" s="116">
        <f t="shared" si="10"/>
        <v>530</v>
      </c>
      <c r="X30" s="116">
        <f t="shared" si="10"/>
        <v>0</v>
      </c>
      <c r="Y30" s="116">
        <f t="shared" si="10"/>
        <v>530</v>
      </c>
      <c r="Z30" s="116">
        <f t="shared" si="10"/>
        <v>0</v>
      </c>
      <c r="AA30" s="116">
        <f t="shared" si="10"/>
        <v>530</v>
      </c>
      <c r="AB30" s="116">
        <f t="shared" si="10"/>
        <v>0</v>
      </c>
      <c r="AC30" s="116">
        <f t="shared" si="10"/>
        <v>530</v>
      </c>
      <c r="AD30" s="116">
        <f t="shared" si="10"/>
        <v>0</v>
      </c>
      <c r="AE30" s="116">
        <f>AE$27*$B$30</f>
        <v>530</v>
      </c>
      <c r="AF30" s="116">
        <f t="shared" si="10"/>
        <v>0</v>
      </c>
      <c r="AG30" s="116">
        <f t="shared" si="10"/>
        <v>530</v>
      </c>
      <c r="AH30" s="116">
        <f t="shared" si="10"/>
        <v>0</v>
      </c>
      <c r="AI30" s="116">
        <f t="shared" si="10"/>
        <v>530</v>
      </c>
      <c r="AJ30" s="116">
        <f t="shared" si="10"/>
        <v>0</v>
      </c>
      <c r="AK30" s="116">
        <f t="shared" si="10"/>
        <v>530</v>
      </c>
      <c r="AL30" s="116">
        <f t="shared" si="10"/>
        <v>0</v>
      </c>
      <c r="AM30" s="116">
        <f t="shared" si="10"/>
        <v>530</v>
      </c>
      <c r="AN30" s="116">
        <f t="shared" si="10"/>
        <v>0</v>
      </c>
      <c r="AO30" s="116">
        <f t="shared" si="10"/>
        <v>530</v>
      </c>
      <c r="AP30" s="116">
        <f t="shared" si="10"/>
        <v>0</v>
      </c>
      <c r="AQ30" s="116">
        <f t="shared" si="10"/>
        <v>530</v>
      </c>
      <c r="AR30" s="116">
        <f t="shared" si="10"/>
        <v>0</v>
      </c>
      <c r="AS30" s="116">
        <f t="shared" si="10"/>
        <v>530</v>
      </c>
      <c r="AT30" s="116">
        <f t="shared" si="10"/>
        <v>530</v>
      </c>
      <c r="AU30" s="116">
        <f t="shared" si="10"/>
        <v>530</v>
      </c>
      <c r="AV30" s="116">
        <f t="shared" si="10"/>
        <v>0</v>
      </c>
      <c r="AW30" s="116">
        <f t="shared" si="10"/>
        <v>530</v>
      </c>
      <c r="AX30" s="116">
        <f t="shared" si="10"/>
        <v>0</v>
      </c>
      <c r="AY30" s="116">
        <f t="shared" si="10"/>
        <v>530</v>
      </c>
      <c r="AZ30" s="140">
        <f t="shared" si="5"/>
        <v>13780</v>
      </c>
    </row>
    <row r="32" spans="1:52">
      <c r="A32" s="101" t="s">
        <v>299</v>
      </c>
    </row>
    <row r="33" spans="1:52">
      <c r="A33" s="134" t="s">
        <v>22</v>
      </c>
      <c r="B33" s="134" t="s">
        <v>340</v>
      </c>
      <c r="C33" s="123"/>
      <c r="D33" s="123">
        <f>D$21*shipping_manufacturing!$H$27/100</f>
        <v>0</v>
      </c>
      <c r="E33" s="123">
        <f>E$21*shipping_manufacturing!$H$27/100</f>
        <v>508.19852015999999</v>
      </c>
      <c r="F33" s="123">
        <f>F$21*shipping_manufacturing!$H$27/100</f>
        <v>508.19852015999999</v>
      </c>
      <c r="G33" s="123">
        <f>G$21*shipping_manufacturing!$H$27/100</f>
        <v>456.84993694931603</v>
      </c>
      <c r="H33" s="123">
        <f>H$21*shipping_manufacturing!$H$27/100</f>
        <v>508.19852015999999</v>
      </c>
      <c r="I33" s="123">
        <f>I$21*shipping_manufacturing!$H$27/100</f>
        <v>508.19852015999999</v>
      </c>
      <c r="J33" s="123">
        <f>J$21*shipping_manufacturing!$H$27/100</f>
        <v>508.19852015999999</v>
      </c>
      <c r="K33" s="123">
        <f>K$21*shipping_manufacturing!$H$27/100</f>
        <v>508.19852015999999</v>
      </c>
      <c r="L33" s="123">
        <f>L$21*shipping_manufacturing!$H$27/100</f>
        <v>508.19852015999999</v>
      </c>
      <c r="M33" s="123">
        <f>M$21*shipping_manufacturing!$H$27/100</f>
        <v>467.58077505631883</v>
      </c>
      <c r="N33" s="123">
        <f>N$21*shipping_manufacturing!$H$27/100</f>
        <v>508.19852015999999</v>
      </c>
      <c r="O33" s="123">
        <f>O$21*shipping_manufacturing!$H$27/100</f>
        <v>508.19852015999999</v>
      </c>
      <c r="P33" s="123">
        <f>P$21*shipping_manufacturing!$H$27/100</f>
        <v>508.19852015999999</v>
      </c>
      <c r="Q33" s="123">
        <f>Q$21*shipping_manufacturing!$H$27/100</f>
        <v>508.19852015999999</v>
      </c>
      <c r="R33" s="123">
        <f>R$21*shipping_manufacturing!$H$27/100</f>
        <v>508.19852015999999</v>
      </c>
      <c r="S33" s="123">
        <f>S$21*shipping_manufacturing!$H$27/100</f>
        <v>508.19852015999999</v>
      </c>
      <c r="T33" s="123">
        <f>T$21*shipping_manufacturing!$H$27/100</f>
        <v>508.19852015999999</v>
      </c>
      <c r="U33" s="123">
        <f>U$21*shipping_manufacturing!$H$27/100</f>
        <v>508.19852015999999</v>
      </c>
      <c r="V33" s="123">
        <f>V$21*shipping_manufacturing!$H$27/100</f>
        <v>508.19852015999999</v>
      </c>
      <c r="W33" s="123">
        <f>W$21*shipping_manufacturing!$H$27/100</f>
        <v>508.19852015999999</v>
      </c>
      <c r="X33" s="123">
        <f>X$21*shipping_manufacturing!$H$27/100</f>
        <v>508.19852015999999</v>
      </c>
      <c r="Y33" s="123">
        <f>Y$21*shipping_manufacturing!$H$27/100</f>
        <v>508.19852015999999</v>
      </c>
      <c r="Z33" s="123">
        <f>Z$21*shipping_manufacturing!$H$27/100</f>
        <v>508.19852015999999</v>
      </c>
      <c r="AA33" s="123">
        <f>AA$21*shipping_manufacturing!$H$27/100</f>
        <v>508.19852015999999</v>
      </c>
      <c r="AB33" s="123">
        <f>AB$21*shipping_manufacturing!$H$27/100</f>
        <v>508.19852015999999</v>
      </c>
      <c r="AC33" s="123">
        <f>AC$21*shipping_manufacturing!$H$27/100</f>
        <v>508.19852015999999</v>
      </c>
      <c r="AD33" s="123">
        <f>AD$21*shipping_manufacturing!$H$27/100</f>
        <v>508.19852015999999</v>
      </c>
      <c r="AE33" s="123">
        <f>AE$21*shipping_manufacturing!$H$27/100</f>
        <v>508.19852015999999</v>
      </c>
      <c r="AF33" s="123">
        <f>AF$21*shipping_manufacturing!$H$27/100</f>
        <v>508.19852015999999</v>
      </c>
      <c r="AG33" s="123">
        <f>AG$21*shipping_manufacturing!$H$27/100</f>
        <v>508.2023999999999</v>
      </c>
      <c r="AH33" s="123">
        <f>AH$21*shipping_manufacturing!$H$27/100</f>
        <v>508.2023999999999</v>
      </c>
      <c r="AI33" s="123">
        <f>AI$21*shipping_manufacturing!$H$27/100</f>
        <v>508.2023999999999</v>
      </c>
      <c r="AJ33" s="123">
        <f>AJ$21*shipping_manufacturing!$H$27/100</f>
        <v>508.2023999999999</v>
      </c>
      <c r="AK33" s="123">
        <f>AK$21*shipping_manufacturing!$H$27/100</f>
        <v>508.2023999999999</v>
      </c>
      <c r="AL33" s="123">
        <f>AL$21*shipping_manufacturing!$H$27/100</f>
        <v>0</v>
      </c>
      <c r="AM33" s="123">
        <f>AM$21*shipping_manufacturing!$H$27/100</f>
        <v>508.2023999999999</v>
      </c>
      <c r="AN33" s="123">
        <f>AN$21*shipping_manufacturing!$H$27/100</f>
        <v>508.2023999999999</v>
      </c>
      <c r="AO33" s="123">
        <f>AO$21*shipping_manufacturing!$H$27/100</f>
        <v>467.7602071703609</v>
      </c>
      <c r="AP33" s="123">
        <f>AP$21*shipping_manufacturing!$H$27/100</f>
        <v>468.05941403963885</v>
      </c>
      <c r="AQ33" s="123">
        <f>AQ$21*shipping_manufacturing!$H$27/100</f>
        <v>487.86507734400004</v>
      </c>
      <c r="AR33" s="123">
        <f>AR$21*shipping_manufacturing!$H$27/100</f>
        <v>0</v>
      </c>
      <c r="AS33" s="123">
        <f>AS$21*shipping_manufacturing!$H$27/100</f>
        <v>0</v>
      </c>
      <c r="AT33" s="123">
        <f>AT$21*shipping_manufacturing!$H$27/100</f>
        <v>0</v>
      </c>
      <c r="AU33" s="123">
        <f>AU$21*shipping_manufacturing!$H$27/100</f>
        <v>508.20240000000007</v>
      </c>
      <c r="AV33" s="123">
        <f>AV$21*shipping_manufacturing!$H$27/100</f>
        <v>508.19852015999999</v>
      </c>
      <c r="AW33" s="123">
        <f>AW$21*shipping_manufacturing!$H$27/100</f>
        <v>498.04555377600002</v>
      </c>
      <c r="AX33" s="123">
        <f>AX$21*shipping_manufacturing!$H$27/100</f>
        <v>498.04555377600002</v>
      </c>
      <c r="AY33" s="123">
        <f>AY$21*shipping_manufacturing!$H$27/100</f>
        <v>498.04555377600002</v>
      </c>
    </row>
    <row r="34" spans="1:52">
      <c r="A34" s="112" t="s">
        <v>339</v>
      </c>
      <c r="B34" s="164" t="s">
        <v>341</v>
      </c>
      <c r="C34" s="109"/>
      <c r="D34" s="109">
        <f>D$22*shipping_manufacturing!$I$27/100</f>
        <v>0</v>
      </c>
      <c r="E34" s="109">
        <f>E$22*shipping_manufacturing!$I$27/100</f>
        <v>632.73586938000005</v>
      </c>
      <c r="F34" s="109">
        <f>F$22*shipping_manufacturing!$I$27/100</f>
        <v>632.73586938000005</v>
      </c>
      <c r="G34" s="109">
        <f>G$22*shipping_manufacturing!$I$27/100</f>
        <v>568.80398223279951</v>
      </c>
      <c r="H34" s="109">
        <f>H$22*shipping_manufacturing!$I$27/100</f>
        <v>632.73586938000005</v>
      </c>
      <c r="I34" s="109">
        <f>I$22*shipping_manufacturing!$I$27/100</f>
        <v>632.73586938000005</v>
      </c>
      <c r="J34" s="109">
        <f>J$22*shipping_manufacturing!$I$27/100</f>
        <v>632.73586938000005</v>
      </c>
      <c r="K34" s="109">
        <f>K$22*shipping_manufacturing!$I$27/100</f>
        <v>632.73586938000005</v>
      </c>
      <c r="L34" s="109">
        <f>L$22*shipping_manufacturing!$I$27/100</f>
        <v>632.73586938000005</v>
      </c>
      <c r="M34" s="109">
        <f>M$22*shipping_manufacturing!$I$27/100</f>
        <v>582.16448193805809</v>
      </c>
      <c r="N34" s="109">
        <f>N$22*shipping_manufacturing!$I$27/100</f>
        <v>632.73586938000005</v>
      </c>
      <c r="O34" s="109">
        <f>O$22*shipping_manufacturing!$I$27/100</f>
        <v>632.73586938000005</v>
      </c>
      <c r="P34" s="109">
        <f>P$22*shipping_manufacturing!$I$27/100</f>
        <v>632.73586938000005</v>
      </c>
      <c r="Q34" s="109">
        <f>Q$22*shipping_manufacturing!$I$27/100</f>
        <v>632.73586938000005</v>
      </c>
      <c r="R34" s="109">
        <f>R$22*shipping_manufacturing!$I$27/100</f>
        <v>632.73586938000005</v>
      </c>
      <c r="S34" s="109">
        <f>S$22*shipping_manufacturing!$I$27/100</f>
        <v>632.73586938000005</v>
      </c>
      <c r="T34" s="109">
        <f>T$22*shipping_manufacturing!$I$27/100</f>
        <v>632.73586938000005</v>
      </c>
      <c r="U34" s="109">
        <f>U$22*shipping_manufacturing!$I$27/100</f>
        <v>632.73586938000005</v>
      </c>
      <c r="V34" s="109">
        <f>V$22*shipping_manufacturing!$I$27/100</f>
        <v>632.73586938000005</v>
      </c>
      <c r="W34" s="109">
        <f>W$22*shipping_manufacturing!$I$27/100</f>
        <v>632.73586938000005</v>
      </c>
      <c r="X34" s="109">
        <f>X$22*shipping_manufacturing!$I$27/100</f>
        <v>632.73586938000005</v>
      </c>
      <c r="Y34" s="109">
        <f>Y$22*shipping_manufacturing!$I$27/100</f>
        <v>632.73586938000005</v>
      </c>
      <c r="Z34" s="109">
        <f>Z$22*shipping_manufacturing!$I$27/100</f>
        <v>632.73586938000005</v>
      </c>
      <c r="AA34" s="109">
        <f>AA$22*shipping_manufacturing!$I$27/100</f>
        <v>632.73586938000005</v>
      </c>
      <c r="AB34" s="109">
        <f>AB$22*shipping_manufacturing!$I$27/100</f>
        <v>632.73586938000005</v>
      </c>
      <c r="AC34" s="109">
        <f>AC$22*shipping_manufacturing!$I$27/100</f>
        <v>632.73586938000005</v>
      </c>
      <c r="AD34" s="109">
        <f>AD$22*shipping_manufacturing!$I$27/100</f>
        <v>632.73586938000005</v>
      </c>
      <c r="AE34" s="109">
        <f>AE$22*shipping_manufacturing!$I$27/100</f>
        <v>632.73586938000005</v>
      </c>
      <c r="AF34" s="109">
        <f>AF$22*shipping_manufacturing!$I$27/100</f>
        <v>632.73586938000005</v>
      </c>
      <c r="AG34" s="109">
        <f>AG$22*shipping_manufacturing!$I$27/100</f>
        <v>632.74069999999995</v>
      </c>
      <c r="AH34" s="109">
        <f>AH$22*shipping_manufacturing!$I$27/100</f>
        <v>632.74069999999995</v>
      </c>
      <c r="AI34" s="109">
        <f>AI$22*shipping_manufacturing!$I$27/100</f>
        <v>632.74069999999995</v>
      </c>
      <c r="AJ34" s="109">
        <f>AJ$22*shipping_manufacturing!$I$27/100</f>
        <v>632.74069999999995</v>
      </c>
      <c r="AK34" s="109">
        <f>AK$22*shipping_manufacturing!$I$27/100</f>
        <v>632.74069999999995</v>
      </c>
      <c r="AL34" s="109">
        <f>AL$22*shipping_manufacturing!$I$27/100</f>
        <v>0</v>
      </c>
      <c r="AM34" s="109">
        <f>AM$22*shipping_manufacturing!$I$27/100</f>
        <v>632.74069999999995</v>
      </c>
      <c r="AN34" s="109">
        <f>AN$22*shipping_manufacturing!$I$27/100</f>
        <v>632.74069999999995</v>
      </c>
      <c r="AO34" s="109">
        <f>AO$22*shipping_manufacturing!$I$27/100</f>
        <v>582.38788505744787</v>
      </c>
      <c r="AP34" s="109">
        <f>AP$22*shipping_manufacturing!$I$27/100</f>
        <v>582.76041451404194</v>
      </c>
      <c r="AQ34" s="109">
        <f>AQ$22*shipping_manufacturing!$I$27/100</f>
        <v>607.41958429199997</v>
      </c>
      <c r="AR34" s="109">
        <f>AR$22*shipping_manufacturing!$I$27/100</f>
        <v>0</v>
      </c>
      <c r="AS34" s="109">
        <f>AS$22*shipping_manufacturing!$I$27/100</f>
        <v>0</v>
      </c>
      <c r="AT34" s="109">
        <f>AT$22*shipping_manufacturing!$I$27/100</f>
        <v>0</v>
      </c>
      <c r="AU34" s="109">
        <f>AU$22*shipping_manufacturing!$I$27/100</f>
        <v>632.74070000000006</v>
      </c>
      <c r="AV34" s="109">
        <f>AV$22*shipping_manufacturing!$I$27/100</f>
        <v>632.73586938000005</v>
      </c>
      <c r="AW34" s="109">
        <f>AW$22*shipping_manufacturing!$I$27/100</f>
        <v>620.09485261800012</v>
      </c>
      <c r="AX34" s="109">
        <f>AX$22*shipping_manufacturing!$I$27/100</f>
        <v>620.09485261800012</v>
      </c>
      <c r="AY34" s="109">
        <f>AY$22*shipping_manufacturing!$I$27/100</f>
        <v>620.09485261800012</v>
      </c>
    </row>
    <row r="35" spans="1:52">
      <c r="A35" s="109">
        <v>1245</v>
      </c>
      <c r="B35" s="164" t="s">
        <v>342</v>
      </c>
      <c r="C35" s="109"/>
      <c r="D35" s="109">
        <f>SUM(D33:D34)</f>
        <v>0</v>
      </c>
      <c r="E35" s="109">
        <f t="shared" ref="E35:AY35" si="11">SUM(E33:E34)</f>
        <v>1140.93438954</v>
      </c>
      <c r="F35" s="109">
        <f t="shared" si="11"/>
        <v>1140.93438954</v>
      </c>
      <c r="G35" s="109">
        <f t="shared" si="11"/>
        <v>1025.6539191821155</v>
      </c>
      <c r="H35" s="109">
        <f t="shared" si="11"/>
        <v>1140.93438954</v>
      </c>
      <c r="I35" s="109">
        <f t="shared" si="11"/>
        <v>1140.93438954</v>
      </c>
      <c r="J35" s="109">
        <f t="shared" si="11"/>
        <v>1140.93438954</v>
      </c>
      <c r="K35" s="109">
        <f t="shared" si="11"/>
        <v>1140.93438954</v>
      </c>
      <c r="L35" s="109">
        <f t="shared" si="11"/>
        <v>1140.93438954</v>
      </c>
      <c r="M35" s="109">
        <f t="shared" si="11"/>
        <v>1049.7452569943769</v>
      </c>
      <c r="N35" s="109">
        <f t="shared" si="11"/>
        <v>1140.93438954</v>
      </c>
      <c r="O35" s="109">
        <f t="shared" si="11"/>
        <v>1140.93438954</v>
      </c>
      <c r="P35" s="109">
        <f t="shared" si="11"/>
        <v>1140.93438954</v>
      </c>
      <c r="Q35" s="109">
        <f t="shared" si="11"/>
        <v>1140.93438954</v>
      </c>
      <c r="R35" s="109">
        <f t="shared" si="11"/>
        <v>1140.93438954</v>
      </c>
      <c r="S35" s="109">
        <f t="shared" si="11"/>
        <v>1140.93438954</v>
      </c>
      <c r="T35" s="109">
        <f t="shared" si="11"/>
        <v>1140.93438954</v>
      </c>
      <c r="U35" s="109">
        <f t="shared" si="11"/>
        <v>1140.93438954</v>
      </c>
      <c r="V35" s="109">
        <f t="shared" si="11"/>
        <v>1140.93438954</v>
      </c>
      <c r="W35" s="109">
        <f t="shared" si="11"/>
        <v>1140.93438954</v>
      </c>
      <c r="X35" s="109">
        <f t="shared" si="11"/>
        <v>1140.93438954</v>
      </c>
      <c r="Y35" s="109">
        <f t="shared" si="11"/>
        <v>1140.93438954</v>
      </c>
      <c r="Z35" s="109">
        <f t="shared" si="11"/>
        <v>1140.93438954</v>
      </c>
      <c r="AA35" s="109">
        <f t="shared" si="11"/>
        <v>1140.93438954</v>
      </c>
      <c r="AB35" s="109">
        <f t="shared" si="11"/>
        <v>1140.93438954</v>
      </c>
      <c r="AC35" s="109">
        <f t="shared" si="11"/>
        <v>1140.93438954</v>
      </c>
      <c r="AD35" s="109">
        <f t="shared" si="11"/>
        <v>1140.93438954</v>
      </c>
      <c r="AE35" s="109">
        <f t="shared" si="11"/>
        <v>1140.93438954</v>
      </c>
      <c r="AF35" s="109">
        <f t="shared" si="11"/>
        <v>1140.93438954</v>
      </c>
      <c r="AG35" s="109">
        <f t="shared" si="11"/>
        <v>1140.9431</v>
      </c>
      <c r="AH35" s="109">
        <f t="shared" si="11"/>
        <v>1140.9431</v>
      </c>
      <c r="AI35" s="109">
        <f t="shared" si="11"/>
        <v>1140.9431</v>
      </c>
      <c r="AJ35" s="109">
        <f t="shared" si="11"/>
        <v>1140.9431</v>
      </c>
      <c r="AK35" s="109">
        <f t="shared" si="11"/>
        <v>1140.9431</v>
      </c>
      <c r="AL35" s="109">
        <f t="shared" si="11"/>
        <v>0</v>
      </c>
      <c r="AM35" s="109">
        <f t="shared" si="11"/>
        <v>1140.9431</v>
      </c>
      <c r="AN35" s="109">
        <f t="shared" si="11"/>
        <v>1140.9431</v>
      </c>
      <c r="AO35" s="109">
        <f t="shared" si="11"/>
        <v>1050.1480922278088</v>
      </c>
      <c r="AP35" s="109">
        <f t="shared" si="11"/>
        <v>1050.8198285536807</v>
      </c>
      <c r="AQ35" s="109">
        <f t="shared" si="11"/>
        <v>1095.284661636</v>
      </c>
      <c r="AR35" s="109">
        <f t="shared" si="11"/>
        <v>0</v>
      </c>
      <c r="AS35" s="109">
        <f t="shared" si="11"/>
        <v>0</v>
      </c>
      <c r="AT35" s="109">
        <f t="shared" si="11"/>
        <v>0</v>
      </c>
      <c r="AU35" s="109">
        <f t="shared" si="11"/>
        <v>1140.9431000000002</v>
      </c>
      <c r="AV35" s="109">
        <f t="shared" si="11"/>
        <v>1140.93438954</v>
      </c>
      <c r="AW35" s="109">
        <f t="shared" si="11"/>
        <v>1118.1404063940001</v>
      </c>
      <c r="AX35" s="109">
        <f t="shared" si="11"/>
        <v>1118.1404063940001</v>
      </c>
      <c r="AY35" s="109">
        <f t="shared" si="11"/>
        <v>1118.1404063940001</v>
      </c>
    </row>
    <row r="36" spans="1:52">
      <c r="A36" s="109"/>
      <c r="B36" s="164" t="s">
        <v>343</v>
      </c>
      <c r="C36" s="109"/>
      <c r="D36" s="109"/>
      <c r="E36" s="109">
        <v>66.813463353255742</v>
      </c>
      <c r="F36" s="109"/>
      <c r="G36" s="109">
        <v>93.538848694558041</v>
      </c>
      <c r="H36" s="109"/>
      <c r="I36" s="109">
        <v>66.813463353255742</v>
      </c>
      <c r="J36" s="109"/>
      <c r="K36" s="109">
        <v>66.813463353255742</v>
      </c>
      <c r="L36" s="109"/>
      <c r="M36" s="109">
        <v>80.176156023906884</v>
      </c>
      <c r="N36" s="109"/>
      <c r="O36" s="109">
        <v>66.813463353255742</v>
      </c>
      <c r="P36" s="109"/>
      <c r="Q36" s="109">
        <v>66.813463353255742</v>
      </c>
      <c r="R36" s="109"/>
      <c r="S36" s="109">
        <v>66.813463353255742</v>
      </c>
      <c r="T36" s="109"/>
      <c r="U36" s="109">
        <v>66.813463353255742</v>
      </c>
      <c r="V36" s="109"/>
      <c r="W36" s="109">
        <v>66.813463353255742</v>
      </c>
      <c r="X36" s="109"/>
      <c r="Y36" s="109">
        <v>66.813463353255742</v>
      </c>
      <c r="Z36" s="109"/>
      <c r="AA36" s="109">
        <v>66.813463353255742</v>
      </c>
      <c r="AB36" s="109"/>
      <c r="AC36" s="109">
        <v>66.813463353255742</v>
      </c>
      <c r="AD36" s="109"/>
      <c r="AE36" s="109">
        <v>66.813463353255742</v>
      </c>
      <c r="AF36" s="109"/>
      <c r="AG36" s="109">
        <v>66.813463353255727</v>
      </c>
      <c r="AH36" s="109"/>
      <c r="AI36" s="109">
        <v>66.813463353255727</v>
      </c>
      <c r="AJ36" s="109"/>
      <c r="AK36" s="109">
        <v>66.813463353255727</v>
      </c>
      <c r="AL36" s="109"/>
      <c r="AM36" s="109">
        <v>66.813463353255727</v>
      </c>
      <c r="AN36" s="109"/>
      <c r="AO36" s="109">
        <v>80.176156023906884</v>
      </c>
      <c r="AP36" s="109"/>
      <c r="AQ36" s="109">
        <v>80.176156023906884</v>
      </c>
      <c r="AR36" s="109"/>
      <c r="AS36" s="109"/>
      <c r="AT36" s="109"/>
      <c r="AU36" s="109">
        <v>66.813463353255742</v>
      </c>
      <c r="AV36" s="109"/>
      <c r="AW36" s="109">
        <v>66.813463353255742</v>
      </c>
      <c r="AX36" s="109"/>
      <c r="AY36" s="109">
        <v>66.813463353255742</v>
      </c>
    </row>
    <row r="37" spans="1:52">
      <c r="A37" s="109"/>
      <c r="B37" s="164" t="s">
        <v>344</v>
      </c>
      <c r="C37" s="109"/>
      <c r="D37" s="109"/>
      <c r="E37" s="109">
        <v>83.186536646744287</v>
      </c>
      <c r="F37" s="109"/>
      <c r="G37" s="109">
        <v>116.46115130544199</v>
      </c>
      <c r="H37" s="109"/>
      <c r="I37" s="109">
        <v>83.186536646744287</v>
      </c>
      <c r="J37" s="109"/>
      <c r="K37" s="109">
        <v>83.186536646744287</v>
      </c>
      <c r="L37" s="109"/>
      <c r="M37" s="109">
        <v>99.823843976093144</v>
      </c>
      <c r="N37" s="109"/>
      <c r="O37" s="109">
        <v>83.186536646744287</v>
      </c>
      <c r="P37" s="109"/>
      <c r="Q37" s="109">
        <v>83.186536646744287</v>
      </c>
      <c r="R37" s="109"/>
      <c r="S37" s="109">
        <v>83.186536646744287</v>
      </c>
      <c r="T37" s="109"/>
      <c r="U37" s="109">
        <v>83.186536646744287</v>
      </c>
      <c r="V37" s="109"/>
      <c r="W37" s="109">
        <v>83.186536646744287</v>
      </c>
      <c r="X37" s="109"/>
      <c r="Y37" s="109">
        <v>83.186536646744287</v>
      </c>
      <c r="Z37" s="109"/>
      <c r="AA37" s="109">
        <v>83.186536646744287</v>
      </c>
      <c r="AB37" s="109"/>
      <c r="AC37" s="109">
        <v>83.186536646744287</v>
      </c>
      <c r="AD37" s="109"/>
      <c r="AE37" s="109">
        <v>83.186536646744287</v>
      </c>
      <c r="AF37" s="109"/>
      <c r="AG37" s="109">
        <v>83.186536646744273</v>
      </c>
      <c r="AH37" s="109"/>
      <c r="AI37" s="109">
        <v>83.186536646744273</v>
      </c>
      <c r="AJ37" s="109"/>
      <c r="AK37" s="109">
        <v>83.186536646744273</v>
      </c>
      <c r="AL37" s="109"/>
      <c r="AM37" s="109">
        <v>83.186536646744273</v>
      </c>
      <c r="AN37" s="109"/>
      <c r="AO37" s="109">
        <v>99.82384397609313</v>
      </c>
      <c r="AP37" s="109"/>
      <c r="AQ37" s="109">
        <v>99.82384397609313</v>
      </c>
      <c r="AR37" s="109"/>
      <c r="AS37" s="109"/>
      <c r="AT37" s="109"/>
      <c r="AU37" s="109">
        <v>83.186536646744273</v>
      </c>
      <c r="AV37" s="109"/>
      <c r="AW37" s="109">
        <v>83.186536646744287</v>
      </c>
      <c r="AX37" s="109"/>
      <c r="AY37" s="109">
        <v>83.186536646744287</v>
      </c>
    </row>
    <row r="38" spans="1:52">
      <c r="A38" s="109"/>
      <c r="B38" s="164" t="s">
        <v>345</v>
      </c>
      <c r="C38" s="109"/>
      <c r="D38" s="109"/>
      <c r="E38" s="109">
        <v>5</v>
      </c>
      <c r="F38" s="109"/>
      <c r="G38" s="109">
        <v>7</v>
      </c>
      <c r="H38" s="109"/>
      <c r="I38" s="109">
        <v>5</v>
      </c>
      <c r="J38" s="109"/>
      <c r="K38" s="109">
        <v>5</v>
      </c>
      <c r="L38" s="109"/>
      <c r="M38" s="109">
        <v>6</v>
      </c>
      <c r="N38" s="109"/>
      <c r="O38" s="109">
        <v>5</v>
      </c>
      <c r="P38" s="109"/>
      <c r="Q38" s="109">
        <v>5</v>
      </c>
      <c r="R38" s="109"/>
      <c r="S38" s="109">
        <v>5</v>
      </c>
      <c r="T38" s="109"/>
      <c r="U38" s="109">
        <v>5</v>
      </c>
      <c r="V38" s="109"/>
      <c r="W38" s="109">
        <v>5</v>
      </c>
      <c r="X38" s="109"/>
      <c r="Y38" s="109">
        <v>5</v>
      </c>
      <c r="Z38" s="109"/>
      <c r="AA38" s="109">
        <v>5</v>
      </c>
      <c r="AB38" s="109"/>
      <c r="AC38" s="109">
        <v>5</v>
      </c>
      <c r="AD38" s="109"/>
      <c r="AE38" s="109">
        <v>5</v>
      </c>
      <c r="AF38" s="109"/>
      <c r="AG38" s="109">
        <v>5</v>
      </c>
      <c r="AH38" s="109"/>
      <c r="AI38" s="109">
        <v>5</v>
      </c>
      <c r="AJ38" s="109"/>
      <c r="AK38" s="109">
        <v>5</v>
      </c>
      <c r="AL38" s="109"/>
      <c r="AM38" s="109">
        <v>5</v>
      </c>
      <c r="AN38" s="109"/>
      <c r="AO38" s="109">
        <v>6</v>
      </c>
      <c r="AP38" s="109"/>
      <c r="AQ38" s="109">
        <v>6</v>
      </c>
      <c r="AR38" s="109"/>
      <c r="AS38" s="109"/>
      <c r="AT38" s="109"/>
      <c r="AU38" s="109">
        <v>5</v>
      </c>
      <c r="AV38" s="109"/>
      <c r="AW38" s="109">
        <v>5</v>
      </c>
      <c r="AX38" s="109"/>
      <c r="AY38" s="109">
        <v>5</v>
      </c>
    </row>
    <row r="39" spans="1:52">
      <c r="A39" s="109"/>
      <c r="B39" s="164" t="s">
        <v>346</v>
      </c>
      <c r="C39" s="109"/>
      <c r="D39" s="109">
        <f>D33-D36</f>
        <v>0</v>
      </c>
      <c r="E39" s="109">
        <f t="shared" ref="E39:AY39" si="12">E33-E36</f>
        <v>441.38505680674427</v>
      </c>
      <c r="F39" s="109">
        <f t="shared" si="12"/>
        <v>508.19852015999999</v>
      </c>
      <c r="G39" s="109">
        <f t="shared" si="12"/>
        <v>363.31108825475798</v>
      </c>
      <c r="H39" s="109">
        <f t="shared" si="12"/>
        <v>508.19852015999999</v>
      </c>
      <c r="I39" s="109">
        <f t="shared" si="12"/>
        <v>441.38505680674427</v>
      </c>
      <c r="J39" s="109">
        <f t="shared" si="12"/>
        <v>508.19852015999999</v>
      </c>
      <c r="K39" s="109">
        <f t="shared" si="12"/>
        <v>441.38505680674427</v>
      </c>
      <c r="L39" s="109">
        <f t="shared" si="12"/>
        <v>508.19852015999999</v>
      </c>
      <c r="M39" s="109">
        <f t="shared" si="12"/>
        <v>387.40461903241192</v>
      </c>
      <c r="N39" s="109">
        <f t="shared" si="12"/>
        <v>508.19852015999999</v>
      </c>
      <c r="O39" s="109">
        <f t="shared" si="12"/>
        <v>441.38505680674427</v>
      </c>
      <c r="P39" s="109">
        <f t="shared" si="12"/>
        <v>508.19852015999999</v>
      </c>
      <c r="Q39" s="109">
        <f t="shared" si="12"/>
        <v>441.38505680674427</v>
      </c>
      <c r="R39" s="109">
        <f t="shared" si="12"/>
        <v>508.19852015999999</v>
      </c>
      <c r="S39" s="109">
        <f t="shared" si="12"/>
        <v>441.38505680674427</v>
      </c>
      <c r="T39" s="109">
        <f t="shared" si="12"/>
        <v>508.19852015999999</v>
      </c>
      <c r="U39" s="109">
        <f t="shared" si="12"/>
        <v>441.38505680674427</v>
      </c>
      <c r="V39" s="109">
        <f t="shared" si="12"/>
        <v>508.19852015999999</v>
      </c>
      <c r="W39" s="109">
        <f t="shared" si="12"/>
        <v>441.38505680674427</v>
      </c>
      <c r="X39" s="109">
        <f t="shared" si="12"/>
        <v>508.19852015999999</v>
      </c>
      <c r="Y39" s="109">
        <f t="shared" si="12"/>
        <v>441.38505680674427</v>
      </c>
      <c r="Z39" s="109">
        <f t="shared" si="12"/>
        <v>508.19852015999999</v>
      </c>
      <c r="AA39" s="109">
        <f t="shared" si="12"/>
        <v>441.38505680674427</v>
      </c>
      <c r="AB39" s="109">
        <f t="shared" si="12"/>
        <v>508.19852015999999</v>
      </c>
      <c r="AC39" s="109">
        <f t="shared" si="12"/>
        <v>441.38505680674427</v>
      </c>
      <c r="AD39" s="109">
        <f t="shared" si="12"/>
        <v>508.19852015999999</v>
      </c>
      <c r="AE39" s="109">
        <f t="shared" si="12"/>
        <v>441.38505680674427</v>
      </c>
      <c r="AF39" s="109">
        <f t="shared" si="12"/>
        <v>508.19852015999999</v>
      </c>
      <c r="AG39" s="109">
        <f t="shared" si="12"/>
        <v>441.38893664674418</v>
      </c>
      <c r="AH39" s="109">
        <f t="shared" si="12"/>
        <v>508.2023999999999</v>
      </c>
      <c r="AI39" s="109">
        <f t="shared" si="12"/>
        <v>441.38893664674418</v>
      </c>
      <c r="AJ39" s="109">
        <f t="shared" si="12"/>
        <v>508.2023999999999</v>
      </c>
      <c r="AK39" s="109">
        <f t="shared" si="12"/>
        <v>441.38893664674418</v>
      </c>
      <c r="AL39" s="109">
        <f t="shared" si="12"/>
        <v>0</v>
      </c>
      <c r="AM39" s="109">
        <f t="shared" si="12"/>
        <v>441.38893664674418</v>
      </c>
      <c r="AN39" s="109">
        <f t="shared" si="12"/>
        <v>508.2023999999999</v>
      </c>
      <c r="AO39" s="109">
        <f t="shared" si="12"/>
        <v>387.58405114645404</v>
      </c>
      <c r="AP39" s="109">
        <f t="shared" si="12"/>
        <v>468.05941403963885</v>
      </c>
      <c r="AQ39" s="109">
        <f t="shared" si="12"/>
        <v>407.68892132009319</v>
      </c>
      <c r="AR39" s="109">
        <f t="shared" si="12"/>
        <v>0</v>
      </c>
      <c r="AS39" s="109">
        <f t="shared" si="12"/>
        <v>0</v>
      </c>
      <c r="AT39" s="109">
        <f t="shared" si="12"/>
        <v>0</v>
      </c>
      <c r="AU39" s="109">
        <f t="shared" si="12"/>
        <v>441.38893664674436</v>
      </c>
      <c r="AV39" s="109">
        <f t="shared" si="12"/>
        <v>508.19852015999999</v>
      </c>
      <c r="AW39" s="109">
        <f t="shared" si="12"/>
        <v>431.23209042274425</v>
      </c>
      <c r="AX39" s="109">
        <f t="shared" si="12"/>
        <v>498.04555377600002</v>
      </c>
      <c r="AY39" s="109">
        <f t="shared" si="12"/>
        <v>431.23209042274425</v>
      </c>
    </row>
    <row r="40" spans="1:52">
      <c r="A40" s="109"/>
      <c r="B40" s="164" t="s">
        <v>347</v>
      </c>
      <c r="C40" s="109"/>
      <c r="D40" s="109">
        <f>D34-D37</f>
        <v>0</v>
      </c>
      <c r="E40" s="109">
        <f t="shared" ref="E40:AY40" si="13">E34-E37</f>
        <v>549.54933273325582</v>
      </c>
      <c r="F40" s="109">
        <f t="shared" si="13"/>
        <v>632.73586938000005</v>
      </c>
      <c r="G40" s="109">
        <f t="shared" si="13"/>
        <v>452.34283092735751</v>
      </c>
      <c r="H40" s="109">
        <f t="shared" si="13"/>
        <v>632.73586938000005</v>
      </c>
      <c r="I40" s="109">
        <f t="shared" si="13"/>
        <v>549.54933273325582</v>
      </c>
      <c r="J40" s="109">
        <f t="shared" si="13"/>
        <v>632.73586938000005</v>
      </c>
      <c r="K40" s="109">
        <f t="shared" si="13"/>
        <v>549.54933273325582</v>
      </c>
      <c r="L40" s="109">
        <f t="shared" si="13"/>
        <v>632.73586938000005</v>
      </c>
      <c r="M40" s="109">
        <f t="shared" si="13"/>
        <v>482.34063796196494</v>
      </c>
      <c r="N40" s="109">
        <f t="shared" si="13"/>
        <v>632.73586938000005</v>
      </c>
      <c r="O40" s="109">
        <f t="shared" si="13"/>
        <v>549.54933273325582</v>
      </c>
      <c r="P40" s="109">
        <f t="shared" si="13"/>
        <v>632.73586938000005</v>
      </c>
      <c r="Q40" s="109">
        <f t="shared" si="13"/>
        <v>549.54933273325582</v>
      </c>
      <c r="R40" s="109">
        <f t="shared" si="13"/>
        <v>632.73586938000005</v>
      </c>
      <c r="S40" s="109">
        <f t="shared" si="13"/>
        <v>549.54933273325582</v>
      </c>
      <c r="T40" s="109">
        <f t="shared" si="13"/>
        <v>632.73586938000005</v>
      </c>
      <c r="U40" s="109">
        <f t="shared" si="13"/>
        <v>549.54933273325582</v>
      </c>
      <c r="V40" s="109">
        <f t="shared" si="13"/>
        <v>632.73586938000005</v>
      </c>
      <c r="W40" s="109">
        <f t="shared" si="13"/>
        <v>549.54933273325582</v>
      </c>
      <c r="X40" s="109">
        <f t="shared" si="13"/>
        <v>632.73586938000005</v>
      </c>
      <c r="Y40" s="109">
        <f t="shared" si="13"/>
        <v>549.54933273325582</v>
      </c>
      <c r="Z40" s="109">
        <f t="shared" si="13"/>
        <v>632.73586938000005</v>
      </c>
      <c r="AA40" s="109">
        <f t="shared" si="13"/>
        <v>549.54933273325582</v>
      </c>
      <c r="AB40" s="109">
        <f t="shared" si="13"/>
        <v>632.73586938000005</v>
      </c>
      <c r="AC40" s="109">
        <f t="shared" si="13"/>
        <v>549.54933273325582</v>
      </c>
      <c r="AD40" s="109">
        <f t="shared" si="13"/>
        <v>632.73586938000005</v>
      </c>
      <c r="AE40" s="109">
        <f t="shared" si="13"/>
        <v>549.54933273325582</v>
      </c>
      <c r="AF40" s="109">
        <f t="shared" si="13"/>
        <v>632.73586938000005</v>
      </c>
      <c r="AG40" s="109">
        <f t="shared" si="13"/>
        <v>549.55416335325572</v>
      </c>
      <c r="AH40" s="109">
        <f t="shared" si="13"/>
        <v>632.74069999999995</v>
      </c>
      <c r="AI40" s="109">
        <f t="shared" si="13"/>
        <v>549.55416335325572</v>
      </c>
      <c r="AJ40" s="109">
        <f t="shared" si="13"/>
        <v>632.74069999999995</v>
      </c>
      <c r="AK40" s="109">
        <f t="shared" si="13"/>
        <v>549.55416335325572</v>
      </c>
      <c r="AL40" s="109">
        <f t="shared" si="13"/>
        <v>0</v>
      </c>
      <c r="AM40" s="109">
        <f t="shared" si="13"/>
        <v>549.55416335325572</v>
      </c>
      <c r="AN40" s="109">
        <f t="shared" si="13"/>
        <v>632.74069999999995</v>
      </c>
      <c r="AO40" s="109">
        <f t="shared" si="13"/>
        <v>482.56404108135473</v>
      </c>
      <c r="AP40" s="109">
        <f t="shared" si="13"/>
        <v>582.76041451404194</v>
      </c>
      <c r="AQ40" s="109">
        <f t="shared" si="13"/>
        <v>507.59574031590682</v>
      </c>
      <c r="AR40" s="109">
        <f t="shared" si="13"/>
        <v>0</v>
      </c>
      <c r="AS40" s="109">
        <f t="shared" si="13"/>
        <v>0</v>
      </c>
      <c r="AT40" s="109">
        <f t="shared" si="13"/>
        <v>0</v>
      </c>
      <c r="AU40" s="109">
        <f t="shared" si="13"/>
        <v>549.55416335325583</v>
      </c>
      <c r="AV40" s="109">
        <f t="shared" si="13"/>
        <v>632.73586938000005</v>
      </c>
      <c r="AW40" s="109">
        <f t="shared" si="13"/>
        <v>536.90831597125589</v>
      </c>
      <c r="AX40" s="109">
        <f t="shared" si="13"/>
        <v>620.09485261800012</v>
      </c>
      <c r="AY40" s="109">
        <f t="shared" si="13"/>
        <v>536.90831597125589</v>
      </c>
    </row>
    <row r="41" spans="1:52">
      <c r="A41" s="109"/>
      <c r="B41" s="164" t="s">
        <v>348</v>
      </c>
      <c r="C41" s="109"/>
      <c r="D41" s="109">
        <v>1</v>
      </c>
      <c r="E41" s="109">
        <v>2</v>
      </c>
      <c r="F41" s="109">
        <v>2</v>
      </c>
      <c r="G41" s="109">
        <v>1</v>
      </c>
      <c r="H41" s="109">
        <v>1</v>
      </c>
      <c r="I41" s="109">
        <v>1</v>
      </c>
      <c r="J41" s="109">
        <v>2</v>
      </c>
      <c r="K41" s="109">
        <v>1</v>
      </c>
      <c r="L41" s="109">
        <v>2</v>
      </c>
      <c r="M41" s="109">
        <v>1</v>
      </c>
      <c r="N41" s="109">
        <v>1</v>
      </c>
      <c r="O41" s="109">
        <v>2</v>
      </c>
      <c r="P41" s="109">
        <v>2</v>
      </c>
      <c r="Q41" s="109">
        <v>1</v>
      </c>
      <c r="R41" s="109">
        <v>1</v>
      </c>
      <c r="S41" s="109">
        <v>1</v>
      </c>
      <c r="T41" s="109">
        <v>1</v>
      </c>
      <c r="U41" s="109">
        <v>2</v>
      </c>
      <c r="V41" s="109">
        <v>1</v>
      </c>
      <c r="W41" s="109">
        <v>3</v>
      </c>
      <c r="X41" s="109">
        <v>1</v>
      </c>
      <c r="Y41" s="109">
        <v>1</v>
      </c>
      <c r="Z41" s="109">
        <v>2</v>
      </c>
      <c r="AA41" s="109">
        <v>2</v>
      </c>
      <c r="AB41" s="109">
        <v>2</v>
      </c>
      <c r="AC41" s="109">
        <v>2</v>
      </c>
      <c r="AD41" s="109">
        <v>2</v>
      </c>
      <c r="AE41" s="109">
        <v>2</v>
      </c>
      <c r="AF41" s="109">
        <v>3</v>
      </c>
      <c r="AG41" s="109">
        <v>1</v>
      </c>
      <c r="AH41" s="109">
        <v>2</v>
      </c>
      <c r="AI41" s="109">
        <v>1</v>
      </c>
      <c r="AJ41" s="109">
        <v>1</v>
      </c>
      <c r="AK41" s="109">
        <v>2</v>
      </c>
      <c r="AL41" s="109">
        <v>2</v>
      </c>
      <c r="AM41" s="109">
        <v>1</v>
      </c>
      <c r="AN41" s="109">
        <v>1</v>
      </c>
      <c r="AO41" s="109">
        <v>2</v>
      </c>
      <c r="AP41" s="109">
        <v>2</v>
      </c>
      <c r="AQ41" s="109">
        <v>2</v>
      </c>
      <c r="AR41" s="109">
        <v>1</v>
      </c>
      <c r="AS41" s="109">
        <v>2</v>
      </c>
      <c r="AT41" s="109">
        <v>3</v>
      </c>
      <c r="AU41" s="109">
        <v>2</v>
      </c>
      <c r="AV41" s="109">
        <v>2</v>
      </c>
      <c r="AW41" s="109">
        <v>1</v>
      </c>
      <c r="AX41" s="109">
        <v>1</v>
      </c>
      <c r="AY41" s="109">
        <v>2</v>
      </c>
    </row>
    <row r="42" spans="1:52">
      <c r="A42" s="109"/>
      <c r="B42" s="177" t="s">
        <v>349</v>
      </c>
      <c r="C42" s="109"/>
      <c r="D42" s="109">
        <v>0</v>
      </c>
      <c r="E42" s="109">
        <v>224100</v>
      </c>
      <c r="F42" s="109">
        <v>0</v>
      </c>
      <c r="G42" s="109">
        <v>313740</v>
      </c>
      <c r="H42" s="109">
        <v>0</v>
      </c>
      <c r="I42" s="109">
        <v>224100</v>
      </c>
      <c r="J42" s="109">
        <v>0</v>
      </c>
      <c r="K42" s="109">
        <v>224100</v>
      </c>
      <c r="L42" s="109">
        <v>0</v>
      </c>
      <c r="M42" s="109">
        <v>268920</v>
      </c>
      <c r="N42" s="109">
        <v>0</v>
      </c>
      <c r="O42" s="109">
        <v>224100</v>
      </c>
      <c r="P42" s="109">
        <v>0</v>
      </c>
      <c r="Q42" s="109">
        <v>224100</v>
      </c>
      <c r="R42" s="109">
        <v>0</v>
      </c>
      <c r="S42" s="109">
        <v>224100</v>
      </c>
      <c r="T42" s="109">
        <v>0</v>
      </c>
      <c r="U42" s="109">
        <v>224100</v>
      </c>
      <c r="V42" s="109">
        <v>0</v>
      </c>
      <c r="W42" s="109">
        <v>224100</v>
      </c>
      <c r="X42" s="109">
        <v>0</v>
      </c>
      <c r="Y42" s="109">
        <v>224100</v>
      </c>
      <c r="Z42" s="109">
        <v>0</v>
      </c>
      <c r="AA42" s="109">
        <v>224100</v>
      </c>
      <c r="AB42" s="109">
        <v>0</v>
      </c>
      <c r="AC42" s="109">
        <v>224100</v>
      </c>
      <c r="AD42" s="109">
        <v>0</v>
      </c>
      <c r="AE42" s="109">
        <v>224100</v>
      </c>
      <c r="AF42" s="109">
        <v>0</v>
      </c>
      <c r="AG42" s="109">
        <v>224100</v>
      </c>
      <c r="AH42" s="109">
        <v>0</v>
      </c>
      <c r="AI42" s="109">
        <v>224100</v>
      </c>
      <c r="AJ42" s="109">
        <v>0</v>
      </c>
      <c r="AK42" s="109">
        <v>224100</v>
      </c>
      <c r="AL42" s="109">
        <v>0</v>
      </c>
      <c r="AM42" s="109">
        <v>224100</v>
      </c>
      <c r="AN42" s="109">
        <v>0</v>
      </c>
      <c r="AO42" s="109">
        <v>268920</v>
      </c>
      <c r="AP42" s="109">
        <v>0</v>
      </c>
      <c r="AQ42" s="109">
        <v>268920</v>
      </c>
      <c r="AR42" s="109">
        <v>0</v>
      </c>
      <c r="AS42" s="109">
        <v>0</v>
      </c>
      <c r="AT42" s="109">
        <v>0</v>
      </c>
      <c r="AU42" s="109">
        <v>224100</v>
      </c>
      <c r="AV42" s="109">
        <v>0</v>
      </c>
      <c r="AW42" s="109">
        <v>224100</v>
      </c>
      <c r="AX42" s="109">
        <v>0</v>
      </c>
      <c r="AY42" s="109">
        <v>224100</v>
      </c>
      <c r="AZ42" s="99">
        <f>SUM($D$42:$AY$42)</f>
        <v>5378400</v>
      </c>
    </row>
    <row r="43" spans="1:52">
      <c r="A43" s="109"/>
      <c r="B43" s="177" t="s">
        <v>350</v>
      </c>
      <c r="C43" s="109"/>
      <c r="D43" s="109">
        <v>0</v>
      </c>
      <c r="E43" s="109">
        <v>801913.65473524516</v>
      </c>
      <c r="F43" s="109">
        <v>923301.15473524493</v>
      </c>
      <c r="G43" s="109">
        <v>660067.93409812707</v>
      </c>
      <c r="H43" s="109">
        <v>923301.15473524493</v>
      </c>
      <c r="I43" s="109">
        <v>801913.65473524516</v>
      </c>
      <c r="J43" s="109">
        <v>923301.15473524493</v>
      </c>
      <c r="K43" s="109">
        <v>801913.65473524516</v>
      </c>
      <c r="L43" s="109">
        <v>923301.15473524493</v>
      </c>
      <c r="M43" s="109">
        <v>703841.34922269953</v>
      </c>
      <c r="N43" s="109">
        <v>923301.15473524493</v>
      </c>
      <c r="O43" s="109">
        <v>801913.65473524516</v>
      </c>
      <c r="P43" s="109">
        <v>923301.15473524493</v>
      </c>
      <c r="Q43" s="109">
        <v>801913.65473524516</v>
      </c>
      <c r="R43" s="109">
        <v>923301.15473524493</v>
      </c>
      <c r="S43" s="109">
        <v>801913.65473524516</v>
      </c>
      <c r="T43" s="109">
        <v>923301.15473524493</v>
      </c>
      <c r="U43" s="109">
        <v>801913.65473524516</v>
      </c>
      <c r="V43" s="109">
        <v>923301.15473524493</v>
      </c>
      <c r="W43" s="109">
        <v>801913.65473524516</v>
      </c>
      <c r="X43" s="109">
        <v>923301.15473524493</v>
      </c>
      <c r="Y43" s="109">
        <v>801913.65473524516</v>
      </c>
      <c r="Z43" s="109">
        <v>923301.15473524493</v>
      </c>
      <c r="AA43" s="109">
        <v>801913.65473524516</v>
      </c>
      <c r="AB43" s="109">
        <v>923301.15473524493</v>
      </c>
      <c r="AC43" s="109">
        <v>801913.65473524516</v>
      </c>
      <c r="AD43" s="109">
        <v>923301.15473524493</v>
      </c>
      <c r="AE43" s="109">
        <v>801913.65473524516</v>
      </c>
      <c r="AF43" s="109">
        <v>923301.15473524493</v>
      </c>
      <c r="AG43" s="109">
        <v>801920.70367499988</v>
      </c>
      <c r="AH43" s="109">
        <v>923308.20367499988</v>
      </c>
      <c r="AI43" s="109">
        <v>801920.70367499988</v>
      </c>
      <c r="AJ43" s="109">
        <v>923308.20367499988</v>
      </c>
      <c r="AK43" s="109">
        <v>801920.70367499988</v>
      </c>
      <c r="AL43" s="109">
        <v>0</v>
      </c>
      <c r="AM43" s="109">
        <v>801920.70367499988</v>
      </c>
      <c r="AN43" s="109">
        <v>923308.20367499988</v>
      </c>
      <c r="AO43" s="109">
        <v>704167.34363535431</v>
      </c>
      <c r="AP43" s="109">
        <v>850375.9462570661</v>
      </c>
      <c r="AQ43" s="109">
        <v>740694.11242893303</v>
      </c>
      <c r="AR43" s="109">
        <v>0</v>
      </c>
      <c r="AS43" s="109">
        <v>0</v>
      </c>
      <c r="AT43" s="109">
        <v>0</v>
      </c>
      <c r="AU43" s="109">
        <v>801920.70367500023</v>
      </c>
      <c r="AV43" s="109">
        <v>923301.15473524493</v>
      </c>
      <c r="AW43" s="109">
        <v>783467.62387434463</v>
      </c>
      <c r="AX43" s="109">
        <v>904855.12387434463</v>
      </c>
      <c r="AY43" s="109">
        <v>783467.62387434463</v>
      </c>
      <c r="AZ43" s="99">
        <f>SUM($D$43:$AY$43)</f>
        <v>36382946.364516817</v>
      </c>
    </row>
    <row r="44" spans="1:52">
      <c r="A44" s="134" t="s">
        <v>59</v>
      </c>
      <c r="B44" s="134" t="s">
        <v>340</v>
      </c>
      <c r="C44" s="123"/>
      <c r="D44" s="123">
        <f>D$21*shipping_manufacturing!$H$28/100</f>
        <v>0</v>
      </c>
      <c r="E44" s="123">
        <f>E$21*shipping_manufacturing!$H$28/100</f>
        <v>1609.2953138400001</v>
      </c>
      <c r="F44" s="123">
        <f>F$21*shipping_manufacturing!$H$28/100</f>
        <v>1609.2953138400001</v>
      </c>
      <c r="G44" s="123">
        <f>G$21*shipping_manufacturing!$H$28/100</f>
        <v>1446.6914670061676</v>
      </c>
      <c r="H44" s="123">
        <f>H$21*shipping_manufacturing!$H$28/100</f>
        <v>1609.2953138400001</v>
      </c>
      <c r="I44" s="123">
        <f>I$21*shipping_manufacturing!$H$28/100</f>
        <v>1609.2953138400001</v>
      </c>
      <c r="J44" s="123">
        <f>J$21*shipping_manufacturing!$H$28/100</f>
        <v>1609.2953138400001</v>
      </c>
      <c r="K44" s="123">
        <f>K$21*shipping_manufacturing!$H$28/100</f>
        <v>1609.2953138400001</v>
      </c>
      <c r="L44" s="123">
        <f>L$21*shipping_manufacturing!$H$28/100</f>
        <v>1609.2953138400001</v>
      </c>
      <c r="M44" s="123">
        <f>M$21*shipping_manufacturing!$H$28/100</f>
        <v>1480.6724543450098</v>
      </c>
      <c r="N44" s="123">
        <f>N$21*shipping_manufacturing!$H$28/100</f>
        <v>1609.2953138400001</v>
      </c>
      <c r="O44" s="123">
        <f>O$21*shipping_manufacturing!$H$28/100</f>
        <v>1609.2953138400001</v>
      </c>
      <c r="P44" s="123">
        <f>P$21*shipping_manufacturing!$H$28/100</f>
        <v>1609.2953138400001</v>
      </c>
      <c r="Q44" s="123">
        <f>Q$21*shipping_manufacturing!$H$28/100</f>
        <v>1609.2953138400001</v>
      </c>
      <c r="R44" s="123">
        <f>R$21*shipping_manufacturing!$H$28/100</f>
        <v>1609.2953138400001</v>
      </c>
      <c r="S44" s="123">
        <f>S$21*shipping_manufacturing!$H$28/100</f>
        <v>1609.2953138400001</v>
      </c>
      <c r="T44" s="123">
        <f>T$21*shipping_manufacturing!$H$28/100</f>
        <v>1609.2953138400001</v>
      </c>
      <c r="U44" s="123">
        <f>U$21*shipping_manufacturing!$H$28/100</f>
        <v>1609.2953138400001</v>
      </c>
      <c r="V44" s="123">
        <f>V$21*shipping_manufacturing!$H$28/100</f>
        <v>1609.2953138400001</v>
      </c>
      <c r="W44" s="123">
        <f>W$21*shipping_manufacturing!$H$28/100</f>
        <v>1609.2953138400001</v>
      </c>
      <c r="X44" s="123">
        <f>X$21*shipping_manufacturing!$H$28/100</f>
        <v>1609.2953138400001</v>
      </c>
      <c r="Y44" s="123">
        <f>Y$21*shipping_manufacturing!$H$28/100</f>
        <v>1609.2953138400001</v>
      </c>
      <c r="Z44" s="123">
        <f>Z$21*shipping_manufacturing!$H$28/100</f>
        <v>1609.2953138400001</v>
      </c>
      <c r="AA44" s="123">
        <f>AA$21*shipping_manufacturing!$H$28/100</f>
        <v>1609.2953138400001</v>
      </c>
      <c r="AB44" s="123">
        <f>AB$21*shipping_manufacturing!$H$28/100</f>
        <v>1609.2953138400001</v>
      </c>
      <c r="AC44" s="123">
        <f>AC$21*shipping_manufacturing!$H$28/100</f>
        <v>1609.2953138400001</v>
      </c>
      <c r="AD44" s="123">
        <f>AD$21*shipping_manufacturing!$H$28/100</f>
        <v>1609.2953138400001</v>
      </c>
      <c r="AE44" s="123">
        <f>AE$21*shipping_manufacturing!$H$28/100</f>
        <v>1609.2953138400001</v>
      </c>
      <c r="AF44" s="123">
        <f>AF$21*shipping_manufacturing!$H$28/100</f>
        <v>1609.2953138400001</v>
      </c>
      <c r="AG44" s="123">
        <f>AG$21*shipping_manufacturing!$H$28/100</f>
        <v>1609.3075999999999</v>
      </c>
      <c r="AH44" s="123">
        <f>AH$21*shipping_manufacturing!$H$28/100</f>
        <v>1609.3075999999999</v>
      </c>
      <c r="AI44" s="123">
        <f>AI$21*shipping_manufacturing!$H$28/100</f>
        <v>1609.3075999999999</v>
      </c>
      <c r="AJ44" s="123">
        <f>AJ$21*shipping_manufacturing!$H$28/100</f>
        <v>1609.3075999999999</v>
      </c>
      <c r="AK44" s="123">
        <f>AK$21*shipping_manufacturing!$H$28/100</f>
        <v>1609.3075999999999</v>
      </c>
      <c r="AL44" s="123">
        <f>AL$21*shipping_manufacturing!$H$28/100</f>
        <v>0</v>
      </c>
      <c r="AM44" s="123">
        <f>AM$21*shipping_manufacturing!$H$28/100</f>
        <v>1609.3075999999999</v>
      </c>
      <c r="AN44" s="123">
        <f>AN$21*shipping_manufacturing!$H$28/100</f>
        <v>1609.3075999999999</v>
      </c>
      <c r="AO44" s="123">
        <f>AO$21*shipping_manufacturing!$H$28/100</f>
        <v>1481.2406560394761</v>
      </c>
      <c r="AP44" s="123">
        <f>AP$21*shipping_manufacturing!$H$28/100</f>
        <v>1482.1881444588562</v>
      </c>
      <c r="AQ44" s="123">
        <f>AQ$21*shipping_manufacturing!$H$28/100</f>
        <v>1544.906078256</v>
      </c>
      <c r="AR44" s="123">
        <f>AR$21*shipping_manufacturing!$H$28/100</f>
        <v>0</v>
      </c>
      <c r="AS44" s="123">
        <f>AS$21*shipping_manufacturing!$H$28/100</f>
        <v>0</v>
      </c>
      <c r="AT44" s="123">
        <f>AT$21*shipping_manufacturing!$H$28/100</f>
        <v>0</v>
      </c>
      <c r="AU44" s="123">
        <f>AU$21*shipping_manufacturing!$H$28/100</f>
        <v>1609.3076000000001</v>
      </c>
      <c r="AV44" s="123">
        <f>AV$21*shipping_manufacturing!$H$28/100</f>
        <v>1609.2953138400001</v>
      </c>
      <c r="AW44" s="123">
        <f>AW$21*shipping_manufacturing!$H$28/100</f>
        <v>1577.1442536240002</v>
      </c>
      <c r="AX44" s="123">
        <f>AX$21*shipping_manufacturing!$H$28/100</f>
        <v>1577.1442536240002</v>
      </c>
      <c r="AY44" s="123">
        <f>AY$21*shipping_manufacturing!$H$28/100</f>
        <v>1577.1442536240002</v>
      </c>
    </row>
    <row r="45" spans="1:52">
      <c r="A45" s="112" t="s">
        <v>339</v>
      </c>
      <c r="B45" s="164" t="s">
        <v>341</v>
      </c>
      <c r="C45" s="109"/>
      <c r="D45" s="109">
        <f>D$22*shipping_manufacturing!$I$28/100</f>
        <v>0</v>
      </c>
      <c r="E45" s="109">
        <f>E$22*shipping_manufacturing!$I$28/100</f>
        <v>838.74289662000012</v>
      </c>
      <c r="F45" s="109">
        <f>F$22*shipping_manufacturing!$I$28/100</f>
        <v>838.74289662000012</v>
      </c>
      <c r="G45" s="109">
        <f>G$22*shipping_manufacturing!$I$28/100</f>
        <v>753.99597644812968</v>
      </c>
      <c r="H45" s="109">
        <f>H$22*shipping_manufacturing!$I$28/100</f>
        <v>838.74289662000012</v>
      </c>
      <c r="I45" s="109">
        <f>I$22*shipping_manufacturing!$I$28/100</f>
        <v>838.74289662000012</v>
      </c>
      <c r="J45" s="109">
        <f>J$22*shipping_manufacturing!$I$28/100</f>
        <v>838.74289662000012</v>
      </c>
      <c r="K45" s="109">
        <f>K$22*shipping_manufacturing!$I$28/100</f>
        <v>838.74289662000012</v>
      </c>
      <c r="L45" s="109">
        <f>L$22*shipping_manufacturing!$I$28/100</f>
        <v>838.74289662000012</v>
      </c>
      <c r="M45" s="109">
        <f>M$22*shipping_manufacturing!$I$28/100</f>
        <v>771.70640628998399</v>
      </c>
      <c r="N45" s="109">
        <f>N$22*shipping_manufacturing!$I$28/100</f>
        <v>838.74289662000012</v>
      </c>
      <c r="O45" s="109">
        <f>O$22*shipping_manufacturing!$I$28/100</f>
        <v>838.74289662000012</v>
      </c>
      <c r="P45" s="109">
        <f>P$22*shipping_manufacturing!$I$28/100</f>
        <v>838.74289662000012</v>
      </c>
      <c r="Q45" s="109">
        <f>Q$22*shipping_manufacturing!$I$28/100</f>
        <v>838.74289662000012</v>
      </c>
      <c r="R45" s="109">
        <f>R$22*shipping_manufacturing!$I$28/100</f>
        <v>838.74289662000012</v>
      </c>
      <c r="S45" s="109">
        <f>S$22*shipping_manufacturing!$I$28/100</f>
        <v>838.74289662000012</v>
      </c>
      <c r="T45" s="109">
        <f>T$22*shipping_manufacturing!$I$28/100</f>
        <v>838.74289662000012</v>
      </c>
      <c r="U45" s="109">
        <f>U$22*shipping_manufacturing!$I$28/100</f>
        <v>838.74289662000012</v>
      </c>
      <c r="V45" s="109">
        <f>V$22*shipping_manufacturing!$I$28/100</f>
        <v>838.74289662000012</v>
      </c>
      <c r="W45" s="109">
        <f>W$22*shipping_manufacturing!$I$28/100</f>
        <v>838.74289662000012</v>
      </c>
      <c r="X45" s="109">
        <f>X$22*shipping_manufacturing!$I$28/100</f>
        <v>838.74289662000012</v>
      </c>
      <c r="Y45" s="109">
        <f>Y$22*shipping_manufacturing!$I$28/100</f>
        <v>838.74289662000012</v>
      </c>
      <c r="Z45" s="109">
        <f>Z$22*shipping_manufacturing!$I$28/100</f>
        <v>838.74289662000012</v>
      </c>
      <c r="AA45" s="109">
        <f>AA$22*shipping_manufacturing!$I$28/100</f>
        <v>838.74289662000012</v>
      </c>
      <c r="AB45" s="109">
        <f>AB$22*shipping_manufacturing!$I$28/100</f>
        <v>838.74289662000012</v>
      </c>
      <c r="AC45" s="109">
        <f>AC$22*shipping_manufacturing!$I$28/100</f>
        <v>838.74289662000012</v>
      </c>
      <c r="AD45" s="109">
        <f>AD$22*shipping_manufacturing!$I$28/100</f>
        <v>838.74289662000012</v>
      </c>
      <c r="AE45" s="109">
        <f>AE$22*shipping_manufacturing!$I$28/100</f>
        <v>838.74289662000012</v>
      </c>
      <c r="AF45" s="109">
        <f>AF$22*shipping_manufacturing!$I$28/100</f>
        <v>838.74289662000012</v>
      </c>
      <c r="AG45" s="109">
        <f>AG$22*shipping_manufacturing!$I$28/100</f>
        <v>838.74930000000006</v>
      </c>
      <c r="AH45" s="109">
        <f>AH$22*shipping_manufacturing!$I$28/100</f>
        <v>838.74930000000006</v>
      </c>
      <c r="AI45" s="109">
        <f>AI$22*shipping_manufacturing!$I$28/100</f>
        <v>838.74930000000006</v>
      </c>
      <c r="AJ45" s="109">
        <f>AJ$22*shipping_manufacturing!$I$28/100</f>
        <v>838.74930000000006</v>
      </c>
      <c r="AK45" s="109">
        <f>AK$22*shipping_manufacturing!$I$28/100</f>
        <v>838.74930000000006</v>
      </c>
      <c r="AL45" s="109">
        <f>AL$22*shipping_manufacturing!$I$28/100</f>
        <v>0</v>
      </c>
      <c r="AM45" s="109">
        <f>AM$22*shipping_manufacturing!$I$28/100</f>
        <v>838.74930000000006</v>
      </c>
      <c r="AN45" s="109">
        <f>AN$22*shipping_manufacturing!$I$28/100</f>
        <v>838.74930000000006</v>
      </c>
      <c r="AO45" s="109">
        <f>AO$22*shipping_manufacturing!$I$28/100</f>
        <v>772.00254530870995</v>
      </c>
      <c r="AP45" s="109">
        <f>AP$22*shipping_manufacturing!$I$28/100</f>
        <v>772.49636342559052</v>
      </c>
      <c r="AQ45" s="109">
        <f>AQ$22*shipping_manufacturing!$I$28/100</f>
        <v>805.18410010799994</v>
      </c>
      <c r="AR45" s="109">
        <f>AR$22*shipping_manufacturing!$I$28/100</f>
        <v>0</v>
      </c>
      <c r="AS45" s="109">
        <f>AS$22*shipping_manufacturing!$I$28/100</f>
        <v>0</v>
      </c>
      <c r="AT45" s="109">
        <f>AT$22*shipping_manufacturing!$I$28/100</f>
        <v>0</v>
      </c>
      <c r="AU45" s="109">
        <f>AU$22*shipping_manufacturing!$I$28/100</f>
        <v>838.74930000000006</v>
      </c>
      <c r="AV45" s="109">
        <f>AV$22*shipping_manufacturing!$I$28/100</f>
        <v>838.74289662000012</v>
      </c>
      <c r="AW45" s="109">
        <f>AW$22*shipping_manufacturing!$I$28/100</f>
        <v>821.98619998200013</v>
      </c>
      <c r="AX45" s="109">
        <f>AX$22*shipping_manufacturing!$I$28/100</f>
        <v>821.98619998200013</v>
      </c>
      <c r="AY45" s="109">
        <f>AY$22*shipping_manufacturing!$I$28/100</f>
        <v>821.98619998200013</v>
      </c>
    </row>
    <row r="46" spans="1:52">
      <c r="A46" s="109">
        <v>495</v>
      </c>
      <c r="B46" s="164" t="s">
        <v>342</v>
      </c>
      <c r="C46" s="109"/>
      <c r="D46" s="109">
        <f>SUM(D44:D45)</f>
        <v>0</v>
      </c>
      <c r="E46" s="109">
        <f t="shared" ref="E46:AY46" si="14">SUM(E44:E45)</f>
        <v>2448.0382104600003</v>
      </c>
      <c r="F46" s="109">
        <f t="shared" si="14"/>
        <v>2448.0382104600003</v>
      </c>
      <c r="G46" s="109">
        <f t="shared" si="14"/>
        <v>2200.6874434542974</v>
      </c>
      <c r="H46" s="109">
        <f t="shared" si="14"/>
        <v>2448.0382104600003</v>
      </c>
      <c r="I46" s="109">
        <f t="shared" si="14"/>
        <v>2448.0382104600003</v>
      </c>
      <c r="J46" s="109">
        <f t="shared" si="14"/>
        <v>2448.0382104600003</v>
      </c>
      <c r="K46" s="109">
        <f t="shared" si="14"/>
        <v>2448.0382104600003</v>
      </c>
      <c r="L46" s="109">
        <f t="shared" si="14"/>
        <v>2448.0382104600003</v>
      </c>
      <c r="M46" s="109">
        <f t="shared" si="14"/>
        <v>2252.3788606349935</v>
      </c>
      <c r="N46" s="109">
        <f t="shared" si="14"/>
        <v>2448.0382104600003</v>
      </c>
      <c r="O46" s="109">
        <f t="shared" si="14"/>
        <v>2448.0382104600003</v>
      </c>
      <c r="P46" s="109">
        <f t="shared" si="14"/>
        <v>2448.0382104600003</v>
      </c>
      <c r="Q46" s="109">
        <f t="shared" si="14"/>
        <v>2448.0382104600003</v>
      </c>
      <c r="R46" s="109">
        <f t="shared" si="14"/>
        <v>2448.0382104600003</v>
      </c>
      <c r="S46" s="109">
        <f t="shared" si="14"/>
        <v>2448.0382104600003</v>
      </c>
      <c r="T46" s="109">
        <f t="shared" si="14"/>
        <v>2448.0382104600003</v>
      </c>
      <c r="U46" s="109">
        <f t="shared" si="14"/>
        <v>2448.0382104600003</v>
      </c>
      <c r="V46" s="109">
        <f t="shared" si="14"/>
        <v>2448.0382104600003</v>
      </c>
      <c r="W46" s="109">
        <f t="shared" si="14"/>
        <v>2448.0382104600003</v>
      </c>
      <c r="X46" s="109">
        <f t="shared" si="14"/>
        <v>2448.0382104600003</v>
      </c>
      <c r="Y46" s="109">
        <f t="shared" si="14"/>
        <v>2448.0382104600003</v>
      </c>
      <c r="Z46" s="109">
        <f t="shared" si="14"/>
        <v>2448.0382104600003</v>
      </c>
      <c r="AA46" s="109">
        <f t="shared" si="14"/>
        <v>2448.0382104600003</v>
      </c>
      <c r="AB46" s="109">
        <f t="shared" si="14"/>
        <v>2448.0382104600003</v>
      </c>
      <c r="AC46" s="109">
        <f t="shared" si="14"/>
        <v>2448.0382104600003</v>
      </c>
      <c r="AD46" s="109">
        <f t="shared" si="14"/>
        <v>2448.0382104600003</v>
      </c>
      <c r="AE46" s="109">
        <f t="shared" si="14"/>
        <v>2448.0382104600003</v>
      </c>
      <c r="AF46" s="109">
        <f t="shared" si="14"/>
        <v>2448.0382104600003</v>
      </c>
      <c r="AG46" s="109">
        <f t="shared" si="14"/>
        <v>2448.0569</v>
      </c>
      <c r="AH46" s="109">
        <f t="shared" si="14"/>
        <v>2448.0569</v>
      </c>
      <c r="AI46" s="109">
        <f t="shared" si="14"/>
        <v>2448.0569</v>
      </c>
      <c r="AJ46" s="109">
        <f t="shared" si="14"/>
        <v>2448.0569</v>
      </c>
      <c r="AK46" s="109">
        <f t="shared" si="14"/>
        <v>2448.0569</v>
      </c>
      <c r="AL46" s="109">
        <f t="shared" si="14"/>
        <v>0</v>
      </c>
      <c r="AM46" s="109">
        <f t="shared" si="14"/>
        <v>2448.0569</v>
      </c>
      <c r="AN46" s="109">
        <f t="shared" si="14"/>
        <v>2448.0569</v>
      </c>
      <c r="AO46" s="109">
        <f t="shared" si="14"/>
        <v>2253.2432013481862</v>
      </c>
      <c r="AP46" s="109">
        <f t="shared" si="14"/>
        <v>2254.6845078844467</v>
      </c>
      <c r="AQ46" s="109">
        <f t="shared" si="14"/>
        <v>2350.0901783640002</v>
      </c>
      <c r="AR46" s="109">
        <f t="shared" si="14"/>
        <v>0</v>
      </c>
      <c r="AS46" s="109">
        <f t="shared" si="14"/>
        <v>0</v>
      </c>
      <c r="AT46" s="109">
        <f t="shared" si="14"/>
        <v>0</v>
      </c>
      <c r="AU46" s="109">
        <f t="shared" si="14"/>
        <v>2448.0569</v>
      </c>
      <c r="AV46" s="109">
        <f t="shared" si="14"/>
        <v>2448.0382104600003</v>
      </c>
      <c r="AW46" s="109">
        <f t="shared" si="14"/>
        <v>2399.1304536060002</v>
      </c>
      <c r="AX46" s="109">
        <f t="shared" si="14"/>
        <v>2399.1304536060002</v>
      </c>
      <c r="AY46" s="109">
        <f t="shared" si="14"/>
        <v>2399.1304536060002</v>
      </c>
    </row>
    <row r="47" spans="1:52">
      <c r="A47" s="109"/>
      <c r="B47" s="164" t="s">
        <v>343</v>
      </c>
      <c r="C47" s="109"/>
      <c r="D47" s="109"/>
      <c r="E47" s="109">
        <v>946.62952646239398</v>
      </c>
      <c r="F47" s="109"/>
      <c r="G47" s="109">
        <v>907.18662952646093</v>
      </c>
      <c r="H47" s="109"/>
      <c r="I47" s="109">
        <v>946.62952646239398</v>
      </c>
      <c r="J47" s="109"/>
      <c r="K47" s="109">
        <v>946.62952646239398</v>
      </c>
      <c r="L47" s="109"/>
      <c r="M47" s="109">
        <v>926.90807799442769</v>
      </c>
      <c r="N47" s="109"/>
      <c r="O47" s="109">
        <v>946.62952646239398</v>
      </c>
      <c r="P47" s="109"/>
      <c r="Q47" s="109">
        <v>946.62952646239398</v>
      </c>
      <c r="R47" s="109"/>
      <c r="S47" s="109">
        <v>946.62952646239398</v>
      </c>
      <c r="T47" s="109"/>
      <c r="U47" s="109">
        <v>946.62952646239398</v>
      </c>
      <c r="V47" s="109"/>
      <c r="W47" s="109">
        <v>946.62952646239398</v>
      </c>
      <c r="X47" s="109"/>
      <c r="Y47" s="109">
        <v>946.62952646239398</v>
      </c>
      <c r="Z47" s="109"/>
      <c r="AA47" s="109">
        <v>946.62952646239398</v>
      </c>
      <c r="AB47" s="109"/>
      <c r="AC47" s="109">
        <v>946.62952646239398</v>
      </c>
      <c r="AD47" s="109"/>
      <c r="AE47" s="109">
        <v>946.62952646239398</v>
      </c>
      <c r="AF47" s="109"/>
      <c r="AG47" s="109">
        <v>946.62952646239398</v>
      </c>
      <c r="AH47" s="109"/>
      <c r="AI47" s="109">
        <v>946.62952646239398</v>
      </c>
      <c r="AJ47" s="109"/>
      <c r="AK47" s="109">
        <v>946.62952646239398</v>
      </c>
      <c r="AL47" s="109"/>
      <c r="AM47" s="109">
        <v>946.62952646239398</v>
      </c>
      <c r="AN47" s="109"/>
      <c r="AO47" s="109">
        <v>926.90807799442746</v>
      </c>
      <c r="AP47" s="109"/>
      <c r="AQ47" s="109">
        <v>926.90807799442746</v>
      </c>
      <c r="AR47" s="109"/>
      <c r="AS47" s="109"/>
      <c r="AT47" s="109"/>
      <c r="AU47" s="109">
        <v>946.62952646239421</v>
      </c>
      <c r="AV47" s="109"/>
      <c r="AW47" s="109">
        <v>946.62952646239421</v>
      </c>
      <c r="AX47" s="109"/>
      <c r="AY47" s="109">
        <v>946.62952646239421</v>
      </c>
    </row>
    <row r="48" spans="1:52">
      <c r="A48" s="109"/>
      <c r="B48" s="164" t="s">
        <v>344</v>
      </c>
      <c r="C48" s="109"/>
      <c r="D48" s="109"/>
      <c r="E48" s="109">
        <v>493.37047353760414</v>
      </c>
      <c r="F48" s="109"/>
      <c r="G48" s="109">
        <v>472.8133704735373</v>
      </c>
      <c r="H48" s="109"/>
      <c r="I48" s="109">
        <v>493.37047353760414</v>
      </c>
      <c r="J48" s="109"/>
      <c r="K48" s="109">
        <v>493.37047353760414</v>
      </c>
      <c r="L48" s="109"/>
      <c r="M48" s="109">
        <v>483.09192200557072</v>
      </c>
      <c r="N48" s="109"/>
      <c r="O48" s="109">
        <v>493.37047353760414</v>
      </c>
      <c r="P48" s="109"/>
      <c r="Q48" s="109">
        <v>493.37047353760414</v>
      </c>
      <c r="R48" s="109"/>
      <c r="S48" s="109">
        <v>493.37047353760414</v>
      </c>
      <c r="T48" s="109"/>
      <c r="U48" s="109">
        <v>493.37047353760414</v>
      </c>
      <c r="V48" s="109"/>
      <c r="W48" s="109">
        <v>493.37047353760414</v>
      </c>
      <c r="X48" s="109"/>
      <c r="Y48" s="109">
        <v>493.37047353760414</v>
      </c>
      <c r="Z48" s="109"/>
      <c r="AA48" s="109">
        <v>493.37047353760414</v>
      </c>
      <c r="AB48" s="109"/>
      <c r="AC48" s="109">
        <v>493.37047353760414</v>
      </c>
      <c r="AD48" s="109"/>
      <c r="AE48" s="109">
        <v>493.37047353760414</v>
      </c>
      <c r="AF48" s="109"/>
      <c r="AG48" s="109">
        <v>493.37047353760414</v>
      </c>
      <c r="AH48" s="109"/>
      <c r="AI48" s="109">
        <v>493.37047353760414</v>
      </c>
      <c r="AJ48" s="109"/>
      <c r="AK48" s="109">
        <v>493.37047353760414</v>
      </c>
      <c r="AL48" s="109"/>
      <c r="AM48" s="109">
        <v>493.37047353760414</v>
      </c>
      <c r="AN48" s="109"/>
      <c r="AO48" s="109">
        <v>483.09192200557067</v>
      </c>
      <c r="AP48" s="109"/>
      <c r="AQ48" s="109">
        <v>483.09192200557072</v>
      </c>
      <c r="AR48" s="109"/>
      <c r="AS48" s="109"/>
      <c r="AT48" s="109"/>
      <c r="AU48" s="109">
        <v>493.37047353760414</v>
      </c>
      <c r="AV48" s="109"/>
      <c r="AW48" s="109">
        <v>493.37047353760414</v>
      </c>
      <c r="AX48" s="109"/>
      <c r="AY48" s="109">
        <v>493.37047353760414</v>
      </c>
    </row>
    <row r="49" spans="1:52">
      <c r="A49" s="109"/>
      <c r="B49" s="164" t="s">
        <v>345</v>
      </c>
      <c r="C49" s="109"/>
      <c r="D49" s="109"/>
      <c r="E49" s="109">
        <v>48</v>
      </c>
      <c r="F49" s="109"/>
      <c r="G49" s="109">
        <v>46</v>
      </c>
      <c r="H49" s="109"/>
      <c r="I49" s="109">
        <v>48</v>
      </c>
      <c r="J49" s="109"/>
      <c r="K49" s="109">
        <v>48</v>
      </c>
      <c r="L49" s="109"/>
      <c r="M49" s="109">
        <v>47</v>
      </c>
      <c r="N49" s="109"/>
      <c r="O49" s="109">
        <v>48</v>
      </c>
      <c r="P49" s="109"/>
      <c r="Q49" s="109">
        <v>48</v>
      </c>
      <c r="R49" s="109"/>
      <c r="S49" s="109">
        <v>48</v>
      </c>
      <c r="T49" s="109"/>
      <c r="U49" s="109">
        <v>48</v>
      </c>
      <c r="V49" s="109"/>
      <c r="W49" s="109">
        <v>48</v>
      </c>
      <c r="X49" s="109"/>
      <c r="Y49" s="109">
        <v>48</v>
      </c>
      <c r="Z49" s="109"/>
      <c r="AA49" s="109">
        <v>48</v>
      </c>
      <c r="AB49" s="109"/>
      <c r="AC49" s="109">
        <v>48</v>
      </c>
      <c r="AD49" s="109"/>
      <c r="AE49" s="109">
        <v>48</v>
      </c>
      <c r="AF49" s="109"/>
      <c r="AG49" s="109">
        <v>48</v>
      </c>
      <c r="AH49" s="109"/>
      <c r="AI49" s="109">
        <v>48</v>
      </c>
      <c r="AJ49" s="109"/>
      <c r="AK49" s="109">
        <v>48</v>
      </c>
      <c r="AL49" s="109"/>
      <c r="AM49" s="109">
        <v>48</v>
      </c>
      <c r="AN49" s="109"/>
      <c r="AO49" s="109">
        <v>47</v>
      </c>
      <c r="AP49" s="109"/>
      <c r="AQ49" s="109">
        <v>47</v>
      </c>
      <c r="AR49" s="109"/>
      <c r="AS49" s="109"/>
      <c r="AT49" s="109"/>
      <c r="AU49" s="109">
        <v>48</v>
      </c>
      <c r="AV49" s="109"/>
      <c r="AW49" s="109">
        <v>48</v>
      </c>
      <c r="AX49" s="109"/>
      <c r="AY49" s="109">
        <v>48</v>
      </c>
    </row>
    <row r="50" spans="1:52">
      <c r="A50" s="109"/>
      <c r="B50" s="164" t="s">
        <v>346</v>
      </c>
      <c r="C50" s="109"/>
      <c r="D50" s="109">
        <f>D44-D47</f>
        <v>0</v>
      </c>
      <c r="E50" s="109">
        <f t="shared" ref="E50:AY50" si="15">E44-E47</f>
        <v>662.66578737760608</v>
      </c>
      <c r="F50" s="109">
        <f t="shared" si="15"/>
        <v>1609.2953138400001</v>
      </c>
      <c r="G50" s="109">
        <f t="shared" si="15"/>
        <v>539.50483747970668</v>
      </c>
      <c r="H50" s="109">
        <f t="shared" si="15"/>
        <v>1609.2953138400001</v>
      </c>
      <c r="I50" s="109">
        <f t="shared" si="15"/>
        <v>662.66578737760608</v>
      </c>
      <c r="J50" s="109">
        <f t="shared" si="15"/>
        <v>1609.2953138400001</v>
      </c>
      <c r="K50" s="109">
        <f t="shared" si="15"/>
        <v>662.66578737760608</v>
      </c>
      <c r="L50" s="109">
        <f t="shared" si="15"/>
        <v>1609.2953138400001</v>
      </c>
      <c r="M50" s="109">
        <f t="shared" si="15"/>
        <v>553.7643763505821</v>
      </c>
      <c r="N50" s="109">
        <f t="shared" si="15"/>
        <v>1609.2953138400001</v>
      </c>
      <c r="O50" s="109">
        <f t="shared" si="15"/>
        <v>662.66578737760608</v>
      </c>
      <c r="P50" s="109">
        <f t="shared" si="15"/>
        <v>1609.2953138400001</v>
      </c>
      <c r="Q50" s="109">
        <f t="shared" si="15"/>
        <v>662.66578737760608</v>
      </c>
      <c r="R50" s="109">
        <f t="shared" si="15"/>
        <v>1609.2953138400001</v>
      </c>
      <c r="S50" s="109">
        <f t="shared" si="15"/>
        <v>662.66578737760608</v>
      </c>
      <c r="T50" s="109">
        <f t="shared" si="15"/>
        <v>1609.2953138400001</v>
      </c>
      <c r="U50" s="109">
        <f t="shared" si="15"/>
        <v>662.66578737760608</v>
      </c>
      <c r="V50" s="109">
        <f t="shared" si="15"/>
        <v>1609.2953138400001</v>
      </c>
      <c r="W50" s="109">
        <f t="shared" si="15"/>
        <v>662.66578737760608</v>
      </c>
      <c r="X50" s="109">
        <f t="shared" si="15"/>
        <v>1609.2953138400001</v>
      </c>
      <c r="Y50" s="109">
        <f t="shared" si="15"/>
        <v>662.66578737760608</v>
      </c>
      <c r="Z50" s="109">
        <f t="shared" si="15"/>
        <v>1609.2953138400001</v>
      </c>
      <c r="AA50" s="109">
        <f t="shared" si="15"/>
        <v>662.66578737760608</v>
      </c>
      <c r="AB50" s="109">
        <f t="shared" si="15"/>
        <v>1609.2953138400001</v>
      </c>
      <c r="AC50" s="109">
        <f t="shared" si="15"/>
        <v>662.66578737760608</v>
      </c>
      <c r="AD50" s="109">
        <f t="shared" si="15"/>
        <v>1609.2953138400001</v>
      </c>
      <c r="AE50" s="109">
        <f t="shared" si="15"/>
        <v>662.66578737760608</v>
      </c>
      <c r="AF50" s="109">
        <f t="shared" si="15"/>
        <v>1609.2953138400001</v>
      </c>
      <c r="AG50" s="109">
        <f t="shared" si="15"/>
        <v>662.67807353760588</v>
      </c>
      <c r="AH50" s="109">
        <f t="shared" si="15"/>
        <v>1609.3075999999999</v>
      </c>
      <c r="AI50" s="109">
        <f t="shared" si="15"/>
        <v>662.67807353760588</v>
      </c>
      <c r="AJ50" s="109">
        <f t="shared" si="15"/>
        <v>1609.3075999999999</v>
      </c>
      <c r="AK50" s="109">
        <f t="shared" si="15"/>
        <v>662.67807353760588</v>
      </c>
      <c r="AL50" s="109">
        <f t="shared" si="15"/>
        <v>0</v>
      </c>
      <c r="AM50" s="109">
        <f t="shared" si="15"/>
        <v>662.67807353760588</v>
      </c>
      <c r="AN50" s="109">
        <f t="shared" si="15"/>
        <v>1609.3075999999999</v>
      </c>
      <c r="AO50" s="109">
        <f t="shared" si="15"/>
        <v>554.33257804504865</v>
      </c>
      <c r="AP50" s="109">
        <f t="shared" si="15"/>
        <v>1482.1881444588562</v>
      </c>
      <c r="AQ50" s="109">
        <f t="shared" si="15"/>
        <v>617.99800026157254</v>
      </c>
      <c r="AR50" s="109">
        <f t="shared" si="15"/>
        <v>0</v>
      </c>
      <c r="AS50" s="109">
        <f t="shared" si="15"/>
        <v>0</v>
      </c>
      <c r="AT50" s="109">
        <f t="shared" si="15"/>
        <v>0</v>
      </c>
      <c r="AU50" s="109">
        <f t="shared" si="15"/>
        <v>662.67807353760588</v>
      </c>
      <c r="AV50" s="109">
        <f t="shared" si="15"/>
        <v>1609.2953138400001</v>
      </c>
      <c r="AW50" s="109">
        <f t="shared" si="15"/>
        <v>630.51472716160595</v>
      </c>
      <c r="AX50" s="109">
        <f t="shared" si="15"/>
        <v>1577.1442536240002</v>
      </c>
      <c r="AY50" s="109">
        <f t="shared" si="15"/>
        <v>630.51472716160595</v>
      </c>
    </row>
    <row r="51" spans="1:52">
      <c r="A51" s="109"/>
      <c r="B51" s="164" t="s">
        <v>347</v>
      </c>
      <c r="C51" s="109"/>
      <c r="D51" s="109">
        <f>D45-D48</f>
        <v>0</v>
      </c>
      <c r="E51" s="109">
        <f t="shared" ref="E51:AY51" si="16">E45-E48</f>
        <v>345.37242308239598</v>
      </c>
      <c r="F51" s="109">
        <f t="shared" si="16"/>
        <v>838.74289662000012</v>
      </c>
      <c r="G51" s="109">
        <f t="shared" si="16"/>
        <v>281.18260597459238</v>
      </c>
      <c r="H51" s="109">
        <f t="shared" si="16"/>
        <v>838.74289662000012</v>
      </c>
      <c r="I51" s="109">
        <f t="shared" si="16"/>
        <v>345.37242308239598</v>
      </c>
      <c r="J51" s="109">
        <f t="shared" si="16"/>
        <v>838.74289662000012</v>
      </c>
      <c r="K51" s="109">
        <f t="shared" si="16"/>
        <v>345.37242308239598</v>
      </c>
      <c r="L51" s="109">
        <f t="shared" si="16"/>
        <v>838.74289662000012</v>
      </c>
      <c r="M51" s="109">
        <f t="shared" si="16"/>
        <v>288.61448428441327</v>
      </c>
      <c r="N51" s="109">
        <f t="shared" si="16"/>
        <v>838.74289662000012</v>
      </c>
      <c r="O51" s="109">
        <f t="shared" si="16"/>
        <v>345.37242308239598</v>
      </c>
      <c r="P51" s="109">
        <f t="shared" si="16"/>
        <v>838.74289662000012</v>
      </c>
      <c r="Q51" s="109">
        <f t="shared" si="16"/>
        <v>345.37242308239598</v>
      </c>
      <c r="R51" s="109">
        <f t="shared" si="16"/>
        <v>838.74289662000012</v>
      </c>
      <c r="S51" s="109">
        <f t="shared" si="16"/>
        <v>345.37242308239598</v>
      </c>
      <c r="T51" s="109">
        <f t="shared" si="16"/>
        <v>838.74289662000012</v>
      </c>
      <c r="U51" s="109">
        <f t="shared" si="16"/>
        <v>345.37242308239598</v>
      </c>
      <c r="V51" s="109">
        <f t="shared" si="16"/>
        <v>838.74289662000012</v>
      </c>
      <c r="W51" s="109">
        <f t="shared" si="16"/>
        <v>345.37242308239598</v>
      </c>
      <c r="X51" s="109">
        <f t="shared" si="16"/>
        <v>838.74289662000012</v>
      </c>
      <c r="Y51" s="109">
        <f t="shared" si="16"/>
        <v>345.37242308239598</v>
      </c>
      <c r="Z51" s="109">
        <f t="shared" si="16"/>
        <v>838.74289662000012</v>
      </c>
      <c r="AA51" s="109">
        <f t="shared" si="16"/>
        <v>345.37242308239598</v>
      </c>
      <c r="AB51" s="109">
        <f t="shared" si="16"/>
        <v>838.74289662000012</v>
      </c>
      <c r="AC51" s="109">
        <f t="shared" si="16"/>
        <v>345.37242308239598</v>
      </c>
      <c r="AD51" s="109">
        <f t="shared" si="16"/>
        <v>838.74289662000012</v>
      </c>
      <c r="AE51" s="109">
        <f t="shared" si="16"/>
        <v>345.37242308239598</v>
      </c>
      <c r="AF51" s="109">
        <f t="shared" si="16"/>
        <v>838.74289662000012</v>
      </c>
      <c r="AG51" s="109">
        <f t="shared" si="16"/>
        <v>345.37882646239592</v>
      </c>
      <c r="AH51" s="109">
        <f t="shared" si="16"/>
        <v>838.74930000000006</v>
      </c>
      <c r="AI51" s="109">
        <f t="shared" si="16"/>
        <v>345.37882646239592</v>
      </c>
      <c r="AJ51" s="109">
        <f t="shared" si="16"/>
        <v>838.74930000000006</v>
      </c>
      <c r="AK51" s="109">
        <f t="shared" si="16"/>
        <v>345.37882646239592</v>
      </c>
      <c r="AL51" s="109">
        <f t="shared" si="16"/>
        <v>0</v>
      </c>
      <c r="AM51" s="109">
        <f t="shared" si="16"/>
        <v>345.37882646239592</v>
      </c>
      <c r="AN51" s="109">
        <f t="shared" si="16"/>
        <v>838.74930000000006</v>
      </c>
      <c r="AO51" s="109">
        <f t="shared" si="16"/>
        <v>288.91062330313929</v>
      </c>
      <c r="AP51" s="109">
        <f t="shared" si="16"/>
        <v>772.49636342559052</v>
      </c>
      <c r="AQ51" s="109">
        <f t="shared" si="16"/>
        <v>322.09217810242922</v>
      </c>
      <c r="AR51" s="109">
        <f t="shared" si="16"/>
        <v>0</v>
      </c>
      <c r="AS51" s="109">
        <f t="shared" si="16"/>
        <v>0</v>
      </c>
      <c r="AT51" s="109">
        <f t="shared" si="16"/>
        <v>0</v>
      </c>
      <c r="AU51" s="109">
        <f t="shared" si="16"/>
        <v>345.37882646239592</v>
      </c>
      <c r="AV51" s="109">
        <f t="shared" si="16"/>
        <v>838.74289662000012</v>
      </c>
      <c r="AW51" s="109">
        <f t="shared" si="16"/>
        <v>328.61572644439599</v>
      </c>
      <c r="AX51" s="109">
        <f t="shared" si="16"/>
        <v>821.98619998200013</v>
      </c>
      <c r="AY51" s="109">
        <f t="shared" si="16"/>
        <v>328.61572644439599</v>
      </c>
    </row>
    <row r="52" spans="1:52">
      <c r="A52" s="109"/>
      <c r="B52" s="164" t="s">
        <v>348</v>
      </c>
      <c r="C52" s="109"/>
      <c r="D52" s="109">
        <v>1</v>
      </c>
      <c r="E52" s="109">
        <v>2</v>
      </c>
      <c r="F52" s="109">
        <v>2</v>
      </c>
      <c r="G52" s="109">
        <v>2</v>
      </c>
      <c r="H52" s="109">
        <v>1</v>
      </c>
      <c r="I52" s="109">
        <v>1</v>
      </c>
      <c r="J52" s="109">
        <v>2</v>
      </c>
      <c r="K52" s="109">
        <v>1</v>
      </c>
      <c r="L52" s="109">
        <v>1</v>
      </c>
      <c r="M52" s="109">
        <v>1</v>
      </c>
      <c r="N52" s="109">
        <v>1</v>
      </c>
      <c r="O52" s="109">
        <v>1</v>
      </c>
      <c r="P52" s="109">
        <v>1</v>
      </c>
      <c r="Q52" s="109">
        <v>1</v>
      </c>
      <c r="R52" s="109">
        <v>2</v>
      </c>
      <c r="S52" s="109">
        <v>2</v>
      </c>
      <c r="T52" s="109">
        <v>1</v>
      </c>
      <c r="U52" s="109">
        <v>1</v>
      </c>
      <c r="V52" s="109">
        <v>1</v>
      </c>
      <c r="W52" s="109">
        <v>2</v>
      </c>
      <c r="X52" s="109">
        <v>2</v>
      </c>
      <c r="Y52" s="109">
        <v>1</v>
      </c>
      <c r="Z52" s="109">
        <v>1</v>
      </c>
      <c r="AA52" s="109">
        <v>1</v>
      </c>
      <c r="AB52" s="109">
        <v>1</v>
      </c>
      <c r="AC52" s="109">
        <v>1</v>
      </c>
      <c r="AD52" s="109">
        <v>1</v>
      </c>
      <c r="AE52" s="109">
        <v>1</v>
      </c>
      <c r="AF52" s="109">
        <v>1</v>
      </c>
      <c r="AG52" s="109">
        <v>2</v>
      </c>
      <c r="AH52" s="109">
        <v>2</v>
      </c>
      <c r="AI52" s="109">
        <v>1</v>
      </c>
      <c r="AJ52" s="109">
        <v>2</v>
      </c>
      <c r="AK52" s="109">
        <v>2</v>
      </c>
      <c r="AL52" s="109">
        <v>1</v>
      </c>
      <c r="AM52" s="109">
        <v>3</v>
      </c>
      <c r="AN52" s="109">
        <v>2</v>
      </c>
      <c r="AO52" s="109">
        <v>2</v>
      </c>
      <c r="AP52" s="109">
        <v>1</v>
      </c>
      <c r="AQ52" s="109">
        <v>1</v>
      </c>
      <c r="AR52" s="109">
        <v>1</v>
      </c>
      <c r="AS52" s="109">
        <v>2</v>
      </c>
      <c r="AT52" s="109">
        <v>1</v>
      </c>
      <c r="AU52" s="109">
        <v>1</v>
      </c>
      <c r="AV52" s="109">
        <v>1</v>
      </c>
      <c r="AW52" s="109">
        <v>2</v>
      </c>
      <c r="AX52" s="109">
        <v>2</v>
      </c>
      <c r="AY52" s="109">
        <v>3</v>
      </c>
    </row>
    <row r="53" spans="1:52">
      <c r="A53" s="109"/>
      <c r="B53" s="177" t="s">
        <v>349</v>
      </c>
      <c r="C53" s="109"/>
      <c r="D53" s="109">
        <v>0</v>
      </c>
      <c r="E53" s="109">
        <v>855360</v>
      </c>
      <c r="F53" s="109">
        <v>0</v>
      </c>
      <c r="G53" s="109">
        <v>819720</v>
      </c>
      <c r="H53" s="109">
        <v>0</v>
      </c>
      <c r="I53" s="109">
        <v>855360</v>
      </c>
      <c r="J53" s="109">
        <v>0</v>
      </c>
      <c r="K53" s="109">
        <v>855360</v>
      </c>
      <c r="L53" s="109">
        <v>0</v>
      </c>
      <c r="M53" s="109">
        <v>837540</v>
      </c>
      <c r="N53" s="109">
        <v>0</v>
      </c>
      <c r="O53" s="109">
        <v>855360</v>
      </c>
      <c r="P53" s="109">
        <v>0</v>
      </c>
      <c r="Q53" s="109">
        <v>855360</v>
      </c>
      <c r="R53" s="109">
        <v>0</v>
      </c>
      <c r="S53" s="109">
        <v>855360</v>
      </c>
      <c r="T53" s="109">
        <v>0</v>
      </c>
      <c r="U53" s="109">
        <v>855360</v>
      </c>
      <c r="V53" s="109">
        <v>0</v>
      </c>
      <c r="W53" s="109">
        <v>855360</v>
      </c>
      <c r="X53" s="109">
        <v>0</v>
      </c>
      <c r="Y53" s="109">
        <v>855360</v>
      </c>
      <c r="Z53" s="109">
        <v>0</v>
      </c>
      <c r="AA53" s="109">
        <v>855360</v>
      </c>
      <c r="AB53" s="109">
        <v>0</v>
      </c>
      <c r="AC53" s="109">
        <v>855360</v>
      </c>
      <c r="AD53" s="109">
        <v>0</v>
      </c>
      <c r="AE53" s="109">
        <v>855360</v>
      </c>
      <c r="AF53" s="109">
        <v>0</v>
      </c>
      <c r="AG53" s="109">
        <v>855360</v>
      </c>
      <c r="AH53" s="109">
        <v>0</v>
      </c>
      <c r="AI53" s="109">
        <v>855360</v>
      </c>
      <c r="AJ53" s="109">
        <v>0</v>
      </c>
      <c r="AK53" s="109">
        <v>855360</v>
      </c>
      <c r="AL53" s="109">
        <v>0</v>
      </c>
      <c r="AM53" s="109">
        <v>855360</v>
      </c>
      <c r="AN53" s="109">
        <v>0</v>
      </c>
      <c r="AO53" s="109">
        <v>837540</v>
      </c>
      <c r="AP53" s="109">
        <v>0</v>
      </c>
      <c r="AQ53" s="109">
        <v>837540</v>
      </c>
      <c r="AR53" s="109">
        <v>0</v>
      </c>
      <c r="AS53" s="109">
        <v>0</v>
      </c>
      <c r="AT53" s="109">
        <v>0</v>
      </c>
      <c r="AU53" s="109">
        <v>855360</v>
      </c>
      <c r="AV53" s="109">
        <v>0</v>
      </c>
      <c r="AW53" s="109">
        <v>855360</v>
      </c>
      <c r="AX53" s="109">
        <v>0</v>
      </c>
      <c r="AY53" s="109">
        <v>855360</v>
      </c>
      <c r="AZ53" s="99">
        <f>SUM($D$53:$AY$53)</f>
        <v>19584180</v>
      </c>
    </row>
    <row r="54" spans="1:52">
      <c r="A54" s="124"/>
      <c r="B54" s="139" t="s">
        <v>350</v>
      </c>
      <c r="C54" s="124"/>
      <c r="D54" s="124">
        <v>0</v>
      </c>
      <c r="E54" s="124">
        <v>324336.29421550571</v>
      </c>
      <c r="F54" s="124">
        <v>787656.29421550513</v>
      </c>
      <c r="G54" s="124">
        <v>264056.18493142072</v>
      </c>
      <c r="H54" s="124">
        <v>787656.29421550513</v>
      </c>
      <c r="I54" s="124">
        <v>324336.29421550571</v>
      </c>
      <c r="J54" s="124">
        <v>787656.29421550513</v>
      </c>
      <c r="K54" s="124">
        <v>324336.29421550571</v>
      </c>
      <c r="L54" s="124">
        <v>787656.29421550513</v>
      </c>
      <c r="M54" s="124">
        <v>271035.3984093098</v>
      </c>
      <c r="N54" s="124">
        <v>787656.29421550513</v>
      </c>
      <c r="O54" s="124">
        <v>324336.29421550571</v>
      </c>
      <c r="P54" s="124">
        <v>787656.29421550513</v>
      </c>
      <c r="Q54" s="124">
        <v>324336.29421550571</v>
      </c>
      <c r="R54" s="124">
        <v>787656.29421550513</v>
      </c>
      <c r="S54" s="124">
        <v>324336.29421550571</v>
      </c>
      <c r="T54" s="124">
        <v>787656.29421550513</v>
      </c>
      <c r="U54" s="124">
        <v>324336.29421550571</v>
      </c>
      <c r="V54" s="124">
        <v>787656.29421550513</v>
      </c>
      <c r="W54" s="124">
        <v>324336.29421550571</v>
      </c>
      <c r="X54" s="124">
        <v>787656.29421550513</v>
      </c>
      <c r="Y54" s="124">
        <v>324336.29421550571</v>
      </c>
      <c r="Z54" s="124">
        <v>787656.29421550513</v>
      </c>
      <c r="AA54" s="124">
        <v>324336.29421550571</v>
      </c>
      <c r="AB54" s="124">
        <v>787656.29421550513</v>
      </c>
      <c r="AC54" s="124">
        <v>324336.29421550571</v>
      </c>
      <c r="AD54" s="124">
        <v>787656.29421550513</v>
      </c>
      <c r="AE54" s="124">
        <v>324336.29421550571</v>
      </c>
      <c r="AF54" s="124">
        <v>787656.29421550513</v>
      </c>
      <c r="AG54" s="124">
        <v>324342.30757500062</v>
      </c>
      <c r="AH54" s="124">
        <v>787662.3075750001</v>
      </c>
      <c r="AI54" s="124">
        <v>324342.30757500062</v>
      </c>
      <c r="AJ54" s="124">
        <v>787662.3075750001</v>
      </c>
      <c r="AK54" s="124">
        <v>324342.30757500062</v>
      </c>
      <c r="AL54" s="124">
        <v>0</v>
      </c>
      <c r="AM54" s="124">
        <v>324342.30757500062</v>
      </c>
      <c r="AN54" s="124">
        <v>787662.3075750001</v>
      </c>
      <c r="AO54" s="124">
        <v>271313.50003377948</v>
      </c>
      <c r="AP54" s="124">
        <v>725444.74041182082</v>
      </c>
      <c r="AQ54" s="124">
        <v>302474.01488861756</v>
      </c>
      <c r="AR54" s="124">
        <v>0</v>
      </c>
      <c r="AS54" s="124">
        <v>0</v>
      </c>
      <c r="AT54" s="124">
        <v>0</v>
      </c>
      <c r="AU54" s="124">
        <v>324342.30757500062</v>
      </c>
      <c r="AV54" s="124">
        <v>787656.29421550513</v>
      </c>
      <c r="AW54" s="124">
        <v>308600.22344773117</v>
      </c>
      <c r="AX54" s="124">
        <v>771920.22344773065</v>
      </c>
      <c r="AY54" s="124">
        <v>308600.22344773117</v>
      </c>
      <c r="AZ54" s="99">
        <f>SUM($D$54:$AY$54)</f>
        <v>22915022.913436804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baseColWidth="10" defaultColWidth="8.83203125" defaultRowHeight="12" x14ac:dyDescent="0"/>
  <cols>
    <col min="1" max="1" width="14.6640625" style="99" customWidth="1"/>
    <col min="2" max="2" width="12.6640625" style="99" customWidth="1"/>
    <col min="3" max="16384" width="8.83203125" style="99"/>
  </cols>
  <sheetData>
    <row r="1" spans="1:54">
      <c r="A1" s="101" t="s">
        <v>283</v>
      </c>
    </row>
    <row r="2" spans="1:54">
      <c r="A2" s="99" t="s">
        <v>284</v>
      </c>
      <c r="B2" s="106" t="s">
        <v>22</v>
      </c>
    </row>
    <row r="3" spans="1:54">
      <c r="A3" s="99" t="s">
        <v>285</v>
      </c>
      <c r="B3" s="107">
        <v>50000</v>
      </c>
      <c r="C3" s="108"/>
    </row>
    <row r="4" spans="1:54">
      <c r="B4" s="109"/>
      <c r="C4" s="109"/>
    </row>
    <row r="5" spans="1:54">
      <c r="C5" s="110" t="s">
        <v>286</v>
      </c>
    </row>
    <row r="6" spans="1:54">
      <c r="C6" s="111">
        <v>0</v>
      </c>
      <c r="D6" s="111">
        <v>1</v>
      </c>
      <c r="E6" s="111">
        <v>2</v>
      </c>
      <c r="F6" s="111">
        <v>3</v>
      </c>
      <c r="G6" s="111">
        <v>4</v>
      </c>
      <c r="H6" s="111">
        <v>5</v>
      </c>
      <c r="I6" s="111">
        <v>6</v>
      </c>
      <c r="J6" s="111">
        <v>7</v>
      </c>
      <c r="K6" s="111">
        <v>8</v>
      </c>
      <c r="L6" s="111">
        <v>9</v>
      </c>
      <c r="M6" s="111">
        <v>10</v>
      </c>
      <c r="N6" s="111">
        <v>11</v>
      </c>
      <c r="O6" s="111">
        <v>12</v>
      </c>
      <c r="P6" s="111">
        <v>13</v>
      </c>
      <c r="Q6" s="111">
        <v>14</v>
      </c>
      <c r="R6" s="111">
        <v>15</v>
      </c>
      <c r="S6" s="111">
        <v>16</v>
      </c>
      <c r="T6" s="111">
        <v>17</v>
      </c>
      <c r="U6" s="111">
        <v>18</v>
      </c>
      <c r="V6" s="111">
        <v>19</v>
      </c>
      <c r="W6" s="111">
        <v>20</v>
      </c>
      <c r="X6" s="111">
        <v>21</v>
      </c>
      <c r="Y6" s="111">
        <v>22</v>
      </c>
      <c r="Z6" s="111">
        <v>23</v>
      </c>
      <c r="AA6" s="111">
        <v>24</v>
      </c>
      <c r="AB6" s="111">
        <v>25</v>
      </c>
      <c r="AC6" s="111">
        <v>26</v>
      </c>
      <c r="AD6" s="111">
        <v>27</v>
      </c>
      <c r="AE6" s="111">
        <v>28</v>
      </c>
      <c r="AF6" s="111">
        <v>29</v>
      </c>
      <c r="AG6" s="111">
        <v>30</v>
      </c>
      <c r="AH6" s="111">
        <v>31</v>
      </c>
      <c r="AI6" s="111">
        <v>32</v>
      </c>
      <c r="AJ6" s="111">
        <v>33</v>
      </c>
      <c r="AK6" s="111">
        <v>34</v>
      </c>
      <c r="AL6" s="111">
        <v>35</v>
      </c>
      <c r="AM6" s="111">
        <v>36</v>
      </c>
      <c r="AN6" s="111">
        <v>37</v>
      </c>
      <c r="AO6" s="111">
        <v>38</v>
      </c>
      <c r="AP6" s="111">
        <v>39</v>
      </c>
      <c r="AQ6" s="111">
        <v>40</v>
      </c>
      <c r="AR6" s="111">
        <v>41</v>
      </c>
      <c r="AS6" s="111">
        <v>42</v>
      </c>
      <c r="AT6" s="111">
        <v>43</v>
      </c>
      <c r="AU6" s="111">
        <v>44</v>
      </c>
      <c r="AV6" s="111">
        <v>45</v>
      </c>
      <c r="AW6" s="111">
        <v>46</v>
      </c>
      <c r="AX6" s="111">
        <v>47</v>
      </c>
      <c r="AY6" s="111">
        <v>48</v>
      </c>
    </row>
    <row r="7" spans="1:54">
      <c r="B7" s="109"/>
      <c r="C7" s="112" t="s">
        <v>287</v>
      </c>
      <c r="D7" s="111" t="s">
        <v>288</v>
      </c>
      <c r="E7" s="111" t="s">
        <v>288</v>
      </c>
      <c r="F7" s="111" t="s">
        <v>288</v>
      </c>
      <c r="G7" s="111" t="s">
        <v>288</v>
      </c>
      <c r="H7" s="111" t="s">
        <v>288</v>
      </c>
      <c r="I7" s="111" t="s">
        <v>288</v>
      </c>
      <c r="J7" s="111" t="s">
        <v>288</v>
      </c>
      <c r="K7" s="111" t="s">
        <v>288</v>
      </c>
      <c r="L7" s="111" t="s">
        <v>288</v>
      </c>
      <c r="M7" s="111" t="s">
        <v>288</v>
      </c>
      <c r="N7" s="111" t="s">
        <v>288</v>
      </c>
      <c r="O7" s="111" t="s">
        <v>288</v>
      </c>
      <c r="P7" s="111" t="s">
        <v>288</v>
      </c>
      <c r="Q7" s="111" t="s">
        <v>288</v>
      </c>
      <c r="R7" s="111" t="s">
        <v>288</v>
      </c>
      <c r="S7" s="111" t="s">
        <v>288</v>
      </c>
      <c r="T7" s="111" t="s">
        <v>288</v>
      </c>
      <c r="U7" s="111" t="s">
        <v>288</v>
      </c>
      <c r="V7" s="111" t="s">
        <v>288</v>
      </c>
      <c r="W7" s="111" t="s">
        <v>288</v>
      </c>
      <c r="X7" s="111" t="s">
        <v>288</v>
      </c>
      <c r="Y7" s="111" t="s">
        <v>288</v>
      </c>
      <c r="Z7" s="111" t="s">
        <v>288</v>
      </c>
      <c r="AA7" s="111" t="s">
        <v>288</v>
      </c>
      <c r="AB7" s="111" t="s">
        <v>288</v>
      </c>
      <c r="AC7" s="111" t="s">
        <v>288</v>
      </c>
      <c r="AD7" s="111" t="s">
        <v>288</v>
      </c>
      <c r="AE7" s="111" t="s">
        <v>288</v>
      </c>
      <c r="AF7" s="111" t="s">
        <v>288</v>
      </c>
      <c r="AG7" s="111" t="s">
        <v>288</v>
      </c>
      <c r="AH7" s="111" t="s">
        <v>288</v>
      </c>
      <c r="AI7" s="111" t="s">
        <v>288</v>
      </c>
      <c r="AJ7" s="111" t="s">
        <v>288</v>
      </c>
      <c r="AK7" s="111" t="s">
        <v>288</v>
      </c>
      <c r="AL7" s="111" t="s">
        <v>288</v>
      </c>
      <c r="AM7" s="111" t="s">
        <v>288</v>
      </c>
      <c r="AN7" s="111" t="s">
        <v>288</v>
      </c>
      <c r="AO7" s="111" t="s">
        <v>288</v>
      </c>
      <c r="AP7" s="111" t="s">
        <v>288</v>
      </c>
      <c r="AQ7" s="111" t="s">
        <v>288</v>
      </c>
      <c r="AR7" s="111" t="s">
        <v>288</v>
      </c>
      <c r="AS7" s="111" t="s">
        <v>288</v>
      </c>
      <c r="AT7" s="111" t="s">
        <v>288</v>
      </c>
      <c r="AU7" s="111" t="s">
        <v>288</v>
      </c>
      <c r="AV7" s="111" t="s">
        <v>288</v>
      </c>
      <c r="AW7" s="111" t="s">
        <v>288</v>
      </c>
      <c r="AX7" s="111" t="s">
        <v>288</v>
      </c>
      <c r="AY7" s="110" t="s">
        <v>289</v>
      </c>
      <c r="AZ7" s="110" t="s">
        <v>290</v>
      </c>
    </row>
    <row r="8" spans="1:54">
      <c r="A8" s="101" t="s">
        <v>291</v>
      </c>
      <c r="B8" s="113"/>
      <c r="AY8" s="109"/>
    </row>
    <row r="9" spans="1:54">
      <c r="A9" s="114" t="s">
        <v>125</v>
      </c>
      <c r="B9" s="115">
        <v>1</v>
      </c>
      <c r="C9" s="116" t="s">
        <v>292</v>
      </c>
      <c r="D9" s="116">
        <v>540.01140000000009</v>
      </c>
      <c r="E9" s="116">
        <v>540.01140000000009</v>
      </c>
      <c r="F9" s="116">
        <v>494.54986517859152</v>
      </c>
      <c r="G9" s="116">
        <v>540.01140000000009</v>
      </c>
      <c r="H9" s="116">
        <v>540.01140000000009</v>
      </c>
      <c r="I9" s="116">
        <v>540.01140000000009</v>
      </c>
      <c r="J9" s="116">
        <v>540.01140000000009</v>
      </c>
      <c r="K9" s="116">
        <v>540.01140000000009</v>
      </c>
      <c r="L9" s="116">
        <v>513.36427322240047</v>
      </c>
      <c r="M9" s="116">
        <v>540.01140000000009</v>
      </c>
      <c r="N9" s="116">
        <v>540.01140000000009</v>
      </c>
      <c r="O9" s="116">
        <v>540.01140000000009</v>
      </c>
      <c r="P9" s="116">
        <v>524.01299999999992</v>
      </c>
      <c r="Q9" s="116">
        <v>524.01299999999992</v>
      </c>
      <c r="R9" s="116">
        <v>524.01299999999992</v>
      </c>
      <c r="S9" s="116">
        <v>524.01299999999992</v>
      </c>
      <c r="T9" s="116">
        <v>524.01299999999992</v>
      </c>
      <c r="U9" s="116">
        <v>524.01299999999992</v>
      </c>
      <c r="V9" s="116">
        <v>524.01299999999992</v>
      </c>
      <c r="W9" s="116">
        <v>524.01299999999992</v>
      </c>
      <c r="X9" s="116">
        <v>540.01140000000009</v>
      </c>
      <c r="Y9" s="116">
        <v>540.01140000000009</v>
      </c>
      <c r="Z9" s="116">
        <v>540.01140000000009</v>
      </c>
      <c r="AA9" s="116">
        <v>540.01140000000009</v>
      </c>
      <c r="AB9" s="116">
        <v>556.00980000000004</v>
      </c>
      <c r="AC9" s="116">
        <v>556.00980000000004</v>
      </c>
      <c r="AD9" s="116">
        <v>556.00980000000004</v>
      </c>
      <c r="AE9" s="116">
        <v>556.00980000000004</v>
      </c>
      <c r="AF9" s="116">
        <v>560.01189999999997</v>
      </c>
      <c r="AG9" s="116">
        <v>560.01189999999997</v>
      </c>
      <c r="AH9" s="116">
        <v>560.01189999999997</v>
      </c>
      <c r="AI9" s="116">
        <v>560.01189999999997</v>
      </c>
      <c r="AJ9" s="116">
        <v>560.01189999999997</v>
      </c>
      <c r="AK9" s="116">
        <v>560.01189999999997</v>
      </c>
      <c r="AL9" s="116">
        <v>560.01189999999997</v>
      </c>
      <c r="AM9" s="116">
        <v>560.01189999999997</v>
      </c>
      <c r="AN9" s="116">
        <v>504.20928708571444</v>
      </c>
      <c r="AO9" s="116">
        <v>504.4741902759481</v>
      </c>
      <c r="AP9" s="116">
        <v>522.00916000000007</v>
      </c>
      <c r="AQ9" s="116">
        <v>522.00916000000007</v>
      </c>
      <c r="AR9" s="116">
        <v>540.01140000000009</v>
      </c>
      <c r="AS9" s="116">
        <v>540.01140000000009</v>
      </c>
      <c r="AT9" s="116">
        <v>540.01140000000009</v>
      </c>
      <c r="AU9" s="116">
        <v>540.01140000000009</v>
      </c>
      <c r="AV9" s="116">
        <v>538.01314000000002</v>
      </c>
      <c r="AW9" s="116">
        <v>538.01314000000002</v>
      </c>
      <c r="AX9" s="116">
        <v>538.01314000000002</v>
      </c>
      <c r="AY9" s="116">
        <v>538.01314000000002</v>
      </c>
    </row>
    <row r="10" spans="1:54">
      <c r="A10" s="117" t="s">
        <v>133</v>
      </c>
      <c r="B10" s="118">
        <v>1</v>
      </c>
      <c r="C10" s="105" t="s">
        <v>292</v>
      </c>
      <c r="E10" s="99">
        <v>0</v>
      </c>
      <c r="F10" s="99">
        <v>288.67646335325571</v>
      </c>
      <c r="G10" s="99">
        <v>212.98848000000004</v>
      </c>
      <c r="H10" s="99">
        <v>816.49019939970594</v>
      </c>
      <c r="I10" s="99">
        <v>867.83878261039001</v>
      </c>
      <c r="J10" s="99">
        <v>730.06152015999999</v>
      </c>
      <c r="K10" s="99">
        <v>137.77726245039</v>
      </c>
      <c r="L10" s="99">
        <v>730.06152015999999</v>
      </c>
      <c r="M10" s="99">
        <v>359.64026245039003</v>
      </c>
      <c r="N10" s="99">
        <v>842.52924505631881</v>
      </c>
      <c r="O10" s="99">
        <v>883.14699016000009</v>
      </c>
      <c r="P10" s="99">
        <v>441.76193335325581</v>
      </c>
      <c r="Q10" s="99">
        <v>212.98848000000004</v>
      </c>
      <c r="R10" s="99">
        <v>845.65887226479003</v>
      </c>
      <c r="S10" s="99">
        <v>845.65887226479003</v>
      </c>
      <c r="T10" s="99">
        <v>508.19852016000004</v>
      </c>
      <c r="U10" s="99">
        <v>867.8387826103899</v>
      </c>
      <c r="V10" s="99">
        <v>404.27381545804576</v>
      </c>
      <c r="W10" s="99">
        <v>845.65887226479003</v>
      </c>
      <c r="X10" s="99">
        <v>266.49655300765573</v>
      </c>
      <c r="Y10" s="99">
        <v>845.65887226479003</v>
      </c>
      <c r="Z10" s="99">
        <v>883.14699016000009</v>
      </c>
      <c r="AA10" s="99">
        <v>368.29258000000004</v>
      </c>
      <c r="AB10" s="99">
        <v>288.67646335325571</v>
      </c>
      <c r="AC10" s="99">
        <v>374.94847000000004</v>
      </c>
      <c r="AD10" s="99">
        <v>146.68414335325576</v>
      </c>
      <c r="AE10" s="99">
        <v>366.07395000000002</v>
      </c>
      <c r="AF10" s="99">
        <v>441.76193335325581</v>
      </c>
      <c r="AG10" s="99">
        <v>153.08547000000002</v>
      </c>
      <c r="AH10" s="99">
        <v>883.15086999999994</v>
      </c>
      <c r="AI10" s="99">
        <v>374.94847000000004</v>
      </c>
      <c r="AJ10" s="99">
        <v>883.15086999999994</v>
      </c>
      <c r="AK10" s="99">
        <v>883.15086999999994</v>
      </c>
      <c r="AL10" s="99">
        <v>288.67646335325571</v>
      </c>
      <c r="AM10" s="99">
        <v>368.29258000000004</v>
      </c>
      <c r="AN10" s="99">
        <v>730.06539999999995</v>
      </c>
      <c r="AO10" s="99">
        <v>883.15086999999994</v>
      </c>
      <c r="AP10" s="99">
        <v>455.1246260239069</v>
      </c>
      <c r="AQ10" s="99">
        <v>219.64437000000004</v>
      </c>
      <c r="AR10" s="99">
        <v>455.1246260239069</v>
      </c>
      <c r="AS10" s="99">
        <v>212.98848000000004</v>
      </c>
      <c r="AT10" s="99">
        <v>374.94847000000004</v>
      </c>
      <c r="AU10" s="99">
        <v>212.98848000000004</v>
      </c>
      <c r="AV10" s="99">
        <v>441.76193335325581</v>
      </c>
      <c r="AW10" s="99">
        <v>212.98848000000004</v>
      </c>
      <c r="AX10" s="99">
        <v>719.90855377599996</v>
      </c>
      <c r="AY10" s="99">
        <v>872.99402377600006</v>
      </c>
      <c r="AZ10" s="99">
        <v>288.67646335325571</v>
      </c>
    </row>
    <row r="11" spans="1:54">
      <c r="B11" s="118">
        <v>2</v>
      </c>
      <c r="C11" s="105" t="s">
        <v>292</v>
      </c>
      <c r="F11" s="99">
        <v>0</v>
      </c>
      <c r="G11" s="99">
        <v>441.38505680674427</v>
      </c>
      <c r="H11" s="99">
        <v>670.15851015999999</v>
      </c>
      <c r="I11" s="99">
        <v>0</v>
      </c>
      <c r="J11" s="99">
        <v>0</v>
      </c>
      <c r="K11" s="99">
        <v>137.77726245039</v>
      </c>
      <c r="L11" s="99">
        <v>508.19852015999999</v>
      </c>
      <c r="M11" s="99">
        <v>137.77726245039</v>
      </c>
      <c r="N11" s="99">
        <v>508.19852015999999</v>
      </c>
      <c r="Q11" s="99">
        <v>441.38505680674427</v>
      </c>
      <c r="R11" s="99">
        <v>670.15851015999999</v>
      </c>
      <c r="W11" s="99">
        <v>441.38505680674427</v>
      </c>
      <c r="Y11" s="99">
        <v>137.77726245039</v>
      </c>
      <c r="AB11" s="99">
        <v>514.85441016000004</v>
      </c>
      <c r="AC11" s="99">
        <v>441.38505680674427</v>
      </c>
      <c r="AD11" s="99">
        <v>508.19852015999999</v>
      </c>
      <c r="AE11" s="99">
        <v>736.46284680674432</v>
      </c>
      <c r="AF11" s="99">
        <v>508.19852015999999</v>
      </c>
      <c r="AG11" s="99">
        <v>441.38505680674427</v>
      </c>
      <c r="AH11" s="99">
        <v>0</v>
      </c>
      <c r="AJ11" s="99">
        <v>508.2023999999999</v>
      </c>
      <c r="AM11" s="99">
        <v>594.47440664674423</v>
      </c>
      <c r="AN11" s="99">
        <v>0</v>
      </c>
      <c r="AO11" s="99">
        <v>153.08547000000002</v>
      </c>
      <c r="AQ11" s="99">
        <v>387.58405114645404</v>
      </c>
      <c r="AR11" s="99">
        <v>468.05941403963885</v>
      </c>
      <c r="AS11" s="99">
        <v>407.68892132009319</v>
      </c>
      <c r="AT11" s="99">
        <v>155.30410000000001</v>
      </c>
      <c r="AU11" s="99">
        <v>0</v>
      </c>
      <c r="AV11" s="99">
        <v>6.6558899999999994</v>
      </c>
      <c r="AW11" s="99">
        <v>441.38893664674436</v>
      </c>
      <c r="AX11" s="99">
        <v>508.19852015999999</v>
      </c>
      <c r="AY11" s="99">
        <v>153.08547000000002</v>
      </c>
      <c r="BA11" s="99">
        <v>431.23209042274425</v>
      </c>
    </row>
    <row r="12" spans="1:54">
      <c r="B12" s="119">
        <v>3</v>
      </c>
      <c r="C12" s="105" t="s">
        <v>292</v>
      </c>
      <c r="V12" s="99">
        <v>137.77726245039</v>
      </c>
      <c r="Y12" s="99">
        <v>0</v>
      </c>
      <c r="Z12" s="99">
        <v>441.38505680674427</v>
      </c>
      <c r="AA12" s="99">
        <v>0</v>
      </c>
      <c r="AD12" s="99">
        <v>153.08547000000002</v>
      </c>
      <c r="AG12" s="99">
        <v>8.8745199999999897</v>
      </c>
      <c r="AI12" s="99">
        <v>508.19852015999999</v>
      </c>
      <c r="AJ12" s="99">
        <v>0</v>
      </c>
      <c r="AO12" s="99">
        <v>6.6558899999999994</v>
      </c>
      <c r="AS12" s="99">
        <v>155.30410000000001</v>
      </c>
      <c r="AU12" s="99">
        <v>6.6558899999999994</v>
      </c>
      <c r="AV12" s="99">
        <v>0</v>
      </c>
      <c r="AW12" s="99">
        <v>155.30410000000001</v>
      </c>
      <c r="AY12" s="99">
        <v>161.95999</v>
      </c>
      <c r="BB12" s="99">
        <v>153.08547000000002</v>
      </c>
    </row>
    <row r="13" spans="1:54">
      <c r="B13" s="119">
        <v>4</v>
      </c>
      <c r="C13" s="105" t="s">
        <v>292</v>
      </c>
    </row>
    <row r="14" spans="1:54">
      <c r="A14" s="114" t="s">
        <v>134</v>
      </c>
      <c r="B14" s="120">
        <v>1</v>
      </c>
      <c r="C14" s="116" t="s">
        <v>292</v>
      </c>
      <c r="D14" s="116"/>
      <c r="E14" s="116">
        <f t="shared" ref="E14:AZ14" si="0">D$172*SUM(D$122:D$169)</f>
        <v>0</v>
      </c>
      <c r="F14" s="116">
        <f t="shared" si="0"/>
        <v>0</v>
      </c>
      <c r="G14" s="116">
        <f t="shared" si="0"/>
        <v>268.88974950177413</v>
      </c>
      <c r="H14" s="116">
        <f t="shared" si="0"/>
        <v>607.66825538703438</v>
      </c>
      <c r="I14" s="116">
        <f t="shared" si="0"/>
        <v>1468.514923295493</v>
      </c>
      <c r="J14" s="116">
        <f t="shared" si="0"/>
        <v>1097.9738957400302</v>
      </c>
      <c r="K14" s="116">
        <f t="shared" si="0"/>
        <v>876.87725394342294</v>
      </c>
      <c r="L14" s="116">
        <f t="shared" si="0"/>
        <v>391.35171135854398</v>
      </c>
      <c r="M14" s="116">
        <f t="shared" si="0"/>
        <v>1169.9552660101597</v>
      </c>
      <c r="N14" s="116">
        <f t="shared" si="0"/>
        <v>691.91542106545648</v>
      </c>
      <c r="O14" s="116">
        <f t="shared" si="0"/>
        <v>1356.4952940562375</v>
      </c>
      <c r="P14" s="116">
        <f t="shared" si="0"/>
        <v>1079.133532996075</v>
      </c>
      <c r="Q14" s="116">
        <f t="shared" si="0"/>
        <v>602.19194484823004</v>
      </c>
      <c r="R14" s="116">
        <f t="shared" si="0"/>
        <v>676.14029871810851</v>
      </c>
      <c r="S14" s="116">
        <f t="shared" si="0"/>
        <v>1506.2182150706408</v>
      </c>
      <c r="T14" s="116">
        <f t="shared" si="0"/>
        <v>1106.2753937149371</v>
      </c>
      <c r="U14" s="116">
        <f t="shared" si="0"/>
        <v>675.73785049536377</v>
      </c>
      <c r="V14" s="116">
        <f t="shared" si="0"/>
        <v>907.07254497630129</v>
      </c>
      <c r="W14" s="116">
        <f t="shared" si="0"/>
        <v>661.41300208533755</v>
      </c>
      <c r="X14" s="116">
        <f t="shared" si="0"/>
        <v>1295.4000465624713</v>
      </c>
      <c r="Y14" s="116">
        <f t="shared" si="0"/>
        <v>498.47093128637414</v>
      </c>
      <c r="Z14" s="116">
        <f t="shared" si="0"/>
        <v>957.66217970461469</v>
      </c>
      <c r="AA14" s="116">
        <f t="shared" si="0"/>
        <v>1400.2070881160771</v>
      </c>
      <c r="AB14" s="116">
        <f t="shared" si="0"/>
        <v>616.21370509745475</v>
      </c>
      <c r="AC14" s="116">
        <f t="shared" si="0"/>
        <v>834.39969859481346</v>
      </c>
      <c r="AD14" s="116">
        <f t="shared" si="0"/>
        <v>891.10708092335938</v>
      </c>
      <c r="AE14" s="116">
        <f t="shared" si="0"/>
        <v>882.81630185179642</v>
      </c>
      <c r="AF14" s="116">
        <f t="shared" si="0"/>
        <v>1186.1301468999607</v>
      </c>
      <c r="AG14" s="116">
        <f t="shared" si="0"/>
        <v>1098.2006578923306</v>
      </c>
      <c r="AH14" s="116">
        <f t="shared" si="0"/>
        <v>774.77160937725023</v>
      </c>
      <c r="AI14" s="116">
        <f t="shared" si="0"/>
        <v>931.80893483228806</v>
      </c>
      <c r="AJ14" s="116">
        <f t="shared" si="0"/>
        <v>977.18788857940433</v>
      </c>
      <c r="AK14" s="116">
        <f t="shared" si="0"/>
        <v>1461.1616615037831</v>
      </c>
      <c r="AL14" s="116">
        <f t="shared" si="0"/>
        <v>1105.1686979672977</v>
      </c>
      <c r="AM14" s="116">
        <f t="shared" si="0"/>
        <v>471.24256581576822</v>
      </c>
      <c r="AN14" s="116">
        <f t="shared" si="0"/>
        <v>938.53815322221556</v>
      </c>
      <c r="AO14" s="116">
        <f t="shared" si="0"/>
        <v>834.60563714330715</v>
      </c>
      <c r="AP14" s="116">
        <f t="shared" si="0"/>
        <v>1102.8417705306008</v>
      </c>
      <c r="AQ14" s="116">
        <f t="shared" si="0"/>
        <v>625.84739754266718</v>
      </c>
      <c r="AR14" s="116">
        <f t="shared" si="0"/>
        <v>637.80806206468776</v>
      </c>
      <c r="AS14" s="116">
        <f t="shared" si="0"/>
        <v>928.65423951597711</v>
      </c>
      <c r="AT14" s="116">
        <f t="shared" si="0"/>
        <v>874.06783339686865</v>
      </c>
      <c r="AU14" s="116">
        <f t="shared" si="0"/>
        <v>626.76163559698682</v>
      </c>
      <c r="AV14" s="116">
        <f t="shared" si="0"/>
        <v>287.11341435182112</v>
      </c>
      <c r="AW14" s="116">
        <f t="shared" si="0"/>
        <v>417.91822421697412</v>
      </c>
      <c r="AX14" s="116">
        <f t="shared" si="0"/>
        <v>783.56612521901229</v>
      </c>
      <c r="AY14" s="116">
        <f t="shared" si="0"/>
        <v>1257.9076455099996</v>
      </c>
      <c r="AZ14" s="109">
        <f t="shared" si="0"/>
        <v>1342.8879984682312</v>
      </c>
      <c r="BA14" s="106">
        <f>SUM($E14:$AZ14)</f>
        <v>41184.29188504754</v>
      </c>
    </row>
    <row r="15" spans="1:54">
      <c r="A15" s="121" t="s">
        <v>123</v>
      </c>
      <c r="B15" s="122">
        <v>1</v>
      </c>
      <c r="C15" s="123" t="s">
        <v>292</v>
      </c>
      <c r="D15" s="123">
        <v>0</v>
      </c>
      <c r="E15" s="123">
        <v>0</v>
      </c>
      <c r="F15" s="123">
        <v>361.32353664674423</v>
      </c>
      <c r="G15" s="123">
        <v>267.01151999999996</v>
      </c>
      <c r="H15" s="123">
        <v>1019.6644847824093</v>
      </c>
      <c r="I15" s="123">
        <v>1083.5963719296101</v>
      </c>
      <c r="J15" s="123">
        <v>910.87286938000011</v>
      </c>
      <c r="K15" s="123">
        <v>172.72350254960998</v>
      </c>
      <c r="L15" s="123">
        <v>910.87286938000011</v>
      </c>
      <c r="M15" s="123">
        <v>450.86050254960992</v>
      </c>
      <c r="N15" s="123">
        <v>1052.216011938058</v>
      </c>
      <c r="O15" s="123">
        <v>1102.7873993799999</v>
      </c>
      <c r="P15" s="123">
        <v>553.2380666467443</v>
      </c>
      <c r="Q15" s="123">
        <v>267.01151999999996</v>
      </c>
      <c r="R15" s="123">
        <v>1055.79068227521</v>
      </c>
      <c r="S15" s="123">
        <v>1055.79068227521</v>
      </c>
      <c r="T15" s="123">
        <v>632.73586938000017</v>
      </c>
      <c r="U15" s="123">
        <v>1083.5963719296101</v>
      </c>
      <c r="V15" s="123">
        <v>506.24134954195421</v>
      </c>
      <c r="W15" s="123">
        <v>1055.79068227521</v>
      </c>
      <c r="X15" s="123">
        <v>333.51784699234423</v>
      </c>
      <c r="Y15" s="123">
        <v>1055.79068227521</v>
      </c>
      <c r="Z15" s="123">
        <v>1102.7873993799999</v>
      </c>
      <c r="AA15" s="123">
        <v>461.7074199999999</v>
      </c>
      <c r="AB15" s="123">
        <v>361.32353664674423</v>
      </c>
      <c r="AC15" s="123">
        <v>470.0515299999999</v>
      </c>
      <c r="AD15" s="123">
        <v>183.31585664674429</v>
      </c>
      <c r="AE15" s="123">
        <v>458.92604999999992</v>
      </c>
      <c r="AF15" s="123">
        <v>553.23806664674419</v>
      </c>
      <c r="AG15" s="123">
        <v>191.91452999999998</v>
      </c>
      <c r="AH15" s="123">
        <v>1102.79223</v>
      </c>
      <c r="AI15" s="123">
        <v>470.0515299999999</v>
      </c>
      <c r="AJ15" s="123">
        <v>1102.79223</v>
      </c>
      <c r="AK15" s="123">
        <v>1102.7922299999998</v>
      </c>
      <c r="AL15" s="123">
        <v>361.32353664674423</v>
      </c>
      <c r="AM15" s="123">
        <v>461.7074199999999</v>
      </c>
      <c r="AN15" s="123">
        <v>910.8777</v>
      </c>
      <c r="AO15" s="123">
        <v>1102.7922299999998</v>
      </c>
      <c r="AP15" s="123">
        <v>569.8753739760931</v>
      </c>
      <c r="AQ15" s="123">
        <v>275.35562999999996</v>
      </c>
      <c r="AR15" s="123">
        <v>569.8753739760931</v>
      </c>
      <c r="AS15" s="123">
        <v>267.01151999999996</v>
      </c>
      <c r="AT15" s="123">
        <v>470.05152999999996</v>
      </c>
      <c r="AU15" s="123">
        <v>267.01151999999996</v>
      </c>
      <c r="AV15" s="123">
        <v>553.23806664674419</v>
      </c>
      <c r="AW15" s="123">
        <v>267.01151999999996</v>
      </c>
      <c r="AX15" s="123">
        <v>898.23185261800018</v>
      </c>
      <c r="AY15" s="123">
        <v>1090.146382618</v>
      </c>
      <c r="AZ15" s="99">
        <v>361.32353664674423</v>
      </c>
    </row>
    <row r="16" spans="1:54">
      <c r="A16" s="109"/>
      <c r="B16" s="118">
        <v>2</v>
      </c>
      <c r="C16" s="108" t="s">
        <v>292</v>
      </c>
      <c r="D16" s="105"/>
      <c r="E16" s="109"/>
      <c r="F16" s="109">
        <v>0</v>
      </c>
      <c r="G16" s="109">
        <v>549.54933273325582</v>
      </c>
      <c r="H16" s="109">
        <v>835.77587937999999</v>
      </c>
      <c r="I16" s="109">
        <v>0</v>
      </c>
      <c r="J16" s="109">
        <v>0</v>
      </c>
      <c r="K16" s="109">
        <v>172.72350254960998</v>
      </c>
      <c r="L16" s="109">
        <v>632.73586938000005</v>
      </c>
      <c r="M16" s="109">
        <v>172.72350254960998</v>
      </c>
      <c r="N16" s="109">
        <v>632.73586938000005</v>
      </c>
      <c r="O16" s="109"/>
      <c r="P16" s="109"/>
      <c r="Q16" s="109">
        <v>549.54933273325582</v>
      </c>
      <c r="R16" s="109">
        <v>835.77587937999999</v>
      </c>
      <c r="S16" s="109"/>
      <c r="T16" s="109"/>
      <c r="U16" s="109"/>
      <c r="V16" s="109"/>
      <c r="W16" s="109">
        <v>549.54933273325582</v>
      </c>
      <c r="X16" s="109"/>
      <c r="Y16" s="109">
        <v>172.72350254960998</v>
      </c>
      <c r="Z16" s="109"/>
      <c r="AA16" s="109"/>
      <c r="AB16" s="109">
        <v>641.07997938000005</v>
      </c>
      <c r="AC16" s="109">
        <v>549.54933273325582</v>
      </c>
      <c r="AD16" s="109">
        <v>632.73586938000005</v>
      </c>
      <c r="AE16" s="109">
        <v>919.47154273325577</v>
      </c>
      <c r="AF16" s="109">
        <v>632.73586938000005</v>
      </c>
      <c r="AG16" s="109">
        <v>549.54933273325582</v>
      </c>
      <c r="AH16" s="109">
        <v>0</v>
      </c>
      <c r="AI16" s="109"/>
      <c r="AJ16" s="109">
        <v>632.74069999999995</v>
      </c>
      <c r="AK16" s="109"/>
      <c r="AL16" s="109"/>
      <c r="AM16" s="109">
        <v>741.46869335325573</v>
      </c>
      <c r="AN16" s="109">
        <v>0</v>
      </c>
      <c r="AO16" s="109">
        <v>191.91452999999998</v>
      </c>
      <c r="AP16" s="109"/>
      <c r="AQ16" s="109">
        <v>482.56404108135473</v>
      </c>
      <c r="AR16" s="109">
        <v>582.76041451404194</v>
      </c>
      <c r="AS16" s="109">
        <v>507.59574031590682</v>
      </c>
      <c r="AT16" s="109">
        <v>194.69589999999994</v>
      </c>
      <c r="AU16" s="109">
        <v>0</v>
      </c>
      <c r="AV16" s="109">
        <v>8.3441100000000006</v>
      </c>
      <c r="AW16" s="109">
        <v>549.55416335325583</v>
      </c>
      <c r="AX16" s="109">
        <v>632.73586938000005</v>
      </c>
      <c r="AY16" s="109">
        <v>191.91452999999998</v>
      </c>
      <c r="BA16" s="99">
        <v>536.90831597125589</v>
      </c>
    </row>
    <row r="17" spans="1:54">
      <c r="A17" s="109"/>
      <c r="B17" s="118">
        <v>3</v>
      </c>
      <c r="C17" s="108" t="s">
        <v>292</v>
      </c>
      <c r="D17" s="105"/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>
        <v>172.72350254960998</v>
      </c>
      <c r="W17" s="109"/>
      <c r="X17" s="109"/>
      <c r="Y17" s="109">
        <v>0</v>
      </c>
      <c r="Z17" s="109">
        <v>549.54933273325582</v>
      </c>
      <c r="AA17" s="109">
        <v>0</v>
      </c>
      <c r="AB17" s="109"/>
      <c r="AC17" s="109"/>
      <c r="AD17" s="109">
        <v>191.91452999999998</v>
      </c>
      <c r="AE17" s="109"/>
      <c r="AF17" s="109"/>
      <c r="AG17" s="109">
        <v>11.125479999999982</v>
      </c>
      <c r="AH17" s="109"/>
      <c r="AI17" s="109">
        <v>632.73586938000005</v>
      </c>
      <c r="AJ17" s="109">
        <v>0</v>
      </c>
      <c r="AK17" s="109"/>
      <c r="AL17" s="109"/>
      <c r="AM17" s="109"/>
      <c r="AN17" s="109"/>
      <c r="AO17" s="109">
        <v>8.3441100000000006</v>
      </c>
      <c r="AP17" s="109"/>
      <c r="AQ17" s="109"/>
      <c r="AR17" s="109"/>
      <c r="AS17" s="109">
        <v>194.69589999999994</v>
      </c>
      <c r="AT17" s="109"/>
      <c r="AU17" s="109">
        <v>8.3441100000000006</v>
      </c>
      <c r="AV17" s="109">
        <v>0</v>
      </c>
      <c r="AW17" s="109">
        <v>194.69589999999994</v>
      </c>
      <c r="AX17" s="109"/>
      <c r="AY17" s="109">
        <v>203.04000999999994</v>
      </c>
      <c r="BB17" s="99">
        <v>191.91452999999998</v>
      </c>
    </row>
    <row r="18" spans="1:54">
      <c r="A18" s="124"/>
      <c r="B18" s="115">
        <v>4</v>
      </c>
      <c r="C18" s="124" t="s">
        <v>292</v>
      </c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4"/>
      <c r="AO18" s="124"/>
      <c r="AP18" s="124"/>
      <c r="AQ18" s="124"/>
      <c r="AR18" s="124"/>
      <c r="AS18" s="124"/>
      <c r="AT18" s="124"/>
      <c r="AU18" s="124"/>
      <c r="AV18" s="124"/>
      <c r="AW18" s="124"/>
      <c r="AX18" s="124"/>
      <c r="AY18" s="124"/>
    </row>
    <row r="20" spans="1:54">
      <c r="A20" s="101" t="s">
        <v>293</v>
      </c>
    </row>
    <row r="21" spans="1:54">
      <c r="A21" s="125" t="s">
        <v>125</v>
      </c>
      <c r="B21" s="122">
        <v>1</v>
      </c>
      <c r="C21" s="123" t="s">
        <v>292</v>
      </c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  <c r="AP21" s="123"/>
      <c r="AQ21" s="123"/>
      <c r="AR21" s="123"/>
      <c r="AS21" s="123"/>
      <c r="AT21" s="123"/>
      <c r="AU21" s="123"/>
      <c r="AV21" s="123"/>
      <c r="AW21" s="123"/>
      <c r="AX21" s="123"/>
      <c r="AY21" s="123"/>
    </row>
    <row r="22" spans="1:54">
      <c r="A22" s="108"/>
      <c r="B22" s="119">
        <v>2</v>
      </c>
      <c r="C22" s="109" t="s">
        <v>292</v>
      </c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</row>
    <row r="23" spans="1:54">
      <c r="A23" s="108"/>
      <c r="B23" s="126">
        <v>3</v>
      </c>
      <c r="C23" s="109" t="s">
        <v>292</v>
      </c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</row>
    <row r="24" spans="1:54">
      <c r="A24" s="127"/>
      <c r="B24" s="128">
        <v>4</v>
      </c>
      <c r="C24" s="127" t="s">
        <v>292</v>
      </c>
      <c r="D24" s="124">
        <v>0</v>
      </c>
      <c r="E24" s="124">
        <v>0</v>
      </c>
      <c r="F24" s="124">
        <v>0</v>
      </c>
      <c r="G24" s="124">
        <v>0</v>
      </c>
      <c r="H24" s="124">
        <v>0</v>
      </c>
      <c r="I24" s="124">
        <v>0</v>
      </c>
      <c r="J24" s="124">
        <v>0</v>
      </c>
      <c r="K24" s="124">
        <v>0</v>
      </c>
      <c r="L24" s="124">
        <v>0</v>
      </c>
      <c r="M24" s="124">
        <v>0</v>
      </c>
      <c r="N24" s="124">
        <v>0</v>
      </c>
      <c r="O24" s="124">
        <v>0</v>
      </c>
      <c r="P24" s="124">
        <v>0</v>
      </c>
      <c r="Q24" s="124">
        <v>0</v>
      </c>
      <c r="R24" s="124">
        <v>0</v>
      </c>
      <c r="S24" s="124">
        <v>0</v>
      </c>
      <c r="T24" s="124">
        <v>0</v>
      </c>
      <c r="U24" s="124">
        <v>0</v>
      </c>
      <c r="V24" s="124">
        <v>0</v>
      </c>
      <c r="W24" s="124">
        <v>0</v>
      </c>
      <c r="X24" s="124">
        <v>0</v>
      </c>
      <c r="Y24" s="124">
        <v>0</v>
      </c>
      <c r="Z24" s="124">
        <v>0</v>
      </c>
      <c r="AA24" s="124">
        <v>0</v>
      </c>
      <c r="AB24" s="124">
        <v>0</v>
      </c>
      <c r="AC24" s="124">
        <v>0</v>
      </c>
      <c r="AD24" s="124">
        <v>0</v>
      </c>
      <c r="AE24" s="124">
        <v>0</v>
      </c>
      <c r="AF24" s="124">
        <v>0</v>
      </c>
      <c r="AG24" s="124">
        <v>0</v>
      </c>
      <c r="AH24" s="124">
        <v>0</v>
      </c>
      <c r="AI24" s="124">
        <v>0</v>
      </c>
      <c r="AJ24" s="124">
        <v>0</v>
      </c>
      <c r="AK24" s="124">
        <v>0</v>
      </c>
      <c r="AL24" s="124">
        <v>0</v>
      </c>
      <c r="AM24" s="124">
        <v>0</v>
      </c>
      <c r="AN24" s="124">
        <v>0</v>
      </c>
      <c r="AO24" s="124">
        <v>0</v>
      </c>
      <c r="AP24" s="124">
        <v>0</v>
      </c>
      <c r="AQ24" s="124">
        <v>0</v>
      </c>
      <c r="AR24" s="124">
        <v>0</v>
      </c>
      <c r="AS24" s="124">
        <v>0</v>
      </c>
      <c r="AT24" s="124">
        <v>0</v>
      </c>
      <c r="AU24" s="124">
        <v>0</v>
      </c>
      <c r="AV24" s="124">
        <v>0</v>
      </c>
      <c r="AW24" s="124">
        <v>0</v>
      </c>
      <c r="AX24" s="124">
        <v>0</v>
      </c>
      <c r="AY24" s="124">
        <v>0</v>
      </c>
    </row>
    <row r="25" spans="1:54">
      <c r="A25" s="125" t="s">
        <v>133</v>
      </c>
      <c r="B25" s="122">
        <v>1</v>
      </c>
      <c r="C25" s="108" t="s">
        <v>292</v>
      </c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</row>
    <row r="26" spans="1:54">
      <c r="A26" s="108"/>
      <c r="B26" s="118">
        <v>2</v>
      </c>
      <c r="C26" s="108" t="s">
        <v>292</v>
      </c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</row>
    <row r="27" spans="1:54">
      <c r="A27" s="108"/>
      <c r="B27" s="119">
        <v>3</v>
      </c>
      <c r="C27" s="108" t="s">
        <v>292</v>
      </c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</row>
    <row r="28" spans="1:54">
      <c r="A28" s="108"/>
      <c r="B28" s="119">
        <v>4</v>
      </c>
      <c r="C28" s="108" t="s">
        <v>292</v>
      </c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</row>
    <row r="29" spans="1:54">
      <c r="A29" s="108"/>
      <c r="B29" s="126">
        <v>5</v>
      </c>
      <c r="C29" s="108" t="s">
        <v>292</v>
      </c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</row>
    <row r="30" spans="1:54">
      <c r="A30" s="108"/>
      <c r="B30" s="126">
        <v>6</v>
      </c>
      <c r="C30" s="108" t="s">
        <v>292</v>
      </c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</row>
    <row r="31" spans="1:54">
      <c r="A31" s="108"/>
      <c r="B31" s="129">
        <v>7</v>
      </c>
      <c r="C31" s="108" t="s">
        <v>292</v>
      </c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</row>
    <row r="32" spans="1:54">
      <c r="A32" s="127"/>
      <c r="B32" s="128">
        <v>8</v>
      </c>
      <c r="C32" s="127" t="s">
        <v>292</v>
      </c>
      <c r="D32" s="124">
        <v>0</v>
      </c>
      <c r="E32" s="124">
        <v>0</v>
      </c>
      <c r="F32" s="124">
        <v>0</v>
      </c>
      <c r="G32" s="124">
        <v>0</v>
      </c>
      <c r="H32" s="124">
        <v>0</v>
      </c>
      <c r="I32" s="124">
        <v>0</v>
      </c>
      <c r="J32" s="124">
        <v>0</v>
      </c>
      <c r="K32" s="124">
        <v>0</v>
      </c>
      <c r="L32" s="124">
        <v>0</v>
      </c>
      <c r="M32" s="124">
        <v>0</v>
      </c>
      <c r="N32" s="124">
        <v>0</v>
      </c>
      <c r="O32" s="124">
        <v>0</v>
      </c>
      <c r="P32" s="124">
        <v>0</v>
      </c>
      <c r="Q32" s="124">
        <v>0</v>
      </c>
      <c r="R32" s="124">
        <v>0</v>
      </c>
      <c r="S32" s="124">
        <v>0</v>
      </c>
      <c r="T32" s="124">
        <v>0</v>
      </c>
      <c r="U32" s="124">
        <v>0</v>
      </c>
      <c r="V32" s="124">
        <v>0</v>
      </c>
      <c r="W32" s="124">
        <v>0</v>
      </c>
      <c r="X32" s="124">
        <v>0</v>
      </c>
      <c r="Y32" s="124">
        <v>0</v>
      </c>
      <c r="Z32" s="124">
        <v>0</v>
      </c>
      <c r="AA32" s="124">
        <v>0</v>
      </c>
      <c r="AB32" s="124">
        <v>0</v>
      </c>
      <c r="AC32" s="124">
        <v>0</v>
      </c>
      <c r="AD32" s="124">
        <v>0</v>
      </c>
      <c r="AE32" s="124">
        <v>0</v>
      </c>
      <c r="AF32" s="124">
        <v>0</v>
      </c>
      <c r="AG32" s="124">
        <v>0</v>
      </c>
      <c r="AH32" s="124">
        <v>0</v>
      </c>
      <c r="AI32" s="124">
        <v>0</v>
      </c>
      <c r="AJ32" s="124">
        <v>0</v>
      </c>
      <c r="AK32" s="124">
        <v>0</v>
      </c>
      <c r="AL32" s="124">
        <v>0</v>
      </c>
      <c r="AM32" s="124">
        <v>0</v>
      </c>
      <c r="AN32" s="124">
        <v>0</v>
      </c>
      <c r="AO32" s="124">
        <v>0</v>
      </c>
      <c r="AP32" s="124">
        <v>0</v>
      </c>
      <c r="AQ32" s="124">
        <v>0</v>
      </c>
      <c r="AR32" s="124">
        <v>0</v>
      </c>
      <c r="AS32" s="124">
        <v>0</v>
      </c>
      <c r="AT32" s="124">
        <v>0</v>
      </c>
      <c r="AU32" s="124">
        <v>0</v>
      </c>
      <c r="AV32" s="124">
        <v>0</v>
      </c>
      <c r="AW32" s="124">
        <v>0</v>
      </c>
      <c r="AX32" s="124">
        <v>0</v>
      </c>
      <c r="AY32" s="124">
        <v>0</v>
      </c>
    </row>
    <row r="33" spans="1:51">
      <c r="A33" s="130" t="s">
        <v>134</v>
      </c>
      <c r="B33" s="118">
        <v>1</v>
      </c>
      <c r="C33" s="108" t="s">
        <v>292</v>
      </c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</row>
    <row r="34" spans="1:51">
      <c r="A34" s="108"/>
      <c r="B34" s="118">
        <v>2</v>
      </c>
      <c r="C34" s="108" t="s">
        <v>292</v>
      </c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</row>
    <row r="35" spans="1:51">
      <c r="A35" s="108"/>
      <c r="B35" s="118">
        <v>3</v>
      </c>
      <c r="C35" s="108" t="s">
        <v>292</v>
      </c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</row>
    <row r="36" spans="1:51">
      <c r="A36" s="108"/>
      <c r="B36" s="119">
        <v>4</v>
      </c>
      <c r="C36" s="108" t="s">
        <v>292</v>
      </c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105"/>
      <c r="AA36" s="105"/>
      <c r="AB36" s="105"/>
      <c r="AC36" s="105"/>
      <c r="AD36" s="105"/>
      <c r="AE36" s="105"/>
      <c r="AF36" s="105"/>
      <c r="AG36" s="105"/>
      <c r="AH36" s="105"/>
      <c r="AI36" s="105"/>
      <c r="AJ36" s="105"/>
      <c r="AK36" s="105"/>
      <c r="AL36" s="105"/>
      <c r="AM36" s="105"/>
      <c r="AN36" s="105"/>
      <c r="AO36" s="105"/>
      <c r="AP36" s="105"/>
      <c r="AQ36" s="105"/>
      <c r="AR36" s="105"/>
      <c r="AS36" s="105"/>
      <c r="AT36" s="105"/>
      <c r="AU36" s="105"/>
      <c r="AV36" s="105"/>
      <c r="AW36" s="105"/>
      <c r="AX36" s="105"/>
      <c r="AY36" s="105"/>
    </row>
    <row r="37" spans="1:51">
      <c r="A37" s="108"/>
      <c r="B37" s="119">
        <v>5</v>
      </c>
      <c r="C37" s="108" t="s">
        <v>292</v>
      </c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105"/>
      <c r="X37" s="105"/>
      <c r="Y37" s="105"/>
      <c r="Z37" s="105"/>
      <c r="AA37" s="105"/>
      <c r="AB37" s="105"/>
      <c r="AC37" s="105"/>
      <c r="AD37" s="105"/>
      <c r="AE37" s="105"/>
      <c r="AF37" s="105"/>
      <c r="AG37" s="105"/>
      <c r="AH37" s="105"/>
      <c r="AI37" s="105"/>
      <c r="AJ37" s="105"/>
      <c r="AK37" s="105"/>
      <c r="AL37" s="105"/>
      <c r="AM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  <c r="AX37" s="105"/>
      <c r="AY37" s="105"/>
    </row>
    <row r="38" spans="1:51">
      <c r="A38" s="108"/>
      <c r="B38" s="119">
        <v>6</v>
      </c>
      <c r="C38" s="108" t="s">
        <v>292</v>
      </c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</row>
    <row r="39" spans="1:51">
      <c r="A39" s="108"/>
      <c r="B39" s="126">
        <v>7</v>
      </c>
      <c r="C39" s="108" t="s">
        <v>292</v>
      </c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V39" s="105"/>
      <c r="W39" s="105"/>
      <c r="X39" s="105"/>
      <c r="Y39" s="105"/>
      <c r="Z39" s="105"/>
      <c r="AA39" s="105"/>
      <c r="AB39" s="105"/>
      <c r="AC39" s="105"/>
      <c r="AD39" s="105"/>
      <c r="AE39" s="105"/>
      <c r="AF39" s="105"/>
      <c r="AG39" s="105"/>
      <c r="AH39" s="105"/>
      <c r="AI39" s="105"/>
      <c r="AJ39" s="105"/>
      <c r="AK39" s="105"/>
      <c r="AL39" s="105"/>
      <c r="AM39" s="105"/>
      <c r="AN39" s="105"/>
      <c r="AO39" s="105"/>
      <c r="AP39" s="105"/>
      <c r="AQ39" s="105"/>
      <c r="AR39" s="105"/>
      <c r="AS39" s="105"/>
      <c r="AT39" s="105"/>
      <c r="AU39" s="105"/>
      <c r="AV39" s="105"/>
      <c r="AW39" s="105"/>
      <c r="AX39" s="105"/>
      <c r="AY39" s="105"/>
    </row>
    <row r="40" spans="1:51">
      <c r="A40" s="108"/>
      <c r="B40" s="126">
        <v>8</v>
      </c>
      <c r="C40" s="108" t="s">
        <v>292</v>
      </c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  <c r="U40" s="105"/>
      <c r="V40" s="105"/>
      <c r="W40" s="105"/>
      <c r="X40" s="105"/>
      <c r="Y40" s="105"/>
      <c r="Z40" s="105"/>
      <c r="AA40" s="105"/>
      <c r="AB40" s="105"/>
      <c r="AC40" s="105"/>
      <c r="AD40" s="105"/>
      <c r="AE40" s="105"/>
      <c r="AF40" s="105"/>
      <c r="AG40" s="105"/>
      <c r="AH40" s="105"/>
      <c r="AI40" s="105"/>
      <c r="AJ40" s="105"/>
      <c r="AK40" s="105"/>
      <c r="AL40" s="105"/>
      <c r="AM40" s="105"/>
      <c r="AN40" s="105"/>
      <c r="AO40" s="105"/>
      <c r="AP40" s="105"/>
      <c r="AQ40" s="105"/>
      <c r="AR40" s="105"/>
      <c r="AS40" s="105"/>
      <c r="AT40" s="105"/>
      <c r="AU40" s="105"/>
      <c r="AV40" s="105"/>
      <c r="AW40" s="105"/>
      <c r="AX40" s="105"/>
      <c r="AY40" s="105"/>
    </row>
    <row r="41" spans="1:51">
      <c r="A41" s="108"/>
      <c r="B41" s="126">
        <v>9</v>
      </c>
      <c r="C41" s="108" t="s">
        <v>292</v>
      </c>
      <c r="D41" s="105"/>
      <c r="E41" s="105"/>
      <c r="F41" s="105"/>
      <c r="G41" s="105"/>
      <c r="H41" s="105"/>
      <c r="I41" s="105"/>
      <c r="J41" s="105"/>
      <c r="K41" s="105"/>
      <c r="L41" s="105"/>
      <c r="M41" s="105"/>
      <c r="N41" s="105"/>
      <c r="O41" s="105"/>
      <c r="P41" s="105"/>
      <c r="Q41" s="105"/>
      <c r="R41" s="105"/>
      <c r="S41" s="105"/>
      <c r="T41" s="105"/>
      <c r="U41" s="105"/>
      <c r="V41" s="105"/>
      <c r="W41" s="105"/>
      <c r="X41" s="105"/>
      <c r="Y41" s="105"/>
      <c r="Z41" s="105"/>
      <c r="AA41" s="105"/>
      <c r="AB41" s="105"/>
      <c r="AC41" s="105"/>
      <c r="AD41" s="105"/>
      <c r="AE41" s="105"/>
      <c r="AF41" s="105"/>
      <c r="AG41" s="105"/>
      <c r="AH41" s="105"/>
      <c r="AI41" s="105"/>
      <c r="AJ41" s="105"/>
      <c r="AK41" s="105"/>
      <c r="AL41" s="105"/>
      <c r="AM41" s="105"/>
      <c r="AN41" s="105"/>
      <c r="AO41" s="105"/>
      <c r="AP41" s="105"/>
      <c r="AQ41" s="105"/>
      <c r="AR41" s="105"/>
      <c r="AS41" s="105"/>
      <c r="AT41" s="105"/>
      <c r="AU41" s="105"/>
      <c r="AV41" s="105"/>
      <c r="AW41" s="105"/>
      <c r="AX41" s="105"/>
      <c r="AY41" s="105"/>
    </row>
    <row r="42" spans="1:51">
      <c r="A42" s="108"/>
      <c r="B42" s="129">
        <v>10</v>
      </c>
      <c r="C42" s="108" t="s">
        <v>292</v>
      </c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  <c r="S42" s="105"/>
      <c r="T42" s="105"/>
      <c r="U42" s="105"/>
      <c r="V42" s="105"/>
      <c r="W42" s="105"/>
      <c r="X42" s="105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05"/>
      <c r="AM42" s="105"/>
      <c r="AN42" s="105"/>
      <c r="AO42" s="105"/>
      <c r="AP42" s="105"/>
      <c r="AQ42" s="105"/>
      <c r="AR42" s="105"/>
      <c r="AS42" s="105"/>
      <c r="AT42" s="105"/>
      <c r="AU42" s="105"/>
      <c r="AV42" s="105"/>
      <c r="AW42" s="105"/>
      <c r="AX42" s="105"/>
      <c r="AY42" s="105"/>
    </row>
    <row r="43" spans="1:51">
      <c r="A43" s="108"/>
      <c r="B43" s="129">
        <v>11</v>
      </c>
      <c r="C43" s="108" t="s">
        <v>292</v>
      </c>
      <c r="D43" s="105"/>
      <c r="E43" s="105"/>
      <c r="F43" s="105"/>
      <c r="G43" s="105"/>
      <c r="H43" s="105"/>
      <c r="I43" s="105"/>
      <c r="J43" s="105"/>
      <c r="K43" s="105"/>
      <c r="L43" s="105"/>
      <c r="M43" s="105"/>
      <c r="N43" s="105"/>
      <c r="O43" s="105"/>
      <c r="P43" s="105"/>
      <c r="Q43" s="105"/>
      <c r="R43" s="105"/>
      <c r="S43" s="105"/>
      <c r="T43" s="105"/>
      <c r="U43" s="105"/>
      <c r="V43" s="105"/>
      <c r="W43" s="105"/>
      <c r="X43" s="105"/>
      <c r="Y43" s="105"/>
      <c r="Z43" s="105"/>
      <c r="AA43" s="105"/>
      <c r="AB43" s="105"/>
      <c r="AC43" s="105"/>
      <c r="AD43" s="105"/>
      <c r="AE43" s="105"/>
      <c r="AF43" s="105"/>
      <c r="AG43" s="105"/>
      <c r="AH43" s="105"/>
      <c r="AI43" s="105"/>
      <c r="AJ43" s="105"/>
      <c r="AK43" s="105"/>
      <c r="AL43" s="105"/>
      <c r="AM43" s="105"/>
      <c r="AN43" s="105"/>
      <c r="AO43" s="105"/>
      <c r="AP43" s="105"/>
      <c r="AQ43" s="105"/>
      <c r="AR43" s="105"/>
      <c r="AS43" s="105"/>
      <c r="AT43" s="105"/>
      <c r="AU43" s="105"/>
      <c r="AV43" s="105"/>
      <c r="AW43" s="105"/>
      <c r="AX43" s="105"/>
      <c r="AY43" s="105"/>
    </row>
    <row r="44" spans="1:51">
      <c r="A44" s="108"/>
      <c r="B44" s="129">
        <v>12</v>
      </c>
      <c r="C44" s="127" t="s">
        <v>292</v>
      </c>
      <c r="D44" s="105">
        <v>0</v>
      </c>
      <c r="E44" s="105">
        <v>0</v>
      </c>
      <c r="F44" s="105">
        <v>0</v>
      </c>
      <c r="G44" s="105">
        <v>0</v>
      </c>
      <c r="H44" s="105">
        <v>0</v>
      </c>
      <c r="I44" s="105">
        <v>0</v>
      </c>
      <c r="J44" s="105">
        <v>0</v>
      </c>
      <c r="K44" s="105">
        <v>0</v>
      </c>
      <c r="L44" s="105">
        <v>0</v>
      </c>
      <c r="M44" s="105">
        <v>0</v>
      </c>
      <c r="N44" s="105">
        <v>0</v>
      </c>
      <c r="O44" s="105">
        <v>0</v>
      </c>
      <c r="P44" s="105">
        <v>0</v>
      </c>
      <c r="Q44" s="105">
        <v>0</v>
      </c>
      <c r="R44" s="105">
        <v>0</v>
      </c>
      <c r="S44" s="105">
        <v>0</v>
      </c>
      <c r="T44" s="105">
        <v>0</v>
      </c>
      <c r="U44" s="105">
        <v>0</v>
      </c>
      <c r="V44" s="105">
        <v>0</v>
      </c>
      <c r="W44" s="105">
        <v>0</v>
      </c>
      <c r="X44" s="105">
        <v>0</v>
      </c>
      <c r="Y44" s="105">
        <v>0</v>
      </c>
      <c r="Z44" s="105">
        <v>0</v>
      </c>
      <c r="AA44" s="105">
        <v>0</v>
      </c>
      <c r="AB44" s="105">
        <v>0</v>
      </c>
      <c r="AC44" s="105">
        <v>0</v>
      </c>
      <c r="AD44" s="105">
        <v>0</v>
      </c>
      <c r="AE44" s="105">
        <v>0</v>
      </c>
      <c r="AF44" s="105">
        <v>0</v>
      </c>
      <c r="AG44" s="105">
        <v>0</v>
      </c>
      <c r="AH44" s="105">
        <v>0</v>
      </c>
      <c r="AI44" s="105">
        <v>0</v>
      </c>
      <c r="AJ44" s="105">
        <v>0</v>
      </c>
      <c r="AK44" s="105">
        <v>0</v>
      </c>
      <c r="AL44" s="105">
        <v>0</v>
      </c>
      <c r="AM44" s="105">
        <v>0</v>
      </c>
      <c r="AN44" s="105">
        <v>0</v>
      </c>
      <c r="AO44" s="105">
        <v>0</v>
      </c>
      <c r="AP44" s="105">
        <v>0</v>
      </c>
      <c r="AQ44" s="105">
        <v>0</v>
      </c>
      <c r="AR44" s="105">
        <v>0</v>
      </c>
      <c r="AS44" s="105">
        <v>0</v>
      </c>
      <c r="AT44" s="105">
        <v>0</v>
      </c>
      <c r="AU44" s="105">
        <v>0</v>
      </c>
      <c r="AV44" s="105">
        <v>0</v>
      </c>
      <c r="AW44" s="105">
        <v>0</v>
      </c>
      <c r="AX44" s="105">
        <v>0</v>
      </c>
      <c r="AY44" s="105">
        <v>0</v>
      </c>
    </row>
    <row r="45" spans="1:51">
      <c r="A45" s="125" t="s">
        <v>123</v>
      </c>
      <c r="B45" s="122">
        <v>1</v>
      </c>
      <c r="C45" s="108" t="s">
        <v>292</v>
      </c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</row>
    <row r="46" spans="1:51">
      <c r="A46" s="108"/>
      <c r="B46" s="118">
        <v>2</v>
      </c>
      <c r="C46" s="108" t="s">
        <v>292</v>
      </c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</row>
    <row r="47" spans="1:51">
      <c r="A47" s="108"/>
      <c r="B47" s="118">
        <v>3</v>
      </c>
      <c r="C47" s="108" t="s">
        <v>292</v>
      </c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</row>
    <row r="48" spans="1:51">
      <c r="A48" s="108"/>
      <c r="B48" s="118">
        <v>4</v>
      </c>
      <c r="C48" s="108" t="s">
        <v>292</v>
      </c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</row>
    <row r="49" spans="1:51">
      <c r="A49" s="108"/>
      <c r="B49" s="118">
        <v>5</v>
      </c>
      <c r="C49" s="108" t="s">
        <v>292</v>
      </c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</row>
    <row r="50" spans="1:51">
      <c r="A50" s="108"/>
      <c r="B50" s="118">
        <v>6</v>
      </c>
      <c r="C50" s="108" t="s">
        <v>292</v>
      </c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</row>
    <row r="51" spans="1:51">
      <c r="A51" s="108"/>
      <c r="B51" s="118">
        <v>7</v>
      </c>
      <c r="C51" s="108" t="s">
        <v>292</v>
      </c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</row>
    <row r="52" spans="1:51">
      <c r="A52" s="108"/>
      <c r="B52" s="118">
        <v>8</v>
      </c>
      <c r="C52" s="108" t="s">
        <v>292</v>
      </c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</row>
    <row r="53" spans="1:51">
      <c r="A53" s="108"/>
      <c r="B53" s="118">
        <v>9</v>
      </c>
      <c r="C53" s="108" t="s">
        <v>292</v>
      </c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</row>
    <row r="54" spans="1:51">
      <c r="A54" s="108"/>
      <c r="B54" s="118">
        <v>10</v>
      </c>
      <c r="C54" s="108" t="s">
        <v>292</v>
      </c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</row>
    <row r="55" spans="1:51">
      <c r="A55" s="108"/>
      <c r="B55" s="118">
        <v>11</v>
      </c>
      <c r="C55" s="108" t="s">
        <v>292</v>
      </c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</row>
    <row r="56" spans="1:51">
      <c r="A56" s="108"/>
      <c r="B56" s="118">
        <v>12</v>
      </c>
      <c r="C56" s="108" t="s">
        <v>292</v>
      </c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</row>
    <row r="57" spans="1:51">
      <c r="A57" s="108"/>
      <c r="B57" s="119">
        <v>13</v>
      </c>
      <c r="C57" s="108" t="s">
        <v>292</v>
      </c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</row>
    <row r="58" spans="1:51">
      <c r="A58" s="108"/>
      <c r="B58" s="119">
        <v>14</v>
      </c>
      <c r="C58" s="108" t="s">
        <v>292</v>
      </c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</row>
    <row r="59" spans="1:51">
      <c r="A59" s="108"/>
      <c r="B59" s="119">
        <v>15</v>
      </c>
      <c r="C59" s="108" t="s">
        <v>292</v>
      </c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</row>
    <row r="60" spans="1:51">
      <c r="A60" s="108"/>
      <c r="B60" s="119">
        <v>16</v>
      </c>
      <c r="C60" s="108" t="s">
        <v>292</v>
      </c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</row>
    <row r="61" spans="1:51">
      <c r="A61" s="108"/>
      <c r="B61" s="119">
        <v>17</v>
      </c>
      <c r="C61" s="108" t="s">
        <v>292</v>
      </c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</row>
    <row r="62" spans="1:51">
      <c r="A62" s="108"/>
      <c r="B62" s="119">
        <v>18</v>
      </c>
      <c r="C62" s="108" t="s">
        <v>292</v>
      </c>
      <c r="D62" s="109"/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</row>
    <row r="63" spans="1:51">
      <c r="A63" s="108"/>
      <c r="B63" s="119">
        <v>19</v>
      </c>
      <c r="C63" s="108" t="s">
        <v>292</v>
      </c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</row>
    <row r="64" spans="1:51">
      <c r="A64" s="108"/>
      <c r="B64" s="119">
        <v>20</v>
      </c>
      <c r="C64" s="108" t="s">
        <v>292</v>
      </c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</row>
    <row r="65" spans="1:51">
      <c r="A65" s="108"/>
      <c r="B65" s="119">
        <v>21</v>
      </c>
      <c r="C65" s="108" t="s">
        <v>292</v>
      </c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</row>
    <row r="66" spans="1:51">
      <c r="A66" s="108"/>
      <c r="B66" s="119">
        <v>22</v>
      </c>
      <c r="C66" s="108" t="s">
        <v>292</v>
      </c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</row>
    <row r="67" spans="1:51">
      <c r="A67" s="108"/>
      <c r="B67" s="119">
        <v>23</v>
      </c>
      <c r="C67" s="108" t="s">
        <v>292</v>
      </c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</row>
    <row r="68" spans="1:51">
      <c r="A68" s="108"/>
      <c r="B68" s="119">
        <v>24</v>
      </c>
      <c r="C68" s="108" t="s">
        <v>292</v>
      </c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</row>
    <row r="69" spans="1:51">
      <c r="A69" s="108"/>
      <c r="B69" s="126">
        <v>25</v>
      </c>
      <c r="C69" s="108" t="s">
        <v>292</v>
      </c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</row>
    <row r="70" spans="1:51">
      <c r="A70" s="108"/>
      <c r="B70" s="126">
        <v>26</v>
      </c>
      <c r="C70" s="108" t="s">
        <v>292</v>
      </c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</row>
    <row r="71" spans="1:51">
      <c r="A71" s="108"/>
      <c r="B71" s="126">
        <v>27</v>
      </c>
      <c r="C71" s="108" t="s">
        <v>292</v>
      </c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</row>
    <row r="72" spans="1:51">
      <c r="A72" s="108"/>
      <c r="B72" s="126">
        <v>28</v>
      </c>
      <c r="C72" s="108" t="s">
        <v>292</v>
      </c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</row>
    <row r="73" spans="1:51">
      <c r="A73" s="108"/>
      <c r="B73" s="126">
        <v>29</v>
      </c>
      <c r="C73" s="108" t="s">
        <v>292</v>
      </c>
      <c r="D73" s="109"/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</row>
    <row r="74" spans="1:51">
      <c r="A74" s="108"/>
      <c r="B74" s="126">
        <v>30</v>
      </c>
      <c r="C74" s="108" t="s">
        <v>292</v>
      </c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</row>
    <row r="75" spans="1:51">
      <c r="A75" s="108"/>
      <c r="B75" s="126">
        <v>31</v>
      </c>
      <c r="C75" s="108" t="s">
        <v>292</v>
      </c>
      <c r="D75" s="109"/>
      <c r="E75" s="109"/>
      <c r="F75" s="109"/>
      <c r="G75" s="109"/>
      <c r="H75" s="109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</row>
    <row r="76" spans="1:51">
      <c r="A76" s="108"/>
      <c r="B76" s="126">
        <v>32</v>
      </c>
      <c r="C76" s="108" t="s">
        <v>292</v>
      </c>
      <c r="D76" s="109"/>
      <c r="E76" s="109"/>
      <c r="F76" s="109"/>
      <c r="G76" s="109"/>
      <c r="H76" s="109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</row>
    <row r="77" spans="1:51">
      <c r="A77" s="108"/>
      <c r="B77" s="126">
        <v>33</v>
      </c>
      <c r="C77" s="108" t="s">
        <v>292</v>
      </c>
      <c r="D77" s="109"/>
      <c r="E77" s="109"/>
      <c r="F77" s="109"/>
      <c r="G77" s="109"/>
      <c r="H77" s="109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</row>
    <row r="78" spans="1:51">
      <c r="A78" s="108"/>
      <c r="B78" s="126">
        <v>34</v>
      </c>
      <c r="C78" s="108" t="s">
        <v>292</v>
      </c>
      <c r="D78" s="109"/>
      <c r="E78" s="109"/>
      <c r="F78" s="109"/>
      <c r="G78" s="109"/>
      <c r="H78" s="109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</row>
    <row r="79" spans="1:51">
      <c r="A79" s="108"/>
      <c r="B79" s="126">
        <v>35</v>
      </c>
      <c r="C79" s="108" t="s">
        <v>292</v>
      </c>
      <c r="D79" s="109"/>
      <c r="E79" s="109"/>
      <c r="F79" s="109"/>
      <c r="G79" s="109"/>
      <c r="H79" s="10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</row>
    <row r="80" spans="1:51">
      <c r="A80" s="108"/>
      <c r="B80" s="126">
        <v>36</v>
      </c>
      <c r="C80" s="108" t="s">
        <v>292</v>
      </c>
      <c r="D80" s="109"/>
      <c r="E80" s="109"/>
      <c r="F80" s="109"/>
      <c r="G80" s="109"/>
      <c r="H80" s="109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</row>
    <row r="81" spans="1:52">
      <c r="A81" s="108"/>
      <c r="B81" s="129">
        <v>37</v>
      </c>
      <c r="C81" s="108" t="s">
        <v>292</v>
      </c>
      <c r="D81" s="109"/>
      <c r="E81" s="109"/>
      <c r="F81" s="109"/>
      <c r="G81" s="109"/>
      <c r="H81" s="109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</row>
    <row r="82" spans="1:52">
      <c r="A82" s="108"/>
      <c r="B82" s="129">
        <v>38</v>
      </c>
      <c r="C82" s="108" t="s">
        <v>292</v>
      </c>
      <c r="D82" s="109"/>
      <c r="E82" s="109"/>
      <c r="F82" s="109"/>
      <c r="G82" s="109"/>
      <c r="H82" s="109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</row>
    <row r="83" spans="1:52">
      <c r="A83" s="108"/>
      <c r="B83" s="129">
        <v>39</v>
      </c>
      <c r="C83" s="108" t="s">
        <v>292</v>
      </c>
      <c r="D83" s="109"/>
      <c r="E83" s="109"/>
      <c r="F83" s="109"/>
      <c r="G83" s="109"/>
      <c r="H83" s="109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</row>
    <row r="84" spans="1:52">
      <c r="A84" s="108"/>
      <c r="B84" s="129">
        <v>40</v>
      </c>
      <c r="C84" s="108" t="s">
        <v>292</v>
      </c>
      <c r="D84" s="109"/>
      <c r="E84" s="109"/>
      <c r="F84" s="109"/>
      <c r="G84" s="109"/>
      <c r="H84" s="109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</row>
    <row r="85" spans="1:52">
      <c r="A85" s="108"/>
      <c r="B85" s="129">
        <v>41</v>
      </c>
      <c r="C85" s="108" t="s">
        <v>292</v>
      </c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</row>
    <row r="86" spans="1:52">
      <c r="A86" s="108"/>
      <c r="B86" s="129">
        <v>42</v>
      </c>
      <c r="C86" s="108" t="s">
        <v>292</v>
      </c>
      <c r="D86" s="109"/>
      <c r="E86" s="109"/>
      <c r="F86" s="109"/>
      <c r="G86" s="109"/>
      <c r="H86" s="109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</row>
    <row r="87" spans="1:52">
      <c r="A87" s="108"/>
      <c r="B87" s="129">
        <v>43</v>
      </c>
      <c r="C87" s="108" t="s">
        <v>292</v>
      </c>
      <c r="D87" s="109"/>
      <c r="E87" s="109"/>
      <c r="F87" s="109"/>
      <c r="G87" s="109"/>
      <c r="H87" s="109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</row>
    <row r="88" spans="1:52">
      <c r="A88" s="108"/>
      <c r="B88" s="129">
        <v>44</v>
      </c>
      <c r="C88" s="108" t="s">
        <v>292</v>
      </c>
      <c r="D88" s="109"/>
      <c r="E88" s="109"/>
      <c r="F88" s="109"/>
      <c r="G88" s="109"/>
      <c r="H88" s="109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</row>
    <row r="89" spans="1:52">
      <c r="A89" s="108"/>
      <c r="B89" s="129">
        <v>45</v>
      </c>
      <c r="C89" s="108" t="s">
        <v>292</v>
      </c>
      <c r="D89" s="109"/>
      <c r="E89" s="109"/>
      <c r="F89" s="109"/>
      <c r="G89" s="109"/>
      <c r="H89" s="10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</row>
    <row r="90" spans="1:52">
      <c r="A90" s="108"/>
      <c r="B90" s="129">
        <v>46</v>
      </c>
      <c r="C90" s="108" t="s">
        <v>292</v>
      </c>
      <c r="D90" s="109"/>
      <c r="E90" s="109"/>
      <c r="F90" s="109"/>
      <c r="G90" s="109"/>
      <c r="H90" s="109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</row>
    <row r="91" spans="1:52">
      <c r="A91" s="108"/>
      <c r="B91" s="129">
        <v>47</v>
      </c>
      <c r="C91" s="108" t="s">
        <v>292</v>
      </c>
      <c r="D91" s="109"/>
      <c r="E91" s="109"/>
      <c r="F91" s="109"/>
      <c r="G91" s="109"/>
      <c r="H91" s="109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</row>
    <row r="92" spans="1:52">
      <c r="A92" s="127"/>
      <c r="B92" s="128">
        <v>48</v>
      </c>
      <c r="C92" s="127" t="s">
        <v>292</v>
      </c>
      <c r="D92" s="124">
        <v>0</v>
      </c>
      <c r="E92" s="124">
        <v>0</v>
      </c>
      <c r="F92" s="124">
        <v>0</v>
      </c>
      <c r="G92" s="124">
        <v>0</v>
      </c>
      <c r="H92" s="124">
        <v>0</v>
      </c>
      <c r="I92" s="124">
        <v>0</v>
      </c>
      <c r="J92" s="124">
        <v>0</v>
      </c>
      <c r="K92" s="124">
        <v>0</v>
      </c>
      <c r="L92" s="124">
        <v>0</v>
      </c>
      <c r="M92" s="124">
        <v>0</v>
      </c>
      <c r="N92" s="124">
        <v>0</v>
      </c>
      <c r="O92" s="124">
        <v>0</v>
      </c>
      <c r="P92" s="124">
        <v>0</v>
      </c>
      <c r="Q92" s="124">
        <v>0</v>
      </c>
      <c r="R92" s="124">
        <v>0</v>
      </c>
      <c r="S92" s="124">
        <v>0</v>
      </c>
      <c r="T92" s="124">
        <v>0</v>
      </c>
      <c r="U92" s="124">
        <v>0</v>
      </c>
      <c r="V92" s="124">
        <v>0</v>
      </c>
      <c r="W92" s="124">
        <v>0</v>
      </c>
      <c r="X92" s="124">
        <v>0</v>
      </c>
      <c r="Y92" s="124">
        <v>0</v>
      </c>
      <c r="Z92" s="124">
        <v>0</v>
      </c>
      <c r="AA92" s="124">
        <v>0</v>
      </c>
      <c r="AB92" s="124">
        <v>0</v>
      </c>
      <c r="AC92" s="124">
        <v>0</v>
      </c>
      <c r="AD92" s="124">
        <v>0</v>
      </c>
      <c r="AE92" s="124">
        <v>0</v>
      </c>
      <c r="AF92" s="124">
        <v>0</v>
      </c>
      <c r="AG92" s="124">
        <v>0</v>
      </c>
      <c r="AH92" s="124">
        <v>0</v>
      </c>
      <c r="AI92" s="124">
        <v>0</v>
      </c>
      <c r="AJ92" s="124">
        <v>0</v>
      </c>
      <c r="AK92" s="124">
        <v>0</v>
      </c>
      <c r="AL92" s="124">
        <v>0</v>
      </c>
      <c r="AM92" s="124">
        <v>0</v>
      </c>
      <c r="AN92" s="124">
        <v>0</v>
      </c>
      <c r="AO92" s="124">
        <v>0</v>
      </c>
      <c r="AP92" s="124">
        <v>0</v>
      </c>
      <c r="AQ92" s="124">
        <v>0</v>
      </c>
      <c r="AR92" s="124">
        <v>0</v>
      </c>
      <c r="AS92" s="124">
        <v>0</v>
      </c>
      <c r="AT92" s="124">
        <v>0</v>
      </c>
      <c r="AU92" s="124">
        <v>0</v>
      </c>
      <c r="AV92" s="124">
        <v>0</v>
      </c>
      <c r="AW92" s="124">
        <v>0</v>
      </c>
      <c r="AX92" s="124">
        <v>0</v>
      </c>
      <c r="AY92" s="124">
        <v>0</v>
      </c>
      <c r="AZ92" s="106">
        <f>SUM(D21:AY92)</f>
        <v>0</v>
      </c>
    </row>
    <row r="94" spans="1:52">
      <c r="A94" s="101" t="s">
        <v>294</v>
      </c>
      <c r="B94" s="105"/>
      <c r="C94" s="105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  <c r="AA94" s="113"/>
      <c r="AB94" s="113"/>
      <c r="AC94" s="113"/>
      <c r="AD94" s="113"/>
      <c r="AE94" s="113"/>
      <c r="AF94" s="113"/>
      <c r="AG94" s="113"/>
      <c r="AH94" s="113"/>
      <c r="AI94" s="113"/>
      <c r="AJ94" s="113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  <c r="AU94" s="113"/>
      <c r="AV94" s="113"/>
      <c r="AW94" s="113"/>
      <c r="AX94" s="113"/>
      <c r="AY94" s="113"/>
    </row>
    <row r="95" spans="1:52">
      <c r="A95" s="125" t="s">
        <v>125</v>
      </c>
      <c r="B95" s="122">
        <v>1</v>
      </c>
      <c r="C95" s="123"/>
      <c r="D95" s="109">
        <v>540.01140000000009</v>
      </c>
      <c r="E95" s="109">
        <v>540.01140000000009</v>
      </c>
      <c r="F95" s="109">
        <v>494.54986517859152</v>
      </c>
      <c r="G95" s="109">
        <v>540.01140000000009</v>
      </c>
      <c r="H95" s="109">
        <v>540.01140000000009</v>
      </c>
      <c r="I95" s="109">
        <v>540.01140000000009</v>
      </c>
      <c r="J95" s="109">
        <v>540.01140000000009</v>
      </c>
      <c r="K95" s="109">
        <v>540.01140000000009</v>
      </c>
      <c r="L95" s="109">
        <v>513.36427322240047</v>
      </c>
      <c r="M95" s="109">
        <v>540.01140000000009</v>
      </c>
      <c r="N95" s="109">
        <v>540.01140000000009</v>
      </c>
      <c r="O95" s="109">
        <v>540.01140000000009</v>
      </c>
      <c r="P95" s="109">
        <v>524.01299999999992</v>
      </c>
      <c r="Q95" s="109">
        <v>524.01299999999992</v>
      </c>
      <c r="R95" s="109">
        <v>524.01299999999992</v>
      </c>
      <c r="S95" s="109">
        <v>524.01299999999992</v>
      </c>
      <c r="T95" s="109">
        <v>524.01299999999992</v>
      </c>
      <c r="U95" s="109">
        <v>524.01299999999992</v>
      </c>
      <c r="V95" s="109">
        <v>524.01299999999992</v>
      </c>
      <c r="W95" s="109">
        <v>524.01299999999992</v>
      </c>
      <c r="X95" s="109">
        <v>540.01140000000009</v>
      </c>
      <c r="Y95" s="109">
        <v>540.01140000000009</v>
      </c>
      <c r="Z95" s="109">
        <v>540.01140000000009</v>
      </c>
      <c r="AA95" s="109">
        <v>540.01140000000009</v>
      </c>
      <c r="AB95" s="109">
        <v>556.00980000000004</v>
      </c>
      <c r="AC95" s="109">
        <v>556.00980000000004</v>
      </c>
      <c r="AD95" s="109">
        <v>556.00980000000004</v>
      </c>
      <c r="AE95" s="109">
        <v>556.00980000000004</v>
      </c>
      <c r="AF95" s="109">
        <v>560.01189999999997</v>
      </c>
      <c r="AG95" s="109">
        <v>560.01189999999997</v>
      </c>
      <c r="AH95" s="109">
        <v>560.01189999999997</v>
      </c>
      <c r="AI95" s="109">
        <v>560.01189999999997</v>
      </c>
      <c r="AJ95" s="109">
        <v>560.01189999999997</v>
      </c>
      <c r="AK95" s="109">
        <v>560.01189999999997</v>
      </c>
      <c r="AL95" s="109">
        <v>560.01189999999997</v>
      </c>
      <c r="AM95" s="109">
        <v>560.01189999999997</v>
      </c>
      <c r="AN95" s="109">
        <v>504.20928708571444</v>
      </c>
      <c r="AO95" s="109">
        <v>504.4741902759481</v>
      </c>
      <c r="AP95" s="109">
        <v>522.00916000000007</v>
      </c>
      <c r="AQ95" s="109">
        <v>522.00916000000007</v>
      </c>
      <c r="AR95" s="109">
        <v>540.01140000000009</v>
      </c>
      <c r="AS95" s="109">
        <v>540.01140000000009</v>
      </c>
      <c r="AT95" s="109">
        <v>540.01140000000009</v>
      </c>
      <c r="AU95" s="109">
        <v>540.01140000000009</v>
      </c>
      <c r="AV95" s="109">
        <v>538.01314000000002</v>
      </c>
      <c r="AW95" s="109">
        <v>538.01314000000002</v>
      </c>
      <c r="AX95" s="109">
        <v>538.01314000000002</v>
      </c>
      <c r="AY95" s="109">
        <v>538.01314000000002</v>
      </c>
    </row>
    <row r="96" spans="1:52">
      <c r="A96" s="108"/>
      <c r="B96" s="119">
        <v>2</v>
      </c>
      <c r="C96" s="109"/>
      <c r="D96" s="109">
        <v>0</v>
      </c>
      <c r="E96" s="109">
        <v>157.01140000000009</v>
      </c>
      <c r="F96" s="109">
        <v>321.02280000000019</v>
      </c>
      <c r="G96" s="109">
        <v>479.57266517859171</v>
      </c>
      <c r="H96" s="109">
        <v>540.01140000000009</v>
      </c>
      <c r="I96" s="109">
        <v>540.01140000000009</v>
      </c>
      <c r="J96" s="109">
        <v>540.01140000000009</v>
      </c>
      <c r="K96" s="109">
        <v>540.01140000000009</v>
      </c>
      <c r="L96" s="109">
        <v>540.01140000000009</v>
      </c>
      <c r="M96" s="109">
        <v>513.36427322240047</v>
      </c>
      <c r="N96" s="109">
        <v>540.01140000000009</v>
      </c>
      <c r="O96" s="109">
        <v>540.01140000000009</v>
      </c>
      <c r="P96" s="109">
        <v>540.01140000000009</v>
      </c>
      <c r="Q96" s="109">
        <v>524.01299999999992</v>
      </c>
      <c r="R96" s="109">
        <v>524.01299999999992</v>
      </c>
      <c r="S96" s="109">
        <v>524.01299999999992</v>
      </c>
      <c r="T96" s="109">
        <v>524.01299999999992</v>
      </c>
      <c r="U96" s="109">
        <v>524.01299999999992</v>
      </c>
      <c r="V96" s="109">
        <v>524.01299999999992</v>
      </c>
      <c r="W96" s="109">
        <v>524.01299999999992</v>
      </c>
      <c r="X96" s="109">
        <v>524.01299999999992</v>
      </c>
      <c r="Y96" s="109">
        <v>540.01140000000009</v>
      </c>
      <c r="Z96" s="109">
        <v>540.01140000000009</v>
      </c>
      <c r="AA96" s="109">
        <v>540.01140000000009</v>
      </c>
      <c r="AB96" s="109">
        <v>540.01140000000009</v>
      </c>
      <c r="AC96" s="109">
        <v>556.00980000000004</v>
      </c>
      <c r="AD96" s="109">
        <v>556.00980000000004</v>
      </c>
      <c r="AE96" s="109">
        <v>556.00980000000004</v>
      </c>
      <c r="AF96" s="109">
        <v>556.00980000000004</v>
      </c>
      <c r="AG96" s="109">
        <v>560.01189999999997</v>
      </c>
      <c r="AH96" s="109">
        <v>560.01189999999997</v>
      </c>
      <c r="AI96" s="109">
        <v>560.01189999999997</v>
      </c>
      <c r="AJ96" s="109">
        <v>560.01189999999997</v>
      </c>
      <c r="AK96" s="109">
        <v>560.01189999999997</v>
      </c>
      <c r="AL96" s="109">
        <v>560.01189999999997</v>
      </c>
      <c r="AM96" s="109">
        <v>560.01189999999997</v>
      </c>
      <c r="AN96" s="109">
        <v>560.01189999999997</v>
      </c>
      <c r="AO96" s="109">
        <v>504.20928708571444</v>
      </c>
      <c r="AP96" s="109">
        <v>504.4741902759481</v>
      </c>
      <c r="AQ96" s="109">
        <v>522.00916000000007</v>
      </c>
      <c r="AR96" s="109">
        <v>522.00916000000007</v>
      </c>
      <c r="AS96" s="109">
        <v>540.01140000000009</v>
      </c>
      <c r="AT96" s="109">
        <v>540.01140000000009</v>
      </c>
      <c r="AU96" s="109">
        <v>540.01140000000009</v>
      </c>
      <c r="AV96" s="109">
        <v>540.01140000000009</v>
      </c>
      <c r="AW96" s="109">
        <v>538.01314000000002</v>
      </c>
      <c r="AX96" s="109">
        <v>538.01314000000002</v>
      </c>
      <c r="AY96" s="109">
        <v>538.01314000000002</v>
      </c>
    </row>
    <row r="97" spans="1:52">
      <c r="A97" s="108"/>
      <c r="B97" s="126">
        <v>3</v>
      </c>
      <c r="C97" s="109"/>
      <c r="D97" s="109">
        <v>0</v>
      </c>
      <c r="E97" s="109">
        <v>0</v>
      </c>
      <c r="F97" s="109">
        <v>0</v>
      </c>
      <c r="G97" s="109">
        <v>0</v>
      </c>
      <c r="H97" s="109">
        <v>198.57266517859171</v>
      </c>
      <c r="I97" s="109">
        <v>453.5840651785918</v>
      </c>
      <c r="J97" s="109">
        <v>540.01140000000009</v>
      </c>
      <c r="K97" s="109">
        <v>540.01140000000009</v>
      </c>
      <c r="L97" s="109">
        <v>540.01140000000009</v>
      </c>
      <c r="M97" s="109">
        <v>540.01140000000009</v>
      </c>
      <c r="N97" s="109">
        <v>513.36427322240047</v>
      </c>
      <c r="O97" s="109">
        <v>540.01140000000009</v>
      </c>
      <c r="P97" s="109">
        <v>540.01140000000009</v>
      </c>
      <c r="Q97" s="109">
        <v>540.01140000000009</v>
      </c>
      <c r="R97" s="109">
        <v>524.01299999999992</v>
      </c>
      <c r="S97" s="109">
        <v>524.01299999999992</v>
      </c>
      <c r="T97" s="109">
        <v>524.01299999999992</v>
      </c>
      <c r="U97" s="109">
        <v>524.01299999999992</v>
      </c>
      <c r="V97" s="109">
        <v>524.01299999999992</v>
      </c>
      <c r="W97" s="109">
        <v>524.01299999999992</v>
      </c>
      <c r="X97" s="109">
        <v>524.01299999999992</v>
      </c>
      <c r="Y97" s="109">
        <v>524.01299999999992</v>
      </c>
      <c r="Z97" s="109">
        <v>540.01140000000009</v>
      </c>
      <c r="AA97" s="109">
        <v>540.01140000000009</v>
      </c>
      <c r="AB97" s="109">
        <v>540.01140000000009</v>
      </c>
      <c r="AC97" s="109">
        <v>540.01140000000009</v>
      </c>
      <c r="AD97" s="109">
        <v>556.00980000000004</v>
      </c>
      <c r="AE97" s="109">
        <v>556.00980000000004</v>
      </c>
      <c r="AF97" s="109">
        <v>556.00980000000004</v>
      </c>
      <c r="AG97" s="109">
        <v>556.00980000000004</v>
      </c>
      <c r="AH97" s="109">
        <v>560.01189999999997</v>
      </c>
      <c r="AI97" s="109">
        <v>560.01189999999997</v>
      </c>
      <c r="AJ97" s="109">
        <v>560.01189999999997</v>
      </c>
      <c r="AK97" s="109">
        <v>560.01189999999997</v>
      </c>
      <c r="AL97" s="109">
        <v>560.01189999999997</v>
      </c>
      <c r="AM97" s="109">
        <v>560.01189999999997</v>
      </c>
      <c r="AN97" s="109">
        <v>560.01189999999997</v>
      </c>
      <c r="AO97" s="109">
        <v>560.01189999999997</v>
      </c>
      <c r="AP97" s="109">
        <v>504.20928708571444</v>
      </c>
      <c r="AQ97" s="109">
        <v>504.4741902759481</v>
      </c>
      <c r="AR97" s="109">
        <v>522.00916000000007</v>
      </c>
      <c r="AS97" s="109">
        <v>522.00916000000007</v>
      </c>
      <c r="AT97" s="109">
        <v>540.01140000000009</v>
      </c>
      <c r="AU97" s="109">
        <v>540.01140000000009</v>
      </c>
      <c r="AV97" s="109">
        <v>540.01140000000009</v>
      </c>
      <c r="AW97" s="109">
        <v>540.01140000000009</v>
      </c>
      <c r="AX97" s="109">
        <v>538.01314000000002</v>
      </c>
      <c r="AY97" s="109">
        <v>538.01314000000002</v>
      </c>
    </row>
    <row r="98" spans="1:52">
      <c r="A98" s="108"/>
      <c r="B98" s="129">
        <v>4</v>
      </c>
      <c r="C98" s="105"/>
      <c r="D98" s="109">
        <v>0</v>
      </c>
      <c r="E98" s="109">
        <v>0</v>
      </c>
      <c r="F98" s="109">
        <v>0</v>
      </c>
      <c r="G98" s="109">
        <v>0</v>
      </c>
      <c r="H98" s="109">
        <v>0</v>
      </c>
      <c r="I98" s="109">
        <v>0</v>
      </c>
      <c r="J98" s="109">
        <v>67.5840651785918</v>
      </c>
      <c r="K98" s="109">
        <v>322.59546517859189</v>
      </c>
      <c r="L98" s="109">
        <v>481.60686517859199</v>
      </c>
      <c r="M98" s="109">
        <v>540.01140000000009</v>
      </c>
      <c r="N98" s="109">
        <v>540.01140000000009</v>
      </c>
      <c r="O98" s="109">
        <v>513.36427322240047</v>
      </c>
      <c r="P98" s="109">
        <v>540.01140000000009</v>
      </c>
      <c r="Q98" s="109">
        <v>540.01140000000009</v>
      </c>
      <c r="R98" s="109">
        <v>540.01140000000009</v>
      </c>
      <c r="S98" s="109">
        <v>524.01299999999992</v>
      </c>
      <c r="T98" s="109">
        <v>524.01299999999992</v>
      </c>
      <c r="U98" s="109">
        <v>524.01299999999992</v>
      </c>
      <c r="V98" s="109">
        <v>524.01299999999992</v>
      </c>
      <c r="W98" s="109">
        <v>524.01299999999992</v>
      </c>
      <c r="X98" s="109">
        <v>524.01299999999992</v>
      </c>
      <c r="Y98" s="109">
        <v>524.01299999999992</v>
      </c>
      <c r="Z98" s="109">
        <v>524.01299999999992</v>
      </c>
      <c r="AA98" s="109">
        <v>540.01140000000009</v>
      </c>
      <c r="AB98" s="109">
        <v>540.01140000000009</v>
      </c>
      <c r="AC98" s="109">
        <v>540.01140000000009</v>
      </c>
      <c r="AD98" s="109">
        <v>540.01140000000009</v>
      </c>
      <c r="AE98" s="109">
        <v>556.00980000000004</v>
      </c>
      <c r="AF98" s="109">
        <v>556.00980000000004</v>
      </c>
      <c r="AG98" s="109">
        <v>556.00980000000004</v>
      </c>
      <c r="AH98" s="109">
        <v>556.00980000000004</v>
      </c>
      <c r="AI98" s="109">
        <v>560.01189999999997</v>
      </c>
      <c r="AJ98" s="109">
        <v>560.01189999999997</v>
      </c>
      <c r="AK98" s="109">
        <v>560.01189999999997</v>
      </c>
      <c r="AL98" s="109">
        <v>560.01189999999997</v>
      </c>
      <c r="AM98" s="109">
        <v>560.01189999999997</v>
      </c>
      <c r="AN98" s="109">
        <v>560.01189999999997</v>
      </c>
      <c r="AO98" s="109">
        <v>560.01189999999997</v>
      </c>
      <c r="AP98" s="109">
        <v>560.01189999999997</v>
      </c>
      <c r="AQ98" s="109">
        <v>504.20928708571444</v>
      </c>
      <c r="AR98" s="109">
        <v>504.4741902759481</v>
      </c>
      <c r="AS98" s="109">
        <v>522.00916000000007</v>
      </c>
      <c r="AT98" s="109">
        <v>522.00916000000007</v>
      </c>
      <c r="AU98" s="109">
        <v>540.01140000000009</v>
      </c>
      <c r="AV98" s="109">
        <v>540.01140000000009</v>
      </c>
      <c r="AW98" s="109">
        <v>540.01140000000009</v>
      </c>
      <c r="AX98" s="109">
        <v>540.01140000000009</v>
      </c>
      <c r="AY98" s="109">
        <v>538.01314000000002</v>
      </c>
    </row>
    <row r="99" spans="1:52">
      <c r="A99" s="127"/>
      <c r="B99" s="131" t="s">
        <v>295</v>
      </c>
      <c r="C99" s="124"/>
      <c r="D99" s="124">
        <v>0</v>
      </c>
      <c r="E99" s="124">
        <v>0</v>
      </c>
      <c r="F99" s="124">
        <v>0</v>
      </c>
      <c r="G99" s="124">
        <v>0</v>
      </c>
      <c r="H99" s="124">
        <v>0</v>
      </c>
      <c r="I99" s="124">
        <v>0</v>
      </c>
      <c r="J99" s="124">
        <v>0</v>
      </c>
      <c r="K99" s="124">
        <v>0</v>
      </c>
      <c r="L99" s="124">
        <v>0</v>
      </c>
      <c r="M99" s="124">
        <v>60.606865178591988</v>
      </c>
      <c r="N99" s="124">
        <v>186.01140000000009</v>
      </c>
      <c r="O99" s="124">
        <v>228.01140000000009</v>
      </c>
      <c r="P99" s="124">
        <v>122.36427322240047</v>
      </c>
      <c r="Q99" s="124">
        <v>174.01140000000009</v>
      </c>
      <c r="R99" s="124">
        <v>183.01140000000009</v>
      </c>
      <c r="S99" s="124">
        <v>164.01140000000009</v>
      </c>
      <c r="T99" s="124">
        <v>103.01299999999992</v>
      </c>
      <c r="U99" s="124">
        <v>182.01299999999992</v>
      </c>
      <c r="V99" s="124">
        <v>227.01299999999992</v>
      </c>
      <c r="W99" s="124">
        <v>118.01299999999992</v>
      </c>
      <c r="X99" s="124">
        <v>220.01299999999992</v>
      </c>
      <c r="Y99" s="124">
        <v>68.01299999999992</v>
      </c>
      <c r="Z99" s="124">
        <v>119.01299999999992</v>
      </c>
      <c r="AA99" s="124">
        <v>102.01299999999992</v>
      </c>
      <c r="AB99" s="124">
        <v>244.01140000000009</v>
      </c>
      <c r="AC99" s="124">
        <v>167.01140000000009</v>
      </c>
      <c r="AD99" s="124">
        <v>242.01140000000009</v>
      </c>
      <c r="AE99" s="124">
        <v>193.01140000000009</v>
      </c>
      <c r="AF99" s="124">
        <v>104.00980000000004</v>
      </c>
      <c r="AG99" s="124">
        <v>231.00980000000004</v>
      </c>
      <c r="AH99" s="124">
        <v>235.00980000000004</v>
      </c>
      <c r="AI99" s="124">
        <v>175.00980000000004</v>
      </c>
      <c r="AJ99" s="124">
        <v>238.01189999999997</v>
      </c>
      <c r="AK99" s="124">
        <v>152.01189999999997</v>
      </c>
      <c r="AL99" s="124">
        <v>206.01189999999997</v>
      </c>
      <c r="AM99" s="124">
        <v>203.01189999999997</v>
      </c>
      <c r="AN99" s="124">
        <v>104.01189999999997</v>
      </c>
      <c r="AO99" s="124">
        <v>160.01189999999997</v>
      </c>
      <c r="AP99" s="124">
        <v>156.01189999999997</v>
      </c>
      <c r="AQ99" s="124">
        <v>166.01189999999997</v>
      </c>
      <c r="AR99" s="124">
        <v>110.20928708571444</v>
      </c>
      <c r="AS99" s="124">
        <v>77.474190275948104</v>
      </c>
      <c r="AT99" s="124">
        <v>115.00916000000007</v>
      </c>
      <c r="AU99" s="124">
        <v>220.00916000000007</v>
      </c>
      <c r="AV99" s="124">
        <v>96.011400000000094</v>
      </c>
      <c r="AW99" s="124">
        <v>133.01140000000009</v>
      </c>
      <c r="AX99" s="124">
        <v>156.01140000000009</v>
      </c>
      <c r="AY99" s="124">
        <v>172.01140000000009</v>
      </c>
      <c r="AZ99" s="106">
        <f>SUM($D99:$AY99)</f>
        <v>6313.0595357626535</v>
      </c>
    </row>
    <row r="100" spans="1:52">
      <c r="A100" s="130" t="s">
        <v>133</v>
      </c>
      <c r="B100" s="118">
        <v>1</v>
      </c>
      <c r="C100" s="105"/>
      <c r="D100" s="105">
        <v>0</v>
      </c>
      <c r="E100" s="105">
        <v>0</v>
      </c>
      <c r="F100" s="105">
        <v>288.67646335325571</v>
      </c>
      <c r="G100" s="105">
        <v>212.98848000000004</v>
      </c>
      <c r="H100" s="105">
        <v>816.49019939970594</v>
      </c>
      <c r="I100" s="105">
        <v>867.83878261039001</v>
      </c>
      <c r="J100" s="105">
        <v>730.06152015999999</v>
      </c>
      <c r="K100" s="105">
        <v>137.77726245039</v>
      </c>
      <c r="L100" s="105">
        <v>730.06152015999999</v>
      </c>
      <c r="M100" s="105">
        <v>359.64026245039003</v>
      </c>
      <c r="N100" s="105">
        <v>842.52924505631881</v>
      </c>
      <c r="O100" s="105">
        <v>883.14699016000009</v>
      </c>
      <c r="P100" s="105">
        <v>441.76193335325581</v>
      </c>
      <c r="Q100" s="105">
        <v>212.98848000000004</v>
      </c>
      <c r="R100" s="105">
        <v>845.65887226479003</v>
      </c>
      <c r="S100" s="105">
        <v>845.65887226479003</v>
      </c>
      <c r="T100" s="105">
        <v>508.19852016000004</v>
      </c>
      <c r="U100" s="105">
        <v>867.8387826103899</v>
      </c>
      <c r="V100" s="105">
        <v>404.27381545804576</v>
      </c>
      <c r="W100" s="105">
        <v>845.65887226479003</v>
      </c>
      <c r="X100" s="105">
        <v>266.49655300765573</v>
      </c>
      <c r="Y100" s="105">
        <v>845.65887226479003</v>
      </c>
      <c r="Z100" s="105">
        <v>883.14699016000009</v>
      </c>
      <c r="AA100" s="105">
        <v>368.29258000000004</v>
      </c>
      <c r="AB100" s="105">
        <v>288.67646335325571</v>
      </c>
      <c r="AC100" s="105">
        <v>374.94847000000004</v>
      </c>
      <c r="AD100" s="105">
        <v>146.68414335325576</v>
      </c>
      <c r="AE100" s="105">
        <v>366.07395000000002</v>
      </c>
      <c r="AF100" s="105">
        <v>441.76193335325581</v>
      </c>
      <c r="AG100" s="105">
        <v>153.08547000000002</v>
      </c>
      <c r="AH100" s="105">
        <v>883.15086999999994</v>
      </c>
      <c r="AI100" s="105">
        <v>374.94847000000004</v>
      </c>
      <c r="AJ100" s="105">
        <v>883.15086999999994</v>
      </c>
      <c r="AK100" s="105">
        <v>883.15086999999994</v>
      </c>
      <c r="AL100" s="105">
        <v>288.67646335325571</v>
      </c>
      <c r="AM100" s="105">
        <v>368.29258000000004</v>
      </c>
      <c r="AN100" s="105">
        <v>730.06539999999995</v>
      </c>
      <c r="AO100" s="105">
        <v>883.15086999999994</v>
      </c>
      <c r="AP100" s="105">
        <v>455.1246260239069</v>
      </c>
      <c r="AQ100" s="105">
        <v>219.64437000000004</v>
      </c>
      <c r="AR100" s="105">
        <v>455.1246260239069</v>
      </c>
      <c r="AS100" s="105">
        <v>212.98848000000004</v>
      </c>
      <c r="AT100" s="105">
        <v>374.94847000000004</v>
      </c>
      <c r="AU100" s="105">
        <v>212.98848000000004</v>
      </c>
      <c r="AV100" s="105">
        <v>441.76193335325581</v>
      </c>
      <c r="AW100" s="105">
        <v>212.98848000000004</v>
      </c>
      <c r="AX100" s="105">
        <v>719.90855377599996</v>
      </c>
      <c r="AY100" s="105">
        <v>872.99402377600006</v>
      </c>
    </row>
    <row r="101" spans="1:52">
      <c r="A101" s="108"/>
      <c r="B101" s="118">
        <v>2</v>
      </c>
      <c r="C101" s="105"/>
      <c r="D101" s="105">
        <v>0</v>
      </c>
      <c r="E101" s="105">
        <v>0</v>
      </c>
      <c r="F101" s="105">
        <v>0</v>
      </c>
      <c r="G101" s="105">
        <v>441.38505680674427</v>
      </c>
      <c r="H101" s="105">
        <v>883.14699016000009</v>
      </c>
      <c r="I101" s="105">
        <v>816.49019939970594</v>
      </c>
      <c r="J101" s="105">
        <v>867.83878261039001</v>
      </c>
      <c r="K101" s="105">
        <v>867.83878261039001</v>
      </c>
      <c r="L101" s="105">
        <v>645.97578261038996</v>
      </c>
      <c r="M101" s="105">
        <v>867.83878261039001</v>
      </c>
      <c r="N101" s="105">
        <v>867.83878261039001</v>
      </c>
      <c r="O101" s="105">
        <v>842.52924505631881</v>
      </c>
      <c r="P101" s="105">
        <v>883.14699016000009</v>
      </c>
      <c r="Q101" s="105">
        <v>883.14699016000009</v>
      </c>
      <c r="R101" s="105">
        <v>883.14699016000009</v>
      </c>
      <c r="S101" s="105">
        <v>845.65887226479003</v>
      </c>
      <c r="T101" s="105">
        <v>845.65887226479003</v>
      </c>
      <c r="U101" s="105">
        <v>508.19852016000004</v>
      </c>
      <c r="V101" s="105">
        <v>867.8387826103899</v>
      </c>
      <c r="W101" s="105">
        <v>845.65887226479003</v>
      </c>
      <c r="X101" s="105">
        <v>845.65887226479003</v>
      </c>
      <c r="Y101" s="105">
        <v>404.27381545804576</v>
      </c>
      <c r="Z101" s="105">
        <v>845.65887226479003</v>
      </c>
      <c r="AA101" s="105">
        <v>883.14699016000009</v>
      </c>
      <c r="AB101" s="105">
        <v>883.14699016000009</v>
      </c>
      <c r="AC101" s="105">
        <v>730.06152015999999</v>
      </c>
      <c r="AD101" s="105">
        <v>883.14699016000009</v>
      </c>
      <c r="AE101" s="105">
        <v>883.14699016000009</v>
      </c>
      <c r="AF101" s="105">
        <v>874.27247016000001</v>
      </c>
      <c r="AG101" s="105">
        <v>883.14699016000009</v>
      </c>
      <c r="AH101" s="105">
        <v>153.08547000000002</v>
      </c>
      <c r="AI101" s="105">
        <v>883.15086999999994</v>
      </c>
      <c r="AJ101" s="105">
        <v>883.15086999999994</v>
      </c>
      <c r="AK101" s="105">
        <v>883.15086999999994</v>
      </c>
      <c r="AL101" s="105">
        <v>883.15086999999994</v>
      </c>
      <c r="AM101" s="105">
        <v>883.15086999999994</v>
      </c>
      <c r="AN101" s="105">
        <v>368.29258000000004</v>
      </c>
      <c r="AO101" s="105">
        <v>883.15086999999994</v>
      </c>
      <c r="AP101" s="105">
        <v>883.15086999999994</v>
      </c>
      <c r="AQ101" s="105">
        <v>842.70867717036094</v>
      </c>
      <c r="AR101" s="105">
        <v>687.70378403963889</v>
      </c>
      <c r="AS101" s="105">
        <v>862.81354734400009</v>
      </c>
      <c r="AT101" s="105">
        <v>368.29258000000004</v>
      </c>
      <c r="AU101" s="105">
        <v>374.94847000000004</v>
      </c>
      <c r="AV101" s="105">
        <v>219.64437000000004</v>
      </c>
      <c r="AW101" s="105">
        <v>883.15087000000017</v>
      </c>
      <c r="AX101" s="105">
        <v>721.18700016000003</v>
      </c>
      <c r="AY101" s="105">
        <v>872.99402377599995</v>
      </c>
    </row>
    <row r="102" spans="1:52">
      <c r="A102" s="108"/>
      <c r="B102" s="119">
        <v>3</v>
      </c>
      <c r="C102" s="105"/>
      <c r="D102" s="105">
        <v>0</v>
      </c>
      <c r="E102" s="105">
        <v>0</v>
      </c>
      <c r="F102" s="105">
        <v>0</v>
      </c>
      <c r="G102" s="105">
        <v>0</v>
      </c>
      <c r="H102" s="105">
        <v>64.385056806744274</v>
      </c>
      <c r="I102" s="105">
        <v>624.53204696674436</v>
      </c>
      <c r="J102" s="105">
        <v>816.49019939970594</v>
      </c>
      <c r="K102" s="105">
        <v>867.83878261039001</v>
      </c>
      <c r="L102" s="105">
        <v>867.83878261039001</v>
      </c>
      <c r="M102" s="105">
        <v>645.97578261038996</v>
      </c>
      <c r="N102" s="105">
        <v>867.83878261039001</v>
      </c>
      <c r="O102" s="105">
        <v>867.83878261039001</v>
      </c>
      <c r="P102" s="105">
        <v>842.52924505631881</v>
      </c>
      <c r="Q102" s="105">
        <v>883.14699016000009</v>
      </c>
      <c r="R102" s="105">
        <v>883.14699016000009</v>
      </c>
      <c r="S102" s="105">
        <v>883.14699016000009</v>
      </c>
      <c r="T102" s="105">
        <v>845.65887226479003</v>
      </c>
      <c r="U102" s="105">
        <v>845.65887226479003</v>
      </c>
      <c r="V102" s="105">
        <v>645.97578261039007</v>
      </c>
      <c r="W102" s="105">
        <v>867.8387826103899</v>
      </c>
      <c r="X102" s="105">
        <v>845.65887226479003</v>
      </c>
      <c r="Y102" s="105">
        <v>845.65887226479003</v>
      </c>
      <c r="Z102" s="105">
        <v>845.65887226479003</v>
      </c>
      <c r="AA102" s="105">
        <v>845.65887226479003</v>
      </c>
      <c r="AB102" s="105">
        <v>883.14699016000009</v>
      </c>
      <c r="AC102" s="105">
        <v>883.14699016000009</v>
      </c>
      <c r="AD102" s="105">
        <v>883.14699015999997</v>
      </c>
      <c r="AE102" s="105">
        <v>883.14699016000009</v>
      </c>
      <c r="AF102" s="105">
        <v>883.14699016000009</v>
      </c>
      <c r="AG102" s="105">
        <v>883.14699015999997</v>
      </c>
      <c r="AH102" s="105">
        <v>883.14699016000009</v>
      </c>
      <c r="AI102" s="105">
        <v>661.28399016000003</v>
      </c>
      <c r="AJ102" s="105">
        <v>883.15086999999994</v>
      </c>
      <c r="AK102" s="105">
        <v>883.15086999999994</v>
      </c>
      <c r="AL102" s="105">
        <v>883.15086999999994</v>
      </c>
      <c r="AM102" s="105">
        <v>883.15086999999994</v>
      </c>
      <c r="AN102" s="105">
        <v>883.15086999999994</v>
      </c>
      <c r="AO102" s="105">
        <v>374.94847000000004</v>
      </c>
      <c r="AP102" s="105">
        <v>883.15086999999994</v>
      </c>
      <c r="AQ102" s="105">
        <v>883.15086999999994</v>
      </c>
      <c r="AR102" s="105">
        <v>842.70867717036094</v>
      </c>
      <c r="AS102" s="105">
        <v>843.00788403963884</v>
      </c>
      <c r="AT102" s="105">
        <v>862.81354734400009</v>
      </c>
      <c r="AU102" s="105">
        <v>374.94847000000004</v>
      </c>
      <c r="AV102" s="105">
        <v>374.94847000000004</v>
      </c>
      <c r="AW102" s="105">
        <v>374.94847000000004</v>
      </c>
      <c r="AX102" s="105">
        <v>883.15087000000017</v>
      </c>
      <c r="AY102" s="105">
        <v>883.14699016000009</v>
      </c>
    </row>
    <row r="103" spans="1:52">
      <c r="A103" s="108"/>
      <c r="B103" s="119">
        <v>4</v>
      </c>
      <c r="C103" s="105"/>
      <c r="D103" s="105">
        <v>0</v>
      </c>
      <c r="E103" s="105">
        <v>0</v>
      </c>
      <c r="F103" s="105">
        <v>0</v>
      </c>
      <c r="G103" s="105">
        <v>0</v>
      </c>
      <c r="H103" s="105">
        <v>0</v>
      </c>
      <c r="I103" s="105">
        <v>0</v>
      </c>
      <c r="J103" s="105">
        <v>242.53204696674436</v>
      </c>
      <c r="K103" s="105">
        <v>740.0222463664503</v>
      </c>
      <c r="L103" s="105">
        <v>867.83878261039001</v>
      </c>
      <c r="M103" s="105">
        <v>867.83878261039001</v>
      </c>
      <c r="N103" s="105">
        <v>645.97578261038996</v>
      </c>
      <c r="O103" s="105">
        <v>867.83878261039001</v>
      </c>
      <c r="P103" s="105">
        <v>867.83878261039001</v>
      </c>
      <c r="Q103" s="105">
        <v>842.52924505631881</v>
      </c>
      <c r="R103" s="105">
        <v>883.14699016000009</v>
      </c>
      <c r="S103" s="105">
        <v>883.14699016000009</v>
      </c>
      <c r="T103" s="105">
        <v>883.14699016000009</v>
      </c>
      <c r="U103" s="105">
        <v>845.65887226479003</v>
      </c>
      <c r="V103" s="105">
        <v>845.65887226479003</v>
      </c>
      <c r="W103" s="105">
        <v>645.97578261039007</v>
      </c>
      <c r="X103" s="105">
        <v>867.8387826103899</v>
      </c>
      <c r="Y103" s="105">
        <v>845.65887226479003</v>
      </c>
      <c r="Z103" s="105">
        <v>845.65887226479003</v>
      </c>
      <c r="AA103" s="105">
        <v>845.65887226479003</v>
      </c>
      <c r="AB103" s="105">
        <v>845.65887226479003</v>
      </c>
      <c r="AC103" s="105">
        <v>883.14699016000009</v>
      </c>
      <c r="AD103" s="105">
        <v>883.14699016000009</v>
      </c>
      <c r="AE103" s="105">
        <v>883.14699015999997</v>
      </c>
      <c r="AF103" s="105">
        <v>883.14699016000009</v>
      </c>
      <c r="AG103" s="105">
        <v>883.14699016000009</v>
      </c>
      <c r="AH103" s="105">
        <v>883.14699015999997</v>
      </c>
      <c r="AI103" s="105">
        <v>883.14699016000009</v>
      </c>
      <c r="AJ103" s="105">
        <v>661.28399016000003</v>
      </c>
      <c r="AK103" s="105">
        <v>883.15086999999994</v>
      </c>
      <c r="AL103" s="105">
        <v>883.15086999999994</v>
      </c>
      <c r="AM103" s="105">
        <v>883.15086999999994</v>
      </c>
      <c r="AN103" s="105">
        <v>883.15086999999994</v>
      </c>
      <c r="AO103" s="105">
        <v>883.15086999999994</v>
      </c>
      <c r="AP103" s="105">
        <v>374.94847000000004</v>
      </c>
      <c r="AQ103" s="105">
        <v>883.15086999999994</v>
      </c>
      <c r="AR103" s="105">
        <v>883.15086999999994</v>
      </c>
      <c r="AS103" s="105">
        <v>842.70867717036094</v>
      </c>
      <c r="AT103" s="105">
        <v>843.00788403963884</v>
      </c>
      <c r="AU103" s="105">
        <v>862.81354734400009</v>
      </c>
      <c r="AV103" s="105">
        <v>374.94847000000004</v>
      </c>
      <c r="AW103" s="105">
        <v>374.94847000000004</v>
      </c>
      <c r="AX103" s="105">
        <v>374.94847000000004</v>
      </c>
      <c r="AY103" s="105">
        <v>883.15087000000017</v>
      </c>
    </row>
    <row r="104" spans="1:52">
      <c r="A104" s="108"/>
      <c r="B104" s="126">
        <v>5</v>
      </c>
      <c r="C104" s="105"/>
      <c r="D104" s="105">
        <v>0</v>
      </c>
      <c r="E104" s="105">
        <v>0</v>
      </c>
      <c r="F104" s="105">
        <v>0</v>
      </c>
      <c r="G104" s="105">
        <v>0</v>
      </c>
      <c r="H104" s="105">
        <v>0</v>
      </c>
      <c r="I104" s="105">
        <v>0</v>
      </c>
      <c r="J104" s="105">
        <v>0</v>
      </c>
      <c r="K104" s="105">
        <v>0</v>
      </c>
      <c r="L104" s="105">
        <v>326.0222463664503</v>
      </c>
      <c r="M104" s="105">
        <v>867.83878261039001</v>
      </c>
      <c r="N104" s="105">
        <v>867.83878261039001</v>
      </c>
      <c r="O104" s="105">
        <v>645.97578261038996</v>
      </c>
      <c r="P104" s="105">
        <v>867.83878261039001</v>
      </c>
      <c r="Q104" s="105">
        <v>867.83878261039001</v>
      </c>
      <c r="R104" s="105">
        <v>842.52924505631881</v>
      </c>
      <c r="S104" s="105">
        <v>883.14699016000009</v>
      </c>
      <c r="T104" s="105">
        <v>883.14699016000009</v>
      </c>
      <c r="U104" s="105">
        <v>883.14699016000009</v>
      </c>
      <c r="V104" s="105">
        <v>845.65887226479003</v>
      </c>
      <c r="W104" s="105">
        <v>845.65887226479003</v>
      </c>
      <c r="X104" s="105">
        <v>645.97578261039007</v>
      </c>
      <c r="Y104" s="105">
        <v>867.8387826103899</v>
      </c>
      <c r="Z104" s="105">
        <v>845.65887226479003</v>
      </c>
      <c r="AA104" s="105">
        <v>845.65887226479003</v>
      </c>
      <c r="AB104" s="105">
        <v>845.65887226479003</v>
      </c>
      <c r="AC104" s="105">
        <v>845.65887226479003</v>
      </c>
      <c r="AD104" s="105">
        <v>883.14699016000009</v>
      </c>
      <c r="AE104" s="105">
        <v>883.14699016000009</v>
      </c>
      <c r="AF104" s="105">
        <v>883.14699015999997</v>
      </c>
      <c r="AG104" s="105">
        <v>883.14699016000009</v>
      </c>
      <c r="AH104" s="105">
        <v>883.14699016000009</v>
      </c>
      <c r="AI104" s="105">
        <v>883.14699015999997</v>
      </c>
      <c r="AJ104" s="105">
        <v>883.14699016000009</v>
      </c>
      <c r="AK104" s="105">
        <v>661.28399016000003</v>
      </c>
      <c r="AL104" s="105">
        <v>883.15086999999994</v>
      </c>
      <c r="AM104" s="105">
        <v>883.15086999999994</v>
      </c>
      <c r="AN104" s="105">
        <v>883.15086999999994</v>
      </c>
      <c r="AO104" s="105">
        <v>883.15086999999994</v>
      </c>
      <c r="AP104" s="105">
        <v>883.15086999999994</v>
      </c>
      <c r="AQ104" s="105">
        <v>374.94847000000004</v>
      </c>
      <c r="AR104" s="105">
        <v>883.15086999999994</v>
      </c>
      <c r="AS104" s="105">
        <v>883.15086999999994</v>
      </c>
      <c r="AT104" s="105">
        <v>842.70867717036094</v>
      </c>
      <c r="AU104" s="105">
        <v>843.00788403963884</v>
      </c>
      <c r="AV104" s="105">
        <v>862.81354734400009</v>
      </c>
      <c r="AW104" s="105">
        <v>374.94847000000004</v>
      </c>
      <c r="AX104" s="105">
        <v>374.94847000000004</v>
      </c>
      <c r="AY104" s="105">
        <v>374.94847000000004</v>
      </c>
    </row>
    <row r="105" spans="1:52">
      <c r="A105" s="108"/>
      <c r="B105" s="126">
        <v>6</v>
      </c>
      <c r="C105" s="105"/>
      <c r="D105" s="105">
        <v>0</v>
      </c>
      <c r="E105" s="105">
        <v>0</v>
      </c>
      <c r="F105" s="105">
        <v>0</v>
      </c>
      <c r="G105" s="105">
        <v>0</v>
      </c>
      <c r="H105" s="105">
        <v>0</v>
      </c>
      <c r="I105" s="105">
        <v>0</v>
      </c>
      <c r="J105" s="105">
        <v>0</v>
      </c>
      <c r="K105" s="105">
        <v>0</v>
      </c>
      <c r="L105" s="105">
        <v>0</v>
      </c>
      <c r="M105" s="105">
        <v>11.022246366450304</v>
      </c>
      <c r="N105" s="105">
        <v>520.86102897684032</v>
      </c>
      <c r="O105" s="105">
        <v>867.83878261039001</v>
      </c>
      <c r="P105" s="105">
        <v>645.97578261038996</v>
      </c>
      <c r="Q105" s="105">
        <v>867.83878261039001</v>
      </c>
      <c r="R105" s="105">
        <v>867.83878261039001</v>
      </c>
      <c r="S105" s="105">
        <v>842.52924505631881</v>
      </c>
      <c r="T105" s="105">
        <v>883.14699016000009</v>
      </c>
      <c r="U105" s="105">
        <v>883.14699016000009</v>
      </c>
      <c r="V105" s="105">
        <v>883.14699016000009</v>
      </c>
      <c r="W105" s="105">
        <v>845.65887226479003</v>
      </c>
      <c r="X105" s="105">
        <v>845.65887226479003</v>
      </c>
      <c r="Y105" s="105">
        <v>645.97578261039007</v>
      </c>
      <c r="Z105" s="105">
        <v>867.8387826103899</v>
      </c>
      <c r="AA105" s="105">
        <v>845.65887226479003</v>
      </c>
      <c r="AB105" s="105">
        <v>845.65887226479003</v>
      </c>
      <c r="AC105" s="105">
        <v>845.65887226479003</v>
      </c>
      <c r="AD105" s="105">
        <v>845.65887226479003</v>
      </c>
      <c r="AE105" s="105">
        <v>883.14699016000009</v>
      </c>
      <c r="AF105" s="105">
        <v>883.14699016000009</v>
      </c>
      <c r="AG105" s="105">
        <v>883.14699015999997</v>
      </c>
      <c r="AH105" s="105">
        <v>883.14699016000009</v>
      </c>
      <c r="AI105" s="105">
        <v>883.14699016000009</v>
      </c>
      <c r="AJ105" s="105">
        <v>883.14699015999997</v>
      </c>
      <c r="AK105" s="105">
        <v>883.14699016000009</v>
      </c>
      <c r="AL105" s="105">
        <v>661.28399016000003</v>
      </c>
      <c r="AM105" s="105">
        <v>883.15086999999994</v>
      </c>
      <c r="AN105" s="105">
        <v>883.15086999999994</v>
      </c>
      <c r="AO105" s="105">
        <v>883.15086999999994</v>
      </c>
      <c r="AP105" s="105">
        <v>883.15086999999994</v>
      </c>
      <c r="AQ105" s="105">
        <v>883.15086999999994</v>
      </c>
      <c r="AR105" s="105">
        <v>374.94847000000004</v>
      </c>
      <c r="AS105" s="105">
        <v>883.15086999999994</v>
      </c>
      <c r="AT105" s="105">
        <v>883.15086999999994</v>
      </c>
      <c r="AU105" s="105">
        <v>842.70867717036094</v>
      </c>
      <c r="AV105" s="105">
        <v>843.00788403963884</v>
      </c>
      <c r="AW105" s="105">
        <v>862.81354734400009</v>
      </c>
      <c r="AX105" s="105">
        <v>374.94847000000004</v>
      </c>
      <c r="AY105" s="105">
        <v>374.94847000000004</v>
      </c>
    </row>
    <row r="106" spans="1:52">
      <c r="A106" s="108"/>
      <c r="B106" s="129">
        <v>7</v>
      </c>
      <c r="C106" s="105"/>
      <c r="D106" s="105">
        <v>0</v>
      </c>
      <c r="E106" s="105">
        <v>0</v>
      </c>
      <c r="F106" s="105">
        <v>0</v>
      </c>
      <c r="G106" s="105">
        <v>0</v>
      </c>
      <c r="H106" s="105">
        <v>0</v>
      </c>
      <c r="I106" s="105">
        <v>0</v>
      </c>
      <c r="J106" s="105">
        <v>0</v>
      </c>
      <c r="K106" s="105">
        <v>0</v>
      </c>
      <c r="L106" s="105">
        <v>0</v>
      </c>
      <c r="M106" s="105">
        <v>0</v>
      </c>
      <c r="N106" s="105">
        <v>0</v>
      </c>
      <c r="O106" s="105">
        <v>191.86102897684032</v>
      </c>
      <c r="P106" s="105">
        <v>759.69981158723033</v>
      </c>
      <c r="Q106" s="105">
        <v>645.97578261038996</v>
      </c>
      <c r="R106" s="105">
        <v>867.83878261039001</v>
      </c>
      <c r="S106" s="105">
        <v>867.83878261039001</v>
      </c>
      <c r="T106" s="105">
        <v>842.52924505631881</v>
      </c>
      <c r="U106" s="105">
        <v>883.14699016000009</v>
      </c>
      <c r="V106" s="105">
        <v>883.14699016000009</v>
      </c>
      <c r="W106" s="105">
        <v>883.14699016000009</v>
      </c>
      <c r="X106" s="105">
        <v>845.65887226479003</v>
      </c>
      <c r="Y106" s="105">
        <v>845.65887226479003</v>
      </c>
      <c r="Z106" s="105">
        <v>645.97578261039007</v>
      </c>
      <c r="AA106" s="105">
        <v>867.8387826103899</v>
      </c>
      <c r="AB106" s="105">
        <v>845.65887226479003</v>
      </c>
      <c r="AC106" s="105">
        <v>845.65887226479003</v>
      </c>
      <c r="AD106" s="105">
        <v>845.65887226479003</v>
      </c>
      <c r="AE106" s="105">
        <v>845.65887226479003</v>
      </c>
      <c r="AF106" s="105">
        <v>883.14699016000009</v>
      </c>
      <c r="AG106" s="105">
        <v>883.14699016000009</v>
      </c>
      <c r="AH106" s="105">
        <v>883.14699015999997</v>
      </c>
      <c r="AI106" s="105">
        <v>883.14699016000009</v>
      </c>
      <c r="AJ106" s="105">
        <v>883.14699016000009</v>
      </c>
      <c r="AK106" s="105">
        <v>883.14699015999997</v>
      </c>
      <c r="AL106" s="105">
        <v>883.14699016000009</v>
      </c>
      <c r="AM106" s="105">
        <v>661.28399016000003</v>
      </c>
      <c r="AN106" s="105">
        <v>883.15086999999994</v>
      </c>
      <c r="AO106" s="105">
        <v>883.15086999999994</v>
      </c>
      <c r="AP106" s="105">
        <v>883.15086999999994</v>
      </c>
      <c r="AQ106" s="105">
        <v>883.15086999999994</v>
      </c>
      <c r="AR106" s="105">
        <v>883.15086999999994</v>
      </c>
      <c r="AS106" s="105">
        <v>374.94847000000004</v>
      </c>
      <c r="AT106" s="105">
        <v>883.15086999999994</v>
      </c>
      <c r="AU106" s="105">
        <v>883.15086999999994</v>
      </c>
      <c r="AV106" s="105">
        <v>842.70867717036094</v>
      </c>
      <c r="AW106" s="105">
        <v>843.00788403963884</v>
      </c>
      <c r="AX106" s="105">
        <v>862.81354734400009</v>
      </c>
      <c r="AY106" s="105">
        <v>374.94847000000004</v>
      </c>
    </row>
    <row r="107" spans="1:52">
      <c r="A107" s="108"/>
      <c r="B107" s="129">
        <v>8</v>
      </c>
      <c r="C107" s="105"/>
      <c r="D107" s="105">
        <v>0</v>
      </c>
      <c r="E107" s="105">
        <v>0</v>
      </c>
      <c r="F107" s="105">
        <v>0</v>
      </c>
      <c r="G107" s="105">
        <v>0</v>
      </c>
      <c r="H107" s="105">
        <v>0</v>
      </c>
      <c r="I107" s="105">
        <v>0</v>
      </c>
      <c r="J107" s="105">
        <v>0</v>
      </c>
      <c r="K107" s="105">
        <v>0</v>
      </c>
      <c r="L107" s="105">
        <v>0</v>
      </c>
      <c r="M107" s="105">
        <v>0</v>
      </c>
      <c r="N107" s="105">
        <v>0</v>
      </c>
      <c r="O107" s="105">
        <v>0</v>
      </c>
      <c r="P107" s="105">
        <v>0</v>
      </c>
      <c r="Q107" s="105">
        <v>458.69981158723033</v>
      </c>
      <c r="R107" s="105">
        <v>645.97578261038996</v>
      </c>
      <c r="S107" s="105">
        <v>867.83878261039001</v>
      </c>
      <c r="T107" s="105">
        <v>867.83878261039001</v>
      </c>
      <c r="U107" s="105">
        <v>842.52924505631881</v>
      </c>
      <c r="V107" s="105">
        <v>883.14699016000009</v>
      </c>
      <c r="W107" s="105">
        <v>883.14699016000009</v>
      </c>
      <c r="X107" s="105">
        <v>883.14699016000009</v>
      </c>
      <c r="Y107" s="105">
        <v>845.65887226479003</v>
      </c>
      <c r="Z107" s="105">
        <v>845.65887226479003</v>
      </c>
      <c r="AA107" s="105">
        <v>645.97578261039007</v>
      </c>
      <c r="AB107" s="105">
        <v>867.8387826103899</v>
      </c>
      <c r="AC107" s="105">
        <v>845.65887226479003</v>
      </c>
      <c r="AD107" s="105">
        <v>845.65887226479003</v>
      </c>
      <c r="AE107" s="105">
        <v>845.65887226479003</v>
      </c>
      <c r="AF107" s="105">
        <v>845.65887226479003</v>
      </c>
      <c r="AG107" s="105">
        <v>883.14699016000009</v>
      </c>
      <c r="AH107" s="105">
        <v>883.14699016000009</v>
      </c>
      <c r="AI107" s="105">
        <v>883.14699015999997</v>
      </c>
      <c r="AJ107" s="105">
        <v>883.14699016000009</v>
      </c>
      <c r="AK107" s="105">
        <v>883.14699016000009</v>
      </c>
      <c r="AL107" s="105">
        <v>883.14699015999997</v>
      </c>
      <c r="AM107" s="105">
        <v>883.14699016000009</v>
      </c>
      <c r="AN107" s="105">
        <v>661.28399016000003</v>
      </c>
      <c r="AO107" s="105">
        <v>883.15086999999994</v>
      </c>
      <c r="AP107" s="105">
        <v>883.15086999999994</v>
      </c>
      <c r="AQ107" s="105">
        <v>883.15086999999994</v>
      </c>
      <c r="AR107" s="105">
        <v>883.15086999999994</v>
      </c>
      <c r="AS107" s="105">
        <v>883.15086999999994</v>
      </c>
      <c r="AT107" s="105">
        <v>374.94847000000004</v>
      </c>
      <c r="AU107" s="105">
        <v>883.15086999999994</v>
      </c>
      <c r="AV107" s="105">
        <v>883.15086999999994</v>
      </c>
      <c r="AW107" s="105">
        <v>842.70867717036094</v>
      </c>
      <c r="AX107" s="105">
        <v>843.00788403963884</v>
      </c>
      <c r="AY107" s="105">
        <v>862.81354734400009</v>
      </c>
    </row>
    <row r="108" spans="1:52">
      <c r="A108" s="127"/>
      <c r="B108" s="131" t="s">
        <v>295</v>
      </c>
      <c r="C108" s="113"/>
      <c r="D108" s="124">
        <v>0</v>
      </c>
      <c r="E108" s="124">
        <v>0</v>
      </c>
      <c r="F108" s="124">
        <v>0</v>
      </c>
      <c r="G108" s="124">
        <v>0</v>
      </c>
      <c r="H108" s="124">
        <v>0</v>
      </c>
      <c r="I108" s="124">
        <v>0</v>
      </c>
      <c r="J108" s="124">
        <v>0</v>
      </c>
      <c r="K108" s="124">
        <v>0</v>
      </c>
      <c r="L108" s="124">
        <v>0</v>
      </c>
      <c r="M108" s="124">
        <v>0</v>
      </c>
      <c r="N108" s="124">
        <v>0</v>
      </c>
      <c r="O108" s="124">
        <v>0</v>
      </c>
      <c r="P108" s="124">
        <v>0</v>
      </c>
      <c r="Q108" s="124">
        <v>0</v>
      </c>
      <c r="R108" s="124">
        <v>116.69981158723033</v>
      </c>
      <c r="S108" s="124">
        <v>285.97578261038996</v>
      </c>
      <c r="T108" s="124">
        <v>557.83878261039001</v>
      </c>
      <c r="U108" s="124">
        <v>525.83878261039001</v>
      </c>
      <c r="V108" s="124">
        <v>450.52924505631881</v>
      </c>
      <c r="W108" s="124">
        <v>547.14699016000009</v>
      </c>
      <c r="X108" s="124">
        <v>538.14699016000009</v>
      </c>
      <c r="Y108" s="124">
        <v>519.14699016000009</v>
      </c>
      <c r="Z108" s="124">
        <v>494.65887226479003</v>
      </c>
      <c r="AA108" s="124">
        <v>513.65887226479003</v>
      </c>
      <c r="AB108" s="124">
        <v>294.97578261039007</v>
      </c>
      <c r="AC108" s="124">
        <v>539.8387826103899</v>
      </c>
      <c r="AD108" s="124">
        <v>555.65887226479003</v>
      </c>
      <c r="AE108" s="124">
        <v>440.65887226479003</v>
      </c>
      <c r="AF108" s="124">
        <v>535.65887226479003</v>
      </c>
      <c r="AG108" s="124">
        <v>457.65887226479003</v>
      </c>
      <c r="AH108" s="124">
        <v>551.14699016000009</v>
      </c>
      <c r="AI108" s="124">
        <v>559.14699016000009</v>
      </c>
      <c r="AJ108" s="124">
        <v>496.14699015999997</v>
      </c>
      <c r="AK108" s="124">
        <v>473.14699016000009</v>
      </c>
      <c r="AL108" s="124">
        <v>540.14699016000009</v>
      </c>
      <c r="AM108" s="124">
        <v>496.14699015999997</v>
      </c>
      <c r="AN108" s="124">
        <v>503.14699016000009</v>
      </c>
      <c r="AO108" s="124">
        <v>323.28399016000003</v>
      </c>
      <c r="AP108" s="124">
        <v>477.15086999999994</v>
      </c>
      <c r="AQ108" s="124">
        <v>586.15086999999994</v>
      </c>
      <c r="AR108" s="124">
        <v>502.15086999999994</v>
      </c>
      <c r="AS108" s="124">
        <v>489.15086999999994</v>
      </c>
      <c r="AT108" s="124">
        <v>582.15086999999994</v>
      </c>
      <c r="AU108" s="124">
        <v>29.948470000000043</v>
      </c>
      <c r="AV108" s="124">
        <v>547.15086999999994</v>
      </c>
      <c r="AW108" s="124">
        <v>473.15086999999994</v>
      </c>
      <c r="AX108" s="124">
        <v>456.70867717036094</v>
      </c>
      <c r="AY108" s="124">
        <v>536.00788403963884</v>
      </c>
      <c r="AZ108" s="106">
        <f>SUM($D108:$AY108)</f>
        <v>15996.125216254235</v>
      </c>
    </row>
    <row r="109" spans="1:52">
      <c r="A109" s="130" t="s">
        <v>134</v>
      </c>
      <c r="B109" s="118">
        <v>1</v>
      </c>
      <c r="C109" s="105"/>
      <c r="D109" s="105">
        <v>0</v>
      </c>
      <c r="E109" s="105">
        <v>0</v>
      </c>
      <c r="F109" s="105">
        <v>0</v>
      </c>
      <c r="G109" s="105">
        <v>268.88974950177413</v>
      </c>
      <c r="H109" s="105">
        <v>607.66825538703438</v>
      </c>
      <c r="I109" s="105">
        <v>1468.514923295493</v>
      </c>
      <c r="J109" s="105">
        <v>1097.9738957400302</v>
      </c>
      <c r="K109" s="105">
        <v>876.87725394342294</v>
      </c>
      <c r="L109" s="105">
        <v>391.35171135854398</v>
      </c>
      <c r="M109" s="105">
        <v>1169.9552660101597</v>
      </c>
      <c r="N109" s="105">
        <v>691.91542106545648</v>
      </c>
      <c r="O109" s="105">
        <v>1356.4952940562375</v>
      </c>
      <c r="P109" s="105">
        <v>1079.133532996075</v>
      </c>
      <c r="Q109" s="105">
        <v>602.19194484823004</v>
      </c>
      <c r="R109" s="105">
        <v>676.14029871810851</v>
      </c>
      <c r="S109" s="105">
        <v>1506.2182150706408</v>
      </c>
      <c r="T109" s="105">
        <v>1106.2753937149371</v>
      </c>
      <c r="U109" s="105">
        <v>675.73785049536377</v>
      </c>
      <c r="V109" s="105">
        <v>907.07254497630129</v>
      </c>
      <c r="W109" s="105">
        <v>661.41300208533755</v>
      </c>
      <c r="X109" s="105">
        <v>1295.4000465624713</v>
      </c>
      <c r="Y109" s="105">
        <v>498.47093128637414</v>
      </c>
      <c r="Z109" s="105">
        <v>957.66217970461469</v>
      </c>
      <c r="AA109" s="105">
        <v>1400.2070881160771</v>
      </c>
      <c r="AB109" s="105">
        <v>616.21370509745475</v>
      </c>
      <c r="AC109" s="105">
        <v>834.39969859481346</v>
      </c>
      <c r="AD109" s="105">
        <v>891.10708092335938</v>
      </c>
      <c r="AE109" s="105">
        <v>882.81630185179642</v>
      </c>
      <c r="AF109" s="105">
        <v>1186.1301468999607</v>
      </c>
      <c r="AG109" s="105">
        <v>1098.2006578923306</v>
      </c>
      <c r="AH109" s="105">
        <v>774.77160937725023</v>
      </c>
      <c r="AI109" s="105">
        <v>931.80893483228806</v>
      </c>
      <c r="AJ109" s="105">
        <v>977.18788857940433</v>
      </c>
      <c r="AK109" s="105">
        <v>1461.1616615037831</v>
      </c>
      <c r="AL109" s="105">
        <v>1105.1686979672977</v>
      </c>
      <c r="AM109" s="105">
        <v>471.24256581576822</v>
      </c>
      <c r="AN109" s="105">
        <v>938.53815322221556</v>
      </c>
      <c r="AO109" s="105">
        <v>834.60563714330715</v>
      </c>
      <c r="AP109" s="105">
        <v>1102.8417705306008</v>
      </c>
      <c r="AQ109" s="105">
        <v>625.84739754266718</v>
      </c>
      <c r="AR109" s="105">
        <v>637.80806206468776</v>
      </c>
      <c r="AS109" s="105">
        <v>928.65423951597711</v>
      </c>
      <c r="AT109" s="105">
        <v>874.06783339686865</v>
      </c>
      <c r="AU109" s="105">
        <v>626.76163559698682</v>
      </c>
      <c r="AV109" s="105">
        <v>287.11341435182112</v>
      </c>
      <c r="AW109" s="105">
        <v>417.91822421697412</v>
      </c>
      <c r="AX109" s="105">
        <v>783.56612521901229</v>
      </c>
      <c r="AY109" s="105">
        <v>1257.9076455099996</v>
      </c>
    </row>
    <row r="110" spans="1:52">
      <c r="A110" s="108"/>
      <c r="B110" s="118">
        <v>2</v>
      </c>
      <c r="C110" s="105"/>
      <c r="D110" s="105">
        <v>0</v>
      </c>
      <c r="E110" s="105">
        <v>0</v>
      </c>
      <c r="F110" s="105">
        <v>0</v>
      </c>
      <c r="G110" s="105">
        <v>0</v>
      </c>
      <c r="H110" s="105">
        <v>51.889749501774133</v>
      </c>
      <c r="I110" s="105">
        <v>458.55800488880851</v>
      </c>
      <c r="J110" s="105">
        <v>1468.514923295493</v>
      </c>
      <c r="K110" s="105">
        <v>1097.9738957400302</v>
      </c>
      <c r="L110" s="105">
        <v>876.87725394342294</v>
      </c>
      <c r="M110" s="105">
        <v>391.35171135854398</v>
      </c>
      <c r="N110" s="105">
        <v>1169.9552660101597</v>
      </c>
      <c r="O110" s="105">
        <v>691.91542106545648</v>
      </c>
      <c r="P110" s="105">
        <v>1356.4952940562375</v>
      </c>
      <c r="Q110" s="105">
        <v>1079.133532996075</v>
      </c>
      <c r="R110" s="105">
        <v>602.19194484823004</v>
      </c>
      <c r="S110" s="105">
        <v>676.14029871810851</v>
      </c>
      <c r="T110" s="105">
        <v>1506.2182150706408</v>
      </c>
      <c r="U110" s="105">
        <v>1106.2753937149371</v>
      </c>
      <c r="V110" s="105">
        <v>675.73785049536377</v>
      </c>
      <c r="W110" s="105">
        <v>907.07254497630129</v>
      </c>
      <c r="X110" s="105">
        <v>661.41300208533755</v>
      </c>
      <c r="Y110" s="105">
        <v>1295.4000465624713</v>
      </c>
      <c r="Z110" s="105">
        <v>498.47093128637414</v>
      </c>
      <c r="AA110" s="105">
        <v>957.66217970461469</v>
      </c>
      <c r="AB110" s="105">
        <v>1400.2070881160771</v>
      </c>
      <c r="AC110" s="105">
        <v>616.21370509745475</v>
      </c>
      <c r="AD110" s="105">
        <v>834.39969859481346</v>
      </c>
      <c r="AE110" s="105">
        <v>891.10708092335938</v>
      </c>
      <c r="AF110" s="105">
        <v>882.81630185179642</v>
      </c>
      <c r="AG110" s="105">
        <v>1186.1301468999607</v>
      </c>
      <c r="AH110" s="105">
        <v>1098.2006578923306</v>
      </c>
      <c r="AI110" s="105">
        <v>774.77160937725023</v>
      </c>
      <c r="AJ110" s="105">
        <v>931.80893483228806</v>
      </c>
      <c r="AK110" s="105">
        <v>977.18788857940433</v>
      </c>
      <c r="AL110" s="105">
        <v>1461.1616615037831</v>
      </c>
      <c r="AM110" s="105">
        <v>1105.1686979672977</v>
      </c>
      <c r="AN110" s="105">
        <v>471.24256581576822</v>
      </c>
      <c r="AO110" s="105">
        <v>938.53815322221556</v>
      </c>
      <c r="AP110" s="105">
        <v>834.60563714330715</v>
      </c>
      <c r="AQ110" s="105">
        <v>1102.8417705306008</v>
      </c>
      <c r="AR110" s="105">
        <v>625.84739754266718</v>
      </c>
      <c r="AS110" s="105">
        <v>637.80806206468776</v>
      </c>
      <c r="AT110" s="105">
        <v>928.65423951597711</v>
      </c>
      <c r="AU110" s="105">
        <v>874.06783339686865</v>
      </c>
      <c r="AV110" s="105">
        <v>626.76163559698682</v>
      </c>
      <c r="AW110" s="105">
        <v>287.11341435182112</v>
      </c>
      <c r="AX110" s="105">
        <v>417.91822421697412</v>
      </c>
      <c r="AY110" s="105">
        <v>783.56612521901229</v>
      </c>
    </row>
    <row r="111" spans="1:52">
      <c r="A111" s="108"/>
      <c r="B111" s="118">
        <v>3</v>
      </c>
      <c r="C111" s="105"/>
      <c r="D111" s="105">
        <v>0</v>
      </c>
      <c r="E111" s="105">
        <v>0</v>
      </c>
      <c r="F111" s="105">
        <v>0</v>
      </c>
      <c r="G111" s="105">
        <v>0</v>
      </c>
      <c r="H111" s="105">
        <v>0</v>
      </c>
      <c r="I111" s="105">
        <v>0</v>
      </c>
      <c r="J111" s="105">
        <v>217.55800488880851</v>
      </c>
      <c r="K111" s="105">
        <v>1460.0729281843014</v>
      </c>
      <c r="L111" s="105">
        <v>1097.9738957400302</v>
      </c>
      <c r="M111" s="105">
        <v>876.87725394342294</v>
      </c>
      <c r="N111" s="105">
        <v>391.35171135854398</v>
      </c>
      <c r="O111" s="105">
        <v>1169.9552660101597</v>
      </c>
      <c r="P111" s="105">
        <v>691.91542106545648</v>
      </c>
      <c r="Q111" s="105">
        <v>1356.4952940562375</v>
      </c>
      <c r="R111" s="105">
        <v>1079.133532996075</v>
      </c>
      <c r="S111" s="105">
        <v>602.19194484823004</v>
      </c>
      <c r="T111" s="105">
        <v>676.14029871810851</v>
      </c>
      <c r="U111" s="105">
        <v>1506.2182150706408</v>
      </c>
      <c r="V111" s="105">
        <v>1106.2753937149371</v>
      </c>
      <c r="W111" s="105">
        <v>675.73785049536377</v>
      </c>
      <c r="X111" s="105">
        <v>907.07254497630129</v>
      </c>
      <c r="Y111" s="105">
        <v>661.41300208533755</v>
      </c>
      <c r="Z111" s="105">
        <v>1295.4000465624713</v>
      </c>
      <c r="AA111" s="105">
        <v>498.47093128637414</v>
      </c>
      <c r="AB111" s="105">
        <v>957.66217970461469</v>
      </c>
      <c r="AC111" s="105">
        <v>1400.2070881160771</v>
      </c>
      <c r="AD111" s="105">
        <v>616.21370509745475</v>
      </c>
      <c r="AE111" s="105">
        <v>834.39969859481346</v>
      </c>
      <c r="AF111" s="105">
        <v>891.10708092335938</v>
      </c>
      <c r="AG111" s="105">
        <v>882.81630185179642</v>
      </c>
      <c r="AH111" s="105">
        <v>1186.1301468999607</v>
      </c>
      <c r="AI111" s="105">
        <v>1098.2006578923306</v>
      </c>
      <c r="AJ111" s="105">
        <v>774.77160937725023</v>
      </c>
      <c r="AK111" s="105">
        <v>931.80893483228806</v>
      </c>
      <c r="AL111" s="105">
        <v>977.18788857940433</v>
      </c>
      <c r="AM111" s="105">
        <v>1461.1616615037831</v>
      </c>
      <c r="AN111" s="105">
        <v>1105.1686979672977</v>
      </c>
      <c r="AO111" s="105">
        <v>471.24256581576822</v>
      </c>
      <c r="AP111" s="105">
        <v>938.53815322221556</v>
      </c>
      <c r="AQ111" s="105">
        <v>834.60563714330715</v>
      </c>
      <c r="AR111" s="105">
        <v>1102.8417705306008</v>
      </c>
      <c r="AS111" s="105">
        <v>625.84739754266718</v>
      </c>
      <c r="AT111" s="105">
        <v>637.80806206468776</v>
      </c>
      <c r="AU111" s="105">
        <v>928.65423951597711</v>
      </c>
      <c r="AV111" s="105">
        <v>874.06783339686865</v>
      </c>
      <c r="AW111" s="105">
        <v>626.76163559698682</v>
      </c>
      <c r="AX111" s="105">
        <v>287.11341435182112</v>
      </c>
      <c r="AY111" s="105">
        <v>417.91822421697412</v>
      </c>
    </row>
    <row r="112" spans="1:52">
      <c r="A112" s="108"/>
      <c r="B112" s="119">
        <v>4</v>
      </c>
      <c r="C112" s="105"/>
      <c r="D112" s="105">
        <v>0</v>
      </c>
      <c r="E112" s="105">
        <v>0</v>
      </c>
      <c r="F112" s="105">
        <v>0</v>
      </c>
      <c r="G112" s="105">
        <v>0</v>
      </c>
      <c r="H112" s="105">
        <v>0</v>
      </c>
      <c r="I112" s="105">
        <v>0</v>
      </c>
      <c r="J112" s="105">
        <v>0</v>
      </c>
      <c r="K112" s="105">
        <v>0</v>
      </c>
      <c r="L112" s="105">
        <v>1261.0729281843014</v>
      </c>
      <c r="M112" s="105">
        <v>1097.9738957400302</v>
      </c>
      <c r="N112" s="105">
        <v>876.87725394342294</v>
      </c>
      <c r="O112" s="105">
        <v>391.35171135854398</v>
      </c>
      <c r="P112" s="105">
        <v>1169.9552660101597</v>
      </c>
      <c r="Q112" s="105">
        <v>691.91542106545648</v>
      </c>
      <c r="R112" s="105">
        <v>1356.4952940562375</v>
      </c>
      <c r="S112" s="105">
        <v>1079.133532996075</v>
      </c>
      <c r="T112" s="105">
        <v>602.19194484823004</v>
      </c>
      <c r="U112" s="105">
        <v>676.14029871810851</v>
      </c>
      <c r="V112" s="105">
        <v>1506.2182150706408</v>
      </c>
      <c r="W112" s="105">
        <v>1106.2753937149371</v>
      </c>
      <c r="X112" s="105">
        <v>675.73785049536377</v>
      </c>
      <c r="Y112" s="105">
        <v>907.07254497630129</v>
      </c>
      <c r="Z112" s="105">
        <v>661.41300208533755</v>
      </c>
      <c r="AA112" s="105">
        <v>1295.4000465624713</v>
      </c>
      <c r="AB112" s="105">
        <v>498.47093128637414</v>
      </c>
      <c r="AC112" s="105">
        <v>957.66217970461469</v>
      </c>
      <c r="AD112" s="105">
        <v>1400.2070881160771</v>
      </c>
      <c r="AE112" s="105">
        <v>616.21370509745475</v>
      </c>
      <c r="AF112" s="105">
        <v>834.39969859481346</v>
      </c>
      <c r="AG112" s="105">
        <v>891.10708092335938</v>
      </c>
      <c r="AH112" s="105">
        <v>882.81630185179642</v>
      </c>
      <c r="AI112" s="105">
        <v>1186.1301468999607</v>
      </c>
      <c r="AJ112" s="105">
        <v>1098.2006578923306</v>
      </c>
      <c r="AK112" s="105">
        <v>774.77160937725023</v>
      </c>
      <c r="AL112" s="105">
        <v>931.80893483228806</v>
      </c>
      <c r="AM112" s="105">
        <v>977.18788857940433</v>
      </c>
      <c r="AN112" s="105">
        <v>1461.1616615037831</v>
      </c>
      <c r="AO112" s="105">
        <v>1105.1686979672977</v>
      </c>
      <c r="AP112" s="105">
        <v>471.24256581576822</v>
      </c>
      <c r="AQ112" s="105">
        <v>938.53815322221556</v>
      </c>
      <c r="AR112" s="105">
        <v>834.60563714330715</v>
      </c>
      <c r="AS112" s="105">
        <v>1102.8417705306008</v>
      </c>
      <c r="AT112" s="105">
        <v>625.84739754266718</v>
      </c>
      <c r="AU112" s="105">
        <v>637.80806206468776</v>
      </c>
      <c r="AV112" s="105">
        <v>928.65423951597711</v>
      </c>
      <c r="AW112" s="105">
        <v>874.06783339686865</v>
      </c>
      <c r="AX112" s="105">
        <v>626.76163559698682</v>
      </c>
      <c r="AY112" s="105">
        <v>287.11341435182112</v>
      </c>
    </row>
    <row r="113" spans="1:52">
      <c r="A113" s="108"/>
      <c r="B113" s="119">
        <v>5</v>
      </c>
      <c r="C113" s="105"/>
      <c r="D113" s="105">
        <v>0</v>
      </c>
      <c r="E113" s="105">
        <v>0</v>
      </c>
      <c r="F113" s="105">
        <v>0</v>
      </c>
      <c r="G113" s="105">
        <v>0</v>
      </c>
      <c r="H113" s="105">
        <v>0</v>
      </c>
      <c r="I113" s="105">
        <v>0</v>
      </c>
      <c r="J113" s="105">
        <v>0</v>
      </c>
      <c r="K113" s="105">
        <v>0</v>
      </c>
      <c r="L113" s="105">
        <v>0</v>
      </c>
      <c r="M113" s="105">
        <v>1023.0729281843014</v>
      </c>
      <c r="N113" s="105">
        <v>1097.9738957400302</v>
      </c>
      <c r="O113" s="105">
        <v>876.87725394342294</v>
      </c>
      <c r="P113" s="105">
        <v>391.35171135854398</v>
      </c>
      <c r="Q113" s="105">
        <v>1169.9552660101597</v>
      </c>
      <c r="R113" s="105">
        <v>691.91542106545648</v>
      </c>
      <c r="S113" s="105">
        <v>1356.4952940562375</v>
      </c>
      <c r="T113" s="105">
        <v>1079.133532996075</v>
      </c>
      <c r="U113" s="105">
        <v>602.19194484823004</v>
      </c>
      <c r="V113" s="105">
        <v>676.14029871810851</v>
      </c>
      <c r="W113" s="105">
        <v>1506.2182150706408</v>
      </c>
      <c r="X113" s="105">
        <v>1106.2753937149371</v>
      </c>
      <c r="Y113" s="105">
        <v>675.73785049536377</v>
      </c>
      <c r="Z113" s="105">
        <v>907.07254497630129</v>
      </c>
      <c r="AA113" s="105">
        <v>661.41300208533755</v>
      </c>
      <c r="AB113" s="105">
        <v>1295.4000465624713</v>
      </c>
      <c r="AC113" s="105">
        <v>498.47093128637414</v>
      </c>
      <c r="AD113" s="105">
        <v>957.66217970461469</v>
      </c>
      <c r="AE113" s="105">
        <v>1400.2070881160771</v>
      </c>
      <c r="AF113" s="105">
        <v>616.21370509745475</v>
      </c>
      <c r="AG113" s="105">
        <v>834.39969859481346</v>
      </c>
      <c r="AH113" s="105">
        <v>891.10708092335938</v>
      </c>
      <c r="AI113" s="105">
        <v>882.81630185179642</v>
      </c>
      <c r="AJ113" s="105">
        <v>1186.1301468999607</v>
      </c>
      <c r="AK113" s="105">
        <v>1098.2006578923306</v>
      </c>
      <c r="AL113" s="105">
        <v>774.77160937725023</v>
      </c>
      <c r="AM113" s="105">
        <v>931.80893483228806</v>
      </c>
      <c r="AN113" s="105">
        <v>977.18788857940433</v>
      </c>
      <c r="AO113" s="105">
        <v>1461.1616615037831</v>
      </c>
      <c r="AP113" s="105">
        <v>1105.1686979672977</v>
      </c>
      <c r="AQ113" s="105">
        <v>471.24256581576822</v>
      </c>
      <c r="AR113" s="105">
        <v>938.53815322221556</v>
      </c>
      <c r="AS113" s="105">
        <v>834.60563714330715</v>
      </c>
      <c r="AT113" s="105">
        <v>1102.8417705306008</v>
      </c>
      <c r="AU113" s="105">
        <v>625.84739754266718</v>
      </c>
      <c r="AV113" s="105">
        <v>637.80806206468776</v>
      </c>
      <c r="AW113" s="105">
        <v>928.65423951597711</v>
      </c>
      <c r="AX113" s="105">
        <v>874.06783339686865</v>
      </c>
      <c r="AY113" s="105">
        <v>626.76163559698682</v>
      </c>
    </row>
    <row r="114" spans="1:52">
      <c r="A114" s="108"/>
      <c r="B114" s="119">
        <v>6</v>
      </c>
      <c r="C114" s="105"/>
      <c r="D114" s="105">
        <v>0</v>
      </c>
      <c r="E114" s="105">
        <v>0</v>
      </c>
      <c r="F114" s="105">
        <v>0</v>
      </c>
      <c r="G114" s="105">
        <v>0</v>
      </c>
      <c r="H114" s="105">
        <v>0</v>
      </c>
      <c r="I114" s="105">
        <v>0</v>
      </c>
      <c r="J114" s="105">
        <v>0</v>
      </c>
      <c r="K114" s="105">
        <v>0</v>
      </c>
      <c r="L114" s="105">
        <v>0</v>
      </c>
      <c r="M114" s="105">
        <v>0</v>
      </c>
      <c r="N114" s="105">
        <v>837.07292818430142</v>
      </c>
      <c r="O114" s="105">
        <v>1097.9738957400302</v>
      </c>
      <c r="P114" s="105">
        <v>876.87725394342294</v>
      </c>
      <c r="Q114" s="105">
        <v>391.35171135854398</v>
      </c>
      <c r="R114" s="105">
        <v>1169.9552660101597</v>
      </c>
      <c r="S114" s="105">
        <v>691.91542106545648</v>
      </c>
      <c r="T114" s="105">
        <v>1356.4952940562375</v>
      </c>
      <c r="U114" s="105">
        <v>1079.133532996075</v>
      </c>
      <c r="V114" s="105">
        <v>602.19194484823004</v>
      </c>
      <c r="W114" s="105">
        <v>676.14029871810851</v>
      </c>
      <c r="X114" s="105">
        <v>1506.2182150706408</v>
      </c>
      <c r="Y114" s="105">
        <v>1106.2753937149371</v>
      </c>
      <c r="Z114" s="105">
        <v>675.73785049536377</v>
      </c>
      <c r="AA114" s="105">
        <v>907.07254497630129</v>
      </c>
      <c r="AB114" s="105">
        <v>661.41300208533755</v>
      </c>
      <c r="AC114" s="105">
        <v>1295.4000465624713</v>
      </c>
      <c r="AD114" s="105">
        <v>498.47093128637414</v>
      </c>
      <c r="AE114" s="105">
        <v>957.66217970461469</v>
      </c>
      <c r="AF114" s="105">
        <v>1400.2070881160771</v>
      </c>
      <c r="AG114" s="105">
        <v>616.21370509745475</v>
      </c>
      <c r="AH114" s="105">
        <v>834.39969859481346</v>
      </c>
      <c r="AI114" s="105">
        <v>891.10708092335938</v>
      </c>
      <c r="AJ114" s="105">
        <v>882.81630185179642</v>
      </c>
      <c r="AK114" s="105">
        <v>1186.1301468999607</v>
      </c>
      <c r="AL114" s="105">
        <v>1098.2006578923306</v>
      </c>
      <c r="AM114" s="105">
        <v>774.77160937725023</v>
      </c>
      <c r="AN114" s="105">
        <v>931.80893483228806</v>
      </c>
      <c r="AO114" s="105">
        <v>977.18788857940433</v>
      </c>
      <c r="AP114" s="105">
        <v>1461.1616615037831</v>
      </c>
      <c r="AQ114" s="105">
        <v>1105.1686979672977</v>
      </c>
      <c r="AR114" s="105">
        <v>471.24256581576822</v>
      </c>
      <c r="AS114" s="105">
        <v>938.53815322221556</v>
      </c>
      <c r="AT114" s="105">
        <v>834.60563714330715</v>
      </c>
      <c r="AU114" s="105">
        <v>1102.8417705306008</v>
      </c>
      <c r="AV114" s="105">
        <v>625.84739754266718</v>
      </c>
      <c r="AW114" s="105">
        <v>637.80806206468776</v>
      </c>
      <c r="AX114" s="105">
        <v>928.65423951597711</v>
      </c>
      <c r="AY114" s="105">
        <v>874.06783339686865</v>
      </c>
    </row>
    <row r="115" spans="1:52">
      <c r="A115" s="108"/>
      <c r="B115" s="126">
        <v>7</v>
      </c>
      <c r="C115" s="105"/>
      <c r="D115" s="105">
        <v>0</v>
      </c>
      <c r="E115" s="105">
        <v>0</v>
      </c>
      <c r="F115" s="105">
        <v>0</v>
      </c>
      <c r="G115" s="105">
        <v>0</v>
      </c>
      <c r="H115" s="105">
        <v>0</v>
      </c>
      <c r="I115" s="105">
        <v>0</v>
      </c>
      <c r="J115" s="105">
        <v>0</v>
      </c>
      <c r="K115" s="105">
        <v>0</v>
      </c>
      <c r="L115" s="105">
        <v>0</v>
      </c>
      <c r="M115" s="105">
        <v>0</v>
      </c>
      <c r="N115" s="105">
        <v>0</v>
      </c>
      <c r="O115" s="105">
        <v>638.07292818430142</v>
      </c>
      <c r="P115" s="105">
        <v>1097.9738957400302</v>
      </c>
      <c r="Q115" s="105">
        <v>876.87725394342294</v>
      </c>
      <c r="R115" s="105">
        <v>391.35171135854398</v>
      </c>
      <c r="S115" s="105">
        <v>1169.9552660101597</v>
      </c>
      <c r="T115" s="105">
        <v>691.91542106545648</v>
      </c>
      <c r="U115" s="105">
        <v>1356.4952940562375</v>
      </c>
      <c r="V115" s="105">
        <v>1079.133532996075</v>
      </c>
      <c r="W115" s="105">
        <v>602.19194484823004</v>
      </c>
      <c r="X115" s="105">
        <v>676.14029871810851</v>
      </c>
      <c r="Y115" s="105">
        <v>1506.2182150706408</v>
      </c>
      <c r="Z115" s="105">
        <v>1106.2753937149371</v>
      </c>
      <c r="AA115" s="105">
        <v>675.73785049536377</v>
      </c>
      <c r="AB115" s="105">
        <v>907.07254497630129</v>
      </c>
      <c r="AC115" s="105">
        <v>661.41300208533755</v>
      </c>
      <c r="AD115" s="105">
        <v>1295.4000465624713</v>
      </c>
      <c r="AE115" s="105">
        <v>498.47093128637414</v>
      </c>
      <c r="AF115" s="105">
        <v>957.66217970461469</v>
      </c>
      <c r="AG115" s="105">
        <v>1400.2070881160771</v>
      </c>
      <c r="AH115" s="105">
        <v>616.21370509745475</v>
      </c>
      <c r="AI115" s="105">
        <v>834.39969859481346</v>
      </c>
      <c r="AJ115" s="105">
        <v>891.10708092335938</v>
      </c>
      <c r="AK115" s="105">
        <v>882.81630185179642</v>
      </c>
      <c r="AL115" s="105">
        <v>1186.1301468999607</v>
      </c>
      <c r="AM115" s="105">
        <v>1098.2006578923306</v>
      </c>
      <c r="AN115" s="105">
        <v>774.77160937725023</v>
      </c>
      <c r="AO115" s="105">
        <v>931.80893483228806</v>
      </c>
      <c r="AP115" s="105">
        <v>977.18788857940433</v>
      </c>
      <c r="AQ115" s="105">
        <v>1461.1616615037831</v>
      </c>
      <c r="AR115" s="105">
        <v>1105.1686979672977</v>
      </c>
      <c r="AS115" s="105">
        <v>471.24256581576822</v>
      </c>
      <c r="AT115" s="105">
        <v>938.53815322221556</v>
      </c>
      <c r="AU115" s="105">
        <v>834.60563714330715</v>
      </c>
      <c r="AV115" s="105">
        <v>1102.8417705306008</v>
      </c>
      <c r="AW115" s="105">
        <v>625.84739754266718</v>
      </c>
      <c r="AX115" s="105">
        <v>637.80806206468776</v>
      </c>
      <c r="AY115" s="105">
        <v>928.65423951597711</v>
      </c>
    </row>
    <row r="116" spans="1:52">
      <c r="A116" s="108"/>
      <c r="B116" s="126">
        <v>8</v>
      </c>
      <c r="C116" s="105"/>
      <c r="D116" s="105">
        <v>0</v>
      </c>
      <c r="E116" s="105">
        <v>0</v>
      </c>
      <c r="F116" s="105">
        <v>0</v>
      </c>
      <c r="G116" s="105">
        <v>0</v>
      </c>
      <c r="H116" s="105">
        <v>0</v>
      </c>
      <c r="I116" s="105">
        <v>0</v>
      </c>
      <c r="J116" s="105">
        <v>0</v>
      </c>
      <c r="K116" s="105">
        <v>0</v>
      </c>
      <c r="L116" s="105">
        <v>0</v>
      </c>
      <c r="M116" s="105">
        <v>0</v>
      </c>
      <c r="N116" s="105">
        <v>0</v>
      </c>
      <c r="O116" s="105">
        <v>0</v>
      </c>
      <c r="P116" s="105">
        <v>406.07292818430142</v>
      </c>
      <c r="Q116" s="105">
        <v>1097.9738957400302</v>
      </c>
      <c r="R116" s="105">
        <v>876.87725394342294</v>
      </c>
      <c r="S116" s="105">
        <v>391.35171135854398</v>
      </c>
      <c r="T116" s="105">
        <v>1169.9552660101597</v>
      </c>
      <c r="U116" s="105">
        <v>691.91542106545648</v>
      </c>
      <c r="V116" s="105">
        <v>1356.4952940562375</v>
      </c>
      <c r="W116" s="105">
        <v>1079.133532996075</v>
      </c>
      <c r="X116" s="105">
        <v>602.19194484823004</v>
      </c>
      <c r="Y116" s="105">
        <v>676.14029871810851</v>
      </c>
      <c r="Z116" s="105">
        <v>1506.2182150706408</v>
      </c>
      <c r="AA116" s="105">
        <v>1106.2753937149371</v>
      </c>
      <c r="AB116" s="105">
        <v>675.73785049536377</v>
      </c>
      <c r="AC116" s="105">
        <v>907.07254497630129</v>
      </c>
      <c r="AD116" s="105">
        <v>661.41300208533755</v>
      </c>
      <c r="AE116" s="105">
        <v>1295.4000465624713</v>
      </c>
      <c r="AF116" s="105">
        <v>498.47093128637414</v>
      </c>
      <c r="AG116" s="105">
        <v>957.66217970461469</v>
      </c>
      <c r="AH116" s="105">
        <v>1400.2070881160771</v>
      </c>
      <c r="AI116" s="105">
        <v>616.21370509745475</v>
      </c>
      <c r="AJ116" s="105">
        <v>834.39969859481346</v>
      </c>
      <c r="AK116" s="105">
        <v>891.10708092335938</v>
      </c>
      <c r="AL116" s="105">
        <v>882.81630185179642</v>
      </c>
      <c r="AM116" s="105">
        <v>1186.1301468999607</v>
      </c>
      <c r="AN116" s="105">
        <v>1098.2006578923306</v>
      </c>
      <c r="AO116" s="105">
        <v>774.77160937725023</v>
      </c>
      <c r="AP116" s="105">
        <v>931.80893483228806</v>
      </c>
      <c r="AQ116" s="105">
        <v>977.18788857940433</v>
      </c>
      <c r="AR116" s="105">
        <v>1461.1616615037831</v>
      </c>
      <c r="AS116" s="105">
        <v>1105.1686979672977</v>
      </c>
      <c r="AT116" s="105">
        <v>471.24256581576822</v>
      </c>
      <c r="AU116" s="105">
        <v>938.53815322221556</v>
      </c>
      <c r="AV116" s="105">
        <v>834.60563714330715</v>
      </c>
      <c r="AW116" s="105">
        <v>1102.8417705306008</v>
      </c>
      <c r="AX116" s="105">
        <v>625.84739754266718</v>
      </c>
      <c r="AY116" s="105">
        <v>637.80806206468776</v>
      </c>
    </row>
    <row r="117" spans="1:52">
      <c r="A117" s="108"/>
      <c r="B117" s="126">
        <v>9</v>
      </c>
      <c r="C117" s="105"/>
      <c r="D117" s="105">
        <v>0</v>
      </c>
      <c r="E117" s="105">
        <v>0</v>
      </c>
      <c r="F117" s="105">
        <v>0</v>
      </c>
      <c r="G117" s="105">
        <v>0</v>
      </c>
      <c r="H117" s="105">
        <v>0</v>
      </c>
      <c r="I117" s="105">
        <v>0</v>
      </c>
      <c r="J117" s="105">
        <v>0</v>
      </c>
      <c r="K117" s="105">
        <v>0</v>
      </c>
      <c r="L117" s="105">
        <v>0</v>
      </c>
      <c r="M117" s="105">
        <v>0</v>
      </c>
      <c r="N117" s="105">
        <v>0</v>
      </c>
      <c r="O117" s="105">
        <v>0</v>
      </c>
      <c r="P117" s="105">
        <v>0</v>
      </c>
      <c r="Q117" s="105">
        <v>228.07292818430142</v>
      </c>
      <c r="R117" s="105">
        <v>1096.0468239243316</v>
      </c>
      <c r="S117" s="105">
        <v>876.87725394342294</v>
      </c>
      <c r="T117" s="105">
        <v>391.35171135854398</v>
      </c>
      <c r="U117" s="105">
        <v>1169.9552660101597</v>
      </c>
      <c r="V117" s="105">
        <v>691.91542106545648</v>
      </c>
      <c r="W117" s="105">
        <v>1356.4952940562375</v>
      </c>
      <c r="X117" s="105">
        <v>1079.133532996075</v>
      </c>
      <c r="Y117" s="105">
        <v>602.19194484823004</v>
      </c>
      <c r="Z117" s="105">
        <v>676.14029871810851</v>
      </c>
      <c r="AA117" s="105">
        <v>1506.2182150706408</v>
      </c>
      <c r="AB117" s="105">
        <v>1106.2753937149371</v>
      </c>
      <c r="AC117" s="105">
        <v>675.73785049536377</v>
      </c>
      <c r="AD117" s="105">
        <v>907.07254497630129</v>
      </c>
      <c r="AE117" s="105">
        <v>661.41300208533755</v>
      </c>
      <c r="AF117" s="105">
        <v>1295.4000465624713</v>
      </c>
      <c r="AG117" s="105">
        <v>498.47093128637414</v>
      </c>
      <c r="AH117" s="105">
        <v>957.66217970461469</v>
      </c>
      <c r="AI117" s="105">
        <v>1400.2070881160771</v>
      </c>
      <c r="AJ117" s="105">
        <v>616.21370509745475</v>
      </c>
      <c r="AK117" s="105">
        <v>834.39969859481346</v>
      </c>
      <c r="AL117" s="105">
        <v>891.10708092335938</v>
      </c>
      <c r="AM117" s="105">
        <v>882.81630185179642</v>
      </c>
      <c r="AN117" s="105">
        <v>1186.1301468999607</v>
      </c>
      <c r="AO117" s="105">
        <v>1098.2006578923306</v>
      </c>
      <c r="AP117" s="105">
        <v>774.77160937725023</v>
      </c>
      <c r="AQ117" s="105">
        <v>931.80893483228806</v>
      </c>
      <c r="AR117" s="105">
        <v>977.18788857940433</v>
      </c>
      <c r="AS117" s="105">
        <v>1461.1616615037831</v>
      </c>
      <c r="AT117" s="105">
        <v>1105.1686979672977</v>
      </c>
      <c r="AU117" s="105">
        <v>471.24256581576822</v>
      </c>
      <c r="AV117" s="105">
        <v>938.53815322221556</v>
      </c>
      <c r="AW117" s="105">
        <v>834.60563714330715</v>
      </c>
      <c r="AX117" s="105">
        <v>1102.8417705306008</v>
      </c>
      <c r="AY117" s="105">
        <v>625.84739754266718</v>
      </c>
    </row>
    <row r="118" spans="1:52">
      <c r="A118" s="108"/>
      <c r="B118" s="129">
        <v>10</v>
      </c>
      <c r="C118" s="105"/>
      <c r="D118" s="105">
        <v>0</v>
      </c>
      <c r="E118" s="105">
        <v>0</v>
      </c>
      <c r="F118" s="105">
        <v>0</v>
      </c>
      <c r="G118" s="105">
        <v>0</v>
      </c>
      <c r="H118" s="105">
        <v>0</v>
      </c>
      <c r="I118" s="105">
        <v>0</v>
      </c>
      <c r="J118" s="105">
        <v>0</v>
      </c>
      <c r="K118" s="105">
        <v>0</v>
      </c>
      <c r="L118" s="105">
        <v>0</v>
      </c>
      <c r="M118" s="105">
        <v>0</v>
      </c>
      <c r="N118" s="105">
        <v>0</v>
      </c>
      <c r="O118" s="105">
        <v>0</v>
      </c>
      <c r="P118" s="105">
        <v>0</v>
      </c>
      <c r="Q118" s="105">
        <v>0</v>
      </c>
      <c r="R118" s="105">
        <v>0</v>
      </c>
      <c r="S118" s="105">
        <v>864.04682392433165</v>
      </c>
      <c r="T118" s="105">
        <v>876.87725394342294</v>
      </c>
      <c r="U118" s="105">
        <v>391.35171135854398</v>
      </c>
      <c r="V118" s="105">
        <v>1169.9552660101597</v>
      </c>
      <c r="W118" s="105">
        <v>691.91542106545648</v>
      </c>
      <c r="X118" s="105">
        <v>1356.4952940562375</v>
      </c>
      <c r="Y118" s="105">
        <v>1079.133532996075</v>
      </c>
      <c r="Z118" s="105">
        <v>602.19194484823004</v>
      </c>
      <c r="AA118" s="105">
        <v>676.14029871810851</v>
      </c>
      <c r="AB118" s="105">
        <v>1506.2182150706408</v>
      </c>
      <c r="AC118" s="105">
        <v>1106.2753937149371</v>
      </c>
      <c r="AD118" s="105">
        <v>675.73785049536377</v>
      </c>
      <c r="AE118" s="105">
        <v>907.07254497630129</v>
      </c>
      <c r="AF118" s="105">
        <v>661.41300208533755</v>
      </c>
      <c r="AG118" s="105">
        <v>1295.4000465624713</v>
      </c>
      <c r="AH118" s="105">
        <v>498.47093128637414</v>
      </c>
      <c r="AI118" s="105">
        <v>957.66217970461469</v>
      </c>
      <c r="AJ118" s="105">
        <v>1400.2070881160771</v>
      </c>
      <c r="AK118" s="105">
        <v>616.21370509745475</v>
      </c>
      <c r="AL118" s="105">
        <v>834.39969859481346</v>
      </c>
      <c r="AM118" s="105">
        <v>891.10708092335938</v>
      </c>
      <c r="AN118" s="105">
        <v>882.81630185179642</v>
      </c>
      <c r="AO118" s="105">
        <v>1186.1301468999607</v>
      </c>
      <c r="AP118" s="105">
        <v>1098.2006578923306</v>
      </c>
      <c r="AQ118" s="105">
        <v>774.77160937725023</v>
      </c>
      <c r="AR118" s="105">
        <v>931.80893483228806</v>
      </c>
      <c r="AS118" s="105">
        <v>977.18788857940433</v>
      </c>
      <c r="AT118" s="105">
        <v>1461.1616615037831</v>
      </c>
      <c r="AU118" s="105">
        <v>1105.1686979672977</v>
      </c>
      <c r="AV118" s="105">
        <v>471.24256581576822</v>
      </c>
      <c r="AW118" s="105">
        <v>938.53815322221556</v>
      </c>
      <c r="AX118" s="105">
        <v>834.60563714330715</v>
      </c>
      <c r="AY118" s="105">
        <v>1102.8417705306008</v>
      </c>
    </row>
    <row r="119" spans="1:52">
      <c r="A119" s="108"/>
      <c r="B119" s="129">
        <v>11</v>
      </c>
      <c r="C119" s="105"/>
      <c r="D119" s="105">
        <v>0</v>
      </c>
      <c r="E119" s="105">
        <v>0</v>
      </c>
      <c r="F119" s="105">
        <v>0</v>
      </c>
      <c r="G119" s="105">
        <v>0</v>
      </c>
      <c r="H119" s="105">
        <v>0</v>
      </c>
      <c r="I119" s="105">
        <v>0</v>
      </c>
      <c r="J119" s="105">
        <v>0</v>
      </c>
      <c r="K119" s="105">
        <v>0</v>
      </c>
      <c r="L119" s="105">
        <v>0</v>
      </c>
      <c r="M119" s="105">
        <v>0</v>
      </c>
      <c r="N119" s="105">
        <v>0</v>
      </c>
      <c r="O119" s="105">
        <v>0</v>
      </c>
      <c r="P119" s="105">
        <v>0</v>
      </c>
      <c r="Q119" s="105">
        <v>0</v>
      </c>
      <c r="R119" s="105">
        <v>0</v>
      </c>
      <c r="S119" s="105">
        <v>0</v>
      </c>
      <c r="T119" s="105">
        <v>659.04682392433165</v>
      </c>
      <c r="U119" s="105">
        <v>876.87725394342294</v>
      </c>
      <c r="V119" s="105">
        <v>391.35171135854398</v>
      </c>
      <c r="W119" s="105">
        <v>1169.9552660101597</v>
      </c>
      <c r="X119" s="105">
        <v>691.91542106545648</v>
      </c>
      <c r="Y119" s="105">
        <v>1356.4952940562375</v>
      </c>
      <c r="Z119" s="105">
        <v>1079.133532996075</v>
      </c>
      <c r="AA119" s="105">
        <v>602.19194484823004</v>
      </c>
      <c r="AB119" s="105">
        <v>676.14029871810851</v>
      </c>
      <c r="AC119" s="105">
        <v>1506.2182150706408</v>
      </c>
      <c r="AD119" s="105">
        <v>1106.2753937149371</v>
      </c>
      <c r="AE119" s="105">
        <v>675.73785049536377</v>
      </c>
      <c r="AF119" s="105">
        <v>907.07254497630129</v>
      </c>
      <c r="AG119" s="105">
        <v>661.41300208533755</v>
      </c>
      <c r="AH119" s="105">
        <v>1295.4000465624713</v>
      </c>
      <c r="AI119" s="105">
        <v>498.47093128637414</v>
      </c>
      <c r="AJ119" s="105">
        <v>957.66217970461469</v>
      </c>
      <c r="AK119" s="105">
        <v>1400.2070881160771</v>
      </c>
      <c r="AL119" s="105">
        <v>616.21370509745475</v>
      </c>
      <c r="AM119" s="105">
        <v>834.39969859481346</v>
      </c>
      <c r="AN119" s="105">
        <v>891.10708092335938</v>
      </c>
      <c r="AO119" s="105">
        <v>882.81630185179642</v>
      </c>
      <c r="AP119" s="105">
        <v>1186.1301468999607</v>
      </c>
      <c r="AQ119" s="105">
        <v>1098.2006578923306</v>
      </c>
      <c r="AR119" s="105">
        <v>774.77160937725023</v>
      </c>
      <c r="AS119" s="105">
        <v>931.80893483228806</v>
      </c>
      <c r="AT119" s="105">
        <v>977.18788857940433</v>
      </c>
      <c r="AU119" s="105">
        <v>1461.1616615037831</v>
      </c>
      <c r="AV119" s="105">
        <v>1105.1686979672977</v>
      </c>
      <c r="AW119" s="105">
        <v>471.24256581576822</v>
      </c>
      <c r="AX119" s="105">
        <v>938.53815322221556</v>
      </c>
      <c r="AY119" s="105">
        <v>834.60563714330715</v>
      </c>
    </row>
    <row r="120" spans="1:52">
      <c r="A120" s="108"/>
      <c r="B120" s="129">
        <v>12</v>
      </c>
      <c r="C120" s="105"/>
      <c r="D120" s="105">
        <v>0</v>
      </c>
      <c r="E120" s="105">
        <v>0</v>
      </c>
      <c r="F120" s="105">
        <v>0</v>
      </c>
      <c r="G120" s="105">
        <v>0</v>
      </c>
      <c r="H120" s="105">
        <v>0</v>
      </c>
      <c r="I120" s="105">
        <v>0</v>
      </c>
      <c r="J120" s="105">
        <v>0</v>
      </c>
      <c r="K120" s="105">
        <v>0</v>
      </c>
      <c r="L120" s="105">
        <v>0</v>
      </c>
      <c r="M120" s="105">
        <v>0</v>
      </c>
      <c r="N120" s="105">
        <v>0</v>
      </c>
      <c r="O120" s="105">
        <v>0</v>
      </c>
      <c r="P120" s="105">
        <v>0</v>
      </c>
      <c r="Q120" s="105">
        <v>0</v>
      </c>
      <c r="R120" s="105">
        <v>0</v>
      </c>
      <c r="S120" s="105">
        <v>0</v>
      </c>
      <c r="T120" s="105">
        <v>0</v>
      </c>
      <c r="U120" s="105">
        <v>450.04682392433165</v>
      </c>
      <c r="V120" s="105">
        <v>876.87725394342294</v>
      </c>
      <c r="W120" s="105">
        <v>391.35171135854398</v>
      </c>
      <c r="X120" s="105">
        <v>1169.9552660101597</v>
      </c>
      <c r="Y120" s="105">
        <v>691.91542106545648</v>
      </c>
      <c r="Z120" s="105">
        <v>1356.4952940562375</v>
      </c>
      <c r="AA120" s="105">
        <v>1079.133532996075</v>
      </c>
      <c r="AB120" s="105">
        <v>602.19194484823004</v>
      </c>
      <c r="AC120" s="105">
        <v>676.14029871810851</v>
      </c>
      <c r="AD120" s="105">
        <v>1506.2182150706408</v>
      </c>
      <c r="AE120" s="105">
        <v>1106.2753937149371</v>
      </c>
      <c r="AF120" s="105">
        <v>675.73785049536377</v>
      </c>
      <c r="AG120" s="105">
        <v>907.07254497630129</v>
      </c>
      <c r="AH120" s="105">
        <v>661.41300208533755</v>
      </c>
      <c r="AI120" s="105">
        <v>1295.4000465624713</v>
      </c>
      <c r="AJ120" s="105">
        <v>498.47093128637414</v>
      </c>
      <c r="AK120" s="105">
        <v>957.66217970461469</v>
      </c>
      <c r="AL120" s="105">
        <v>1400.2070881160771</v>
      </c>
      <c r="AM120" s="105">
        <v>616.21370509745475</v>
      </c>
      <c r="AN120" s="105">
        <v>834.39969859481346</v>
      </c>
      <c r="AO120" s="105">
        <v>891.10708092335938</v>
      </c>
      <c r="AP120" s="105">
        <v>882.81630185179642</v>
      </c>
      <c r="AQ120" s="105">
        <v>1186.1301468999607</v>
      </c>
      <c r="AR120" s="105">
        <v>1098.2006578923306</v>
      </c>
      <c r="AS120" s="105">
        <v>774.77160937725023</v>
      </c>
      <c r="AT120" s="105">
        <v>931.80893483228806</v>
      </c>
      <c r="AU120" s="105">
        <v>977.18788857940433</v>
      </c>
      <c r="AV120" s="105">
        <v>1461.1616615037831</v>
      </c>
      <c r="AW120" s="105">
        <v>1105.1686979672977</v>
      </c>
      <c r="AX120" s="105">
        <v>471.24256581576822</v>
      </c>
      <c r="AY120" s="105">
        <v>938.53815322221556</v>
      </c>
    </row>
    <row r="121" spans="1:52">
      <c r="A121" s="127"/>
      <c r="B121" s="131" t="s">
        <v>295</v>
      </c>
      <c r="C121" s="113"/>
      <c r="D121" s="124">
        <v>0</v>
      </c>
      <c r="E121" s="124">
        <v>0</v>
      </c>
      <c r="F121" s="124">
        <v>0</v>
      </c>
      <c r="G121" s="124">
        <v>0</v>
      </c>
      <c r="H121" s="124">
        <v>0</v>
      </c>
      <c r="I121" s="124">
        <v>0</v>
      </c>
      <c r="J121" s="124">
        <v>0</v>
      </c>
      <c r="K121" s="124">
        <v>0</v>
      </c>
      <c r="L121" s="124">
        <v>0</v>
      </c>
      <c r="M121" s="124">
        <v>0</v>
      </c>
      <c r="N121" s="124">
        <v>0</v>
      </c>
      <c r="O121" s="124">
        <v>0</v>
      </c>
      <c r="P121" s="124">
        <v>0</v>
      </c>
      <c r="Q121" s="124">
        <v>0</v>
      </c>
      <c r="R121" s="124">
        <v>0</v>
      </c>
      <c r="S121" s="124">
        <v>0</v>
      </c>
      <c r="T121" s="124">
        <v>0</v>
      </c>
      <c r="U121" s="124">
        <v>0</v>
      </c>
      <c r="V121" s="124">
        <v>261.04682392433165</v>
      </c>
      <c r="W121" s="124">
        <v>694.87725394342294</v>
      </c>
      <c r="X121" s="124">
        <v>157.35171135854398</v>
      </c>
      <c r="Y121" s="124">
        <v>974.95526601015968</v>
      </c>
      <c r="Z121" s="124">
        <v>469.91542106545648</v>
      </c>
      <c r="AA121" s="124">
        <v>1124.4952940562375</v>
      </c>
      <c r="AB121" s="124">
        <v>844.13353299607502</v>
      </c>
      <c r="AC121" s="124">
        <v>431.19194484823004</v>
      </c>
      <c r="AD121" s="124">
        <v>463.14029871810851</v>
      </c>
      <c r="AE121" s="124">
        <v>1301.2182150706408</v>
      </c>
      <c r="AF121" s="124">
        <v>883.27539371493708</v>
      </c>
      <c r="AG121" s="124">
        <v>429.73785049536377</v>
      </c>
      <c r="AH121" s="124">
        <v>665.07254497630129</v>
      </c>
      <c r="AI121" s="124">
        <v>460.41300208533755</v>
      </c>
      <c r="AJ121" s="124">
        <v>1097.4000465624713</v>
      </c>
      <c r="AK121" s="124">
        <v>298.47093128637414</v>
      </c>
      <c r="AL121" s="124">
        <v>713.66217970461469</v>
      </c>
      <c r="AM121" s="124">
        <v>1185.2070881160771</v>
      </c>
      <c r="AN121" s="124">
        <v>440.21370509745475</v>
      </c>
      <c r="AO121" s="124">
        <v>598.39969859481346</v>
      </c>
      <c r="AP121" s="124">
        <v>664.10708092335938</v>
      </c>
      <c r="AQ121" s="124">
        <v>641.81630185179642</v>
      </c>
      <c r="AR121" s="124">
        <v>974.13014689996066</v>
      </c>
      <c r="AS121" s="124">
        <v>857.20065789233058</v>
      </c>
      <c r="AT121" s="124">
        <v>581.77160937725023</v>
      </c>
      <c r="AU121" s="124">
        <v>747.80893483228806</v>
      </c>
      <c r="AV121" s="124">
        <v>763.18788857940433</v>
      </c>
      <c r="AW121" s="124">
        <v>1181.1616615037831</v>
      </c>
      <c r="AX121" s="124">
        <v>910.1686979672977</v>
      </c>
      <c r="AY121" s="124">
        <v>283.24256581576822</v>
      </c>
      <c r="AZ121" s="106">
        <f>SUM($D121:$AY121)</f>
        <v>21098.773748268188</v>
      </c>
    </row>
    <row r="122" spans="1:52">
      <c r="A122" s="130" t="s">
        <v>123</v>
      </c>
      <c r="B122" s="118">
        <v>1</v>
      </c>
      <c r="C122" s="105"/>
      <c r="D122" s="105">
        <v>0</v>
      </c>
      <c r="E122" s="105">
        <v>0</v>
      </c>
      <c r="F122" s="105">
        <v>361.32353664674423</v>
      </c>
      <c r="G122" s="105">
        <v>267.01151999999996</v>
      </c>
      <c r="H122" s="105">
        <v>1019.6644847824093</v>
      </c>
      <c r="I122" s="105">
        <v>1083.5963719296101</v>
      </c>
      <c r="J122" s="105">
        <v>910.87286938000011</v>
      </c>
      <c r="K122" s="105">
        <v>172.72350254960998</v>
      </c>
      <c r="L122" s="105">
        <v>910.87286938000011</v>
      </c>
      <c r="M122" s="105">
        <v>450.86050254960992</v>
      </c>
      <c r="N122" s="105">
        <v>1052.216011938058</v>
      </c>
      <c r="O122" s="105">
        <v>1102.7873993799999</v>
      </c>
      <c r="P122" s="105">
        <v>553.2380666467443</v>
      </c>
      <c r="Q122" s="105">
        <v>267.01151999999996</v>
      </c>
      <c r="R122" s="105">
        <v>1055.79068227521</v>
      </c>
      <c r="S122" s="105">
        <v>1055.79068227521</v>
      </c>
      <c r="T122" s="105">
        <v>632.73586938000017</v>
      </c>
      <c r="U122" s="105">
        <v>1083.5963719296101</v>
      </c>
      <c r="V122" s="105">
        <v>506.24134954195421</v>
      </c>
      <c r="W122" s="105">
        <v>1055.79068227521</v>
      </c>
      <c r="X122" s="105">
        <v>333.51784699234423</v>
      </c>
      <c r="Y122" s="105">
        <v>1055.79068227521</v>
      </c>
      <c r="Z122" s="105">
        <v>1102.7873993799999</v>
      </c>
      <c r="AA122" s="105">
        <v>461.7074199999999</v>
      </c>
      <c r="AB122" s="105">
        <v>361.32353664674423</v>
      </c>
      <c r="AC122" s="105">
        <v>470.0515299999999</v>
      </c>
      <c r="AD122" s="105">
        <v>183.31585664674429</v>
      </c>
      <c r="AE122" s="105">
        <v>458.92604999999992</v>
      </c>
      <c r="AF122" s="105">
        <v>553.23806664674419</v>
      </c>
      <c r="AG122" s="105">
        <v>191.91452999999998</v>
      </c>
      <c r="AH122" s="105">
        <v>1102.79223</v>
      </c>
      <c r="AI122" s="105">
        <v>470.0515299999999</v>
      </c>
      <c r="AJ122" s="105">
        <v>1102.79223</v>
      </c>
      <c r="AK122" s="105">
        <v>1102.7922299999998</v>
      </c>
      <c r="AL122" s="105">
        <v>361.32353664674423</v>
      </c>
      <c r="AM122" s="105">
        <v>461.7074199999999</v>
      </c>
      <c r="AN122" s="105">
        <v>910.8777</v>
      </c>
      <c r="AO122" s="105">
        <v>1102.7922299999998</v>
      </c>
      <c r="AP122" s="105">
        <v>569.8753739760931</v>
      </c>
      <c r="AQ122" s="105">
        <v>275.35562999999996</v>
      </c>
      <c r="AR122" s="105">
        <v>569.8753739760931</v>
      </c>
      <c r="AS122" s="105">
        <v>267.01151999999996</v>
      </c>
      <c r="AT122" s="105">
        <v>470.05152999999996</v>
      </c>
      <c r="AU122" s="105">
        <v>267.01151999999996</v>
      </c>
      <c r="AV122" s="105">
        <v>553.23806664674419</v>
      </c>
      <c r="AW122" s="105">
        <v>267.01151999999996</v>
      </c>
      <c r="AX122" s="105">
        <v>898.23185261800018</v>
      </c>
      <c r="AY122" s="105">
        <v>1090.146382618</v>
      </c>
    </row>
    <row r="123" spans="1:52">
      <c r="A123" s="108"/>
      <c r="B123" s="118">
        <v>2</v>
      </c>
      <c r="C123" s="105"/>
      <c r="D123" s="105">
        <v>0</v>
      </c>
      <c r="E123" s="105">
        <v>0</v>
      </c>
      <c r="F123" s="105">
        <v>0</v>
      </c>
      <c r="G123" s="105">
        <v>549.54933273325582</v>
      </c>
      <c r="H123" s="105">
        <v>904.08276642639998</v>
      </c>
      <c r="I123" s="105">
        <v>260.85056849703591</v>
      </c>
      <c r="J123" s="105">
        <v>267.44051440271767</v>
      </c>
      <c r="K123" s="105">
        <v>353.15963238890475</v>
      </c>
      <c r="L123" s="105">
        <v>661.26729295997097</v>
      </c>
      <c r="M123" s="105">
        <v>405.74299999440154</v>
      </c>
      <c r="N123" s="105">
        <v>748.07500314224126</v>
      </c>
      <c r="O123" s="105">
        <v>269.17790017399392</v>
      </c>
      <c r="P123" s="105">
        <v>255.96393400932007</v>
      </c>
      <c r="Q123" s="105">
        <v>641.55938854109013</v>
      </c>
      <c r="R123" s="105">
        <v>904.08276642639998</v>
      </c>
      <c r="S123" s="105">
        <v>270.09237233964416</v>
      </c>
      <c r="T123" s="105">
        <v>270.09237233964416</v>
      </c>
      <c r="U123" s="105">
        <v>135.29226385246028</v>
      </c>
      <c r="V123" s="105">
        <v>209.81609080576916</v>
      </c>
      <c r="W123" s="105">
        <v>679.05599477307851</v>
      </c>
      <c r="X123" s="105">
        <v>270.09237233964416</v>
      </c>
      <c r="Y123" s="105">
        <v>231.07832751357051</v>
      </c>
      <c r="Z123" s="105">
        <v>229.20683008416574</v>
      </c>
      <c r="AA123" s="105">
        <v>282.1150725093915</v>
      </c>
      <c r="AB123" s="105">
        <v>759.19397156440004</v>
      </c>
      <c r="AC123" s="105">
        <v>641.98311987822592</v>
      </c>
      <c r="AD123" s="105">
        <v>752.98445178459997</v>
      </c>
      <c r="AE123" s="105">
        <v>966.36740518062584</v>
      </c>
      <c r="AF123" s="105">
        <v>750.13833149100003</v>
      </c>
      <c r="AG123" s="105">
        <v>691.0786949428259</v>
      </c>
      <c r="AH123" s="105">
        <v>49.095575064599984</v>
      </c>
      <c r="AI123" s="105">
        <v>210.31949489209046</v>
      </c>
      <c r="AJ123" s="105">
        <v>752.98928240459986</v>
      </c>
      <c r="AK123" s="105">
        <v>282.11630827859994</v>
      </c>
      <c r="AL123" s="105">
        <v>271.913806221605</v>
      </c>
      <c r="AM123" s="105">
        <v>799.4634704058368</v>
      </c>
      <c r="AN123" s="105">
        <v>118.11399218439995</v>
      </c>
      <c r="AO123" s="105">
        <v>370.81933004031384</v>
      </c>
      <c r="AP123" s="105">
        <v>271.11389950971295</v>
      </c>
      <c r="AQ123" s="105">
        <v>581.7059170244936</v>
      </c>
      <c r="AR123" s="105">
        <v>653.20189178064197</v>
      </c>
      <c r="AS123" s="105">
        <v>653.38125848647087</v>
      </c>
      <c r="AT123" s="105">
        <v>263.00278704639993</v>
      </c>
      <c r="AU123" s="105">
        <v>110.45615525601484</v>
      </c>
      <c r="AV123" s="105">
        <v>8.3441100000000006</v>
      </c>
      <c r="AW123" s="105">
        <v>591.21811578302595</v>
      </c>
      <c r="AX123" s="105">
        <v>701.04275642640005</v>
      </c>
      <c r="AY123" s="105">
        <v>421.7002025367367</v>
      </c>
    </row>
    <row r="124" spans="1:52">
      <c r="A124" s="108"/>
      <c r="B124" s="118">
        <v>3</v>
      </c>
      <c r="C124" s="105"/>
      <c r="D124" s="105">
        <v>0</v>
      </c>
      <c r="E124" s="105">
        <v>0</v>
      </c>
      <c r="F124" s="105">
        <v>0</v>
      </c>
      <c r="G124" s="105">
        <v>0</v>
      </c>
      <c r="H124" s="105">
        <v>49.585710299821471</v>
      </c>
      <c r="I124" s="105">
        <v>130.9674697161019</v>
      </c>
      <c r="J124" s="105">
        <v>0</v>
      </c>
      <c r="K124" s="105">
        <v>0</v>
      </c>
      <c r="L124" s="105">
        <v>0</v>
      </c>
      <c r="M124" s="105">
        <v>73.165398885019727</v>
      </c>
      <c r="N124" s="105">
        <v>22.514346601333514</v>
      </c>
      <c r="O124" s="105">
        <v>78.132167451401244</v>
      </c>
      <c r="P124" s="105">
        <v>0</v>
      </c>
      <c r="Q124" s="105">
        <v>0</v>
      </c>
      <c r="R124" s="105">
        <v>64.123722776581644</v>
      </c>
      <c r="S124" s="105">
        <v>160.68658406790672</v>
      </c>
      <c r="T124" s="105">
        <v>5.2018726281796361</v>
      </c>
      <c r="U124" s="105">
        <v>0</v>
      </c>
      <c r="V124" s="105">
        <v>172.72350254960998</v>
      </c>
      <c r="W124" s="105">
        <v>5.8612787721730726</v>
      </c>
      <c r="X124" s="105">
        <v>66.215536918346231</v>
      </c>
      <c r="Y124" s="105">
        <v>0</v>
      </c>
      <c r="Z124" s="105">
        <v>549.54933273325582</v>
      </c>
      <c r="AA124" s="105">
        <v>58.635691272131268</v>
      </c>
      <c r="AB124" s="105">
        <v>0.71619679948945247</v>
      </c>
      <c r="AC124" s="105">
        <v>85.400219270850172</v>
      </c>
      <c r="AD124" s="105">
        <v>249.99373582111656</v>
      </c>
      <c r="AE124" s="105">
        <v>168.58187995329433</v>
      </c>
      <c r="AF124" s="105">
        <v>172.34272612295939</v>
      </c>
      <c r="AG124" s="105">
        <v>158.11458415880304</v>
      </c>
      <c r="AH124" s="105">
        <v>100.24062465977866</v>
      </c>
      <c r="AI124" s="105">
        <v>632.73586938000005</v>
      </c>
      <c r="AJ124" s="105">
        <v>53.803933183294568</v>
      </c>
      <c r="AK124" s="105">
        <v>100.17396591030288</v>
      </c>
      <c r="AL124" s="105">
        <v>0</v>
      </c>
      <c r="AM124" s="105">
        <v>0</v>
      </c>
      <c r="AN124" s="105">
        <v>92.518744999221127</v>
      </c>
      <c r="AO124" s="105">
        <v>8.3441100000000041</v>
      </c>
      <c r="AP124" s="105">
        <v>0</v>
      </c>
      <c r="AQ124" s="105">
        <v>0</v>
      </c>
      <c r="AR124" s="105">
        <v>24.812007693205913</v>
      </c>
      <c r="AS124" s="105">
        <v>254.14541576339965</v>
      </c>
      <c r="AT124" s="105">
        <v>109.16347380660181</v>
      </c>
      <c r="AU124" s="105">
        <v>8.3441100000000006</v>
      </c>
      <c r="AV124" s="105">
        <v>0</v>
      </c>
      <c r="AW124" s="105">
        <v>194.69589999999994</v>
      </c>
      <c r="AX124" s="105">
        <v>91.052523517613622</v>
      </c>
      <c r="AY124" s="105">
        <v>292.67382451527749</v>
      </c>
    </row>
    <row r="125" spans="1:52">
      <c r="A125" s="108"/>
      <c r="B125" s="118">
        <v>4</v>
      </c>
      <c r="C125" s="105"/>
      <c r="D125" s="105">
        <v>0</v>
      </c>
      <c r="E125" s="105">
        <v>0</v>
      </c>
      <c r="F125" s="105">
        <v>0</v>
      </c>
      <c r="G125" s="105">
        <v>0</v>
      </c>
      <c r="H125" s="105">
        <v>0</v>
      </c>
      <c r="I125" s="105">
        <v>0</v>
      </c>
      <c r="J125" s="105">
        <v>0</v>
      </c>
      <c r="K125" s="105">
        <v>0</v>
      </c>
      <c r="L125" s="105">
        <v>0</v>
      </c>
      <c r="M125" s="105">
        <v>0</v>
      </c>
      <c r="N125" s="105">
        <v>0</v>
      </c>
      <c r="O125" s="105">
        <v>0</v>
      </c>
      <c r="P125" s="105">
        <v>0</v>
      </c>
      <c r="Q125" s="105">
        <v>0</v>
      </c>
      <c r="R125" s="105">
        <v>0</v>
      </c>
      <c r="S125" s="105">
        <v>0</v>
      </c>
      <c r="T125" s="105">
        <v>0</v>
      </c>
      <c r="U125" s="105">
        <v>0</v>
      </c>
      <c r="V125" s="105">
        <v>0</v>
      </c>
      <c r="W125" s="105">
        <v>0</v>
      </c>
      <c r="X125" s="105">
        <v>0</v>
      </c>
      <c r="Y125" s="105">
        <v>0</v>
      </c>
      <c r="Z125" s="105">
        <v>0</v>
      </c>
      <c r="AA125" s="105">
        <v>25.585710299821471</v>
      </c>
      <c r="AB125" s="105">
        <v>0</v>
      </c>
      <c r="AC125" s="105">
        <v>0</v>
      </c>
      <c r="AD125" s="105">
        <v>0</v>
      </c>
      <c r="AE125" s="105">
        <v>0</v>
      </c>
      <c r="AF125" s="105">
        <v>0</v>
      </c>
      <c r="AG125" s="105">
        <v>0</v>
      </c>
      <c r="AH125" s="105">
        <v>0</v>
      </c>
      <c r="AI125" s="105">
        <v>0</v>
      </c>
      <c r="AJ125" s="105">
        <v>53.866490104791581</v>
      </c>
      <c r="AK125" s="105">
        <v>0</v>
      </c>
      <c r="AL125" s="105">
        <v>0</v>
      </c>
      <c r="AM125" s="105">
        <v>0</v>
      </c>
      <c r="AN125" s="105">
        <v>0</v>
      </c>
      <c r="AO125" s="105">
        <v>0</v>
      </c>
      <c r="AP125" s="105">
        <v>0</v>
      </c>
      <c r="AQ125" s="105">
        <v>0</v>
      </c>
      <c r="AR125" s="105">
        <v>0</v>
      </c>
      <c r="AS125" s="105">
        <v>0</v>
      </c>
      <c r="AT125" s="105">
        <v>0</v>
      </c>
      <c r="AU125" s="105">
        <v>0</v>
      </c>
      <c r="AV125" s="105">
        <v>0</v>
      </c>
      <c r="AW125" s="105">
        <v>0</v>
      </c>
      <c r="AX125" s="105">
        <v>0</v>
      </c>
      <c r="AY125" s="105">
        <v>0</v>
      </c>
    </row>
    <row r="126" spans="1:52">
      <c r="A126" s="108"/>
      <c r="B126" s="118">
        <v>5</v>
      </c>
      <c r="C126" s="105"/>
      <c r="D126" s="105">
        <v>0</v>
      </c>
      <c r="E126" s="105">
        <v>0</v>
      </c>
      <c r="F126" s="105">
        <v>0</v>
      </c>
      <c r="G126" s="105">
        <v>0</v>
      </c>
      <c r="H126" s="105">
        <v>0</v>
      </c>
      <c r="I126" s="105">
        <v>0</v>
      </c>
      <c r="J126" s="105">
        <v>0</v>
      </c>
      <c r="K126" s="105">
        <v>0</v>
      </c>
      <c r="L126" s="105">
        <v>0</v>
      </c>
      <c r="M126" s="105">
        <v>0</v>
      </c>
      <c r="N126" s="105">
        <v>0</v>
      </c>
      <c r="O126" s="105">
        <v>0</v>
      </c>
      <c r="P126" s="105">
        <v>0</v>
      </c>
      <c r="Q126" s="105">
        <v>0</v>
      </c>
      <c r="R126" s="105">
        <v>0</v>
      </c>
      <c r="S126" s="105">
        <v>0</v>
      </c>
      <c r="T126" s="105">
        <v>0</v>
      </c>
      <c r="U126" s="105">
        <v>0</v>
      </c>
      <c r="V126" s="105">
        <v>0</v>
      </c>
      <c r="W126" s="105">
        <v>0</v>
      </c>
      <c r="X126" s="105">
        <v>0</v>
      </c>
      <c r="Y126" s="105">
        <v>0</v>
      </c>
      <c r="Z126" s="105">
        <v>0</v>
      </c>
      <c r="AA126" s="105">
        <v>0</v>
      </c>
      <c r="AB126" s="105">
        <v>0</v>
      </c>
      <c r="AC126" s="105">
        <v>0</v>
      </c>
      <c r="AD126" s="105">
        <v>0</v>
      </c>
      <c r="AE126" s="105">
        <v>0</v>
      </c>
      <c r="AF126" s="105">
        <v>0</v>
      </c>
      <c r="AG126" s="105">
        <v>0</v>
      </c>
      <c r="AH126" s="105">
        <v>0</v>
      </c>
      <c r="AI126" s="105">
        <v>0</v>
      </c>
      <c r="AJ126" s="105">
        <v>0</v>
      </c>
      <c r="AK126" s="105">
        <v>0</v>
      </c>
      <c r="AL126" s="105">
        <v>0</v>
      </c>
      <c r="AM126" s="105">
        <v>0</v>
      </c>
      <c r="AN126" s="105">
        <v>0</v>
      </c>
      <c r="AO126" s="105">
        <v>0</v>
      </c>
      <c r="AP126" s="105">
        <v>0</v>
      </c>
      <c r="AQ126" s="105">
        <v>0</v>
      </c>
      <c r="AR126" s="105">
        <v>0</v>
      </c>
      <c r="AS126" s="105">
        <v>0</v>
      </c>
      <c r="AT126" s="105">
        <v>0</v>
      </c>
      <c r="AU126" s="105">
        <v>0</v>
      </c>
      <c r="AV126" s="105">
        <v>0</v>
      </c>
      <c r="AW126" s="105">
        <v>0</v>
      </c>
      <c r="AX126" s="105">
        <v>0</v>
      </c>
      <c r="AY126" s="105">
        <v>0</v>
      </c>
    </row>
    <row r="127" spans="1:52">
      <c r="A127" s="108"/>
      <c r="B127" s="118">
        <v>6</v>
      </c>
      <c r="C127" s="105"/>
      <c r="D127" s="105">
        <v>0</v>
      </c>
      <c r="E127" s="105">
        <v>0</v>
      </c>
      <c r="F127" s="105">
        <v>0</v>
      </c>
      <c r="G127" s="105">
        <v>0</v>
      </c>
      <c r="H127" s="105">
        <v>0</v>
      </c>
      <c r="I127" s="105">
        <v>0</v>
      </c>
      <c r="J127" s="105">
        <v>0</v>
      </c>
      <c r="K127" s="105">
        <v>0</v>
      </c>
      <c r="L127" s="105">
        <v>0</v>
      </c>
      <c r="M127" s="105">
        <v>0</v>
      </c>
      <c r="N127" s="105">
        <v>0</v>
      </c>
      <c r="O127" s="105">
        <v>0</v>
      </c>
      <c r="P127" s="105">
        <v>0</v>
      </c>
      <c r="Q127" s="105">
        <v>0</v>
      </c>
      <c r="R127" s="105">
        <v>0</v>
      </c>
      <c r="S127" s="105">
        <v>0</v>
      </c>
      <c r="T127" s="105">
        <v>0</v>
      </c>
      <c r="U127" s="105">
        <v>0</v>
      </c>
      <c r="V127" s="105">
        <v>0</v>
      </c>
      <c r="W127" s="105">
        <v>0</v>
      </c>
      <c r="X127" s="105">
        <v>0</v>
      </c>
      <c r="Y127" s="105">
        <v>0</v>
      </c>
      <c r="Z127" s="105">
        <v>0</v>
      </c>
      <c r="AA127" s="105">
        <v>0</v>
      </c>
      <c r="AB127" s="105">
        <v>0</v>
      </c>
      <c r="AC127" s="105">
        <v>0</v>
      </c>
      <c r="AD127" s="105">
        <v>0</v>
      </c>
      <c r="AE127" s="105">
        <v>0</v>
      </c>
      <c r="AF127" s="105">
        <v>0</v>
      </c>
      <c r="AG127" s="105">
        <v>0</v>
      </c>
      <c r="AH127" s="105">
        <v>0</v>
      </c>
      <c r="AI127" s="105">
        <v>0</v>
      </c>
      <c r="AJ127" s="105">
        <v>0</v>
      </c>
      <c r="AK127" s="105">
        <v>0</v>
      </c>
      <c r="AL127" s="105">
        <v>0</v>
      </c>
      <c r="AM127" s="105">
        <v>0</v>
      </c>
      <c r="AN127" s="105">
        <v>0</v>
      </c>
      <c r="AO127" s="105">
        <v>0</v>
      </c>
      <c r="AP127" s="105">
        <v>0</v>
      </c>
      <c r="AQ127" s="105">
        <v>0</v>
      </c>
      <c r="AR127" s="105">
        <v>0</v>
      </c>
      <c r="AS127" s="105">
        <v>0</v>
      </c>
      <c r="AT127" s="105">
        <v>0</v>
      </c>
      <c r="AU127" s="105">
        <v>0</v>
      </c>
      <c r="AV127" s="105">
        <v>0</v>
      </c>
      <c r="AW127" s="105">
        <v>0</v>
      </c>
      <c r="AX127" s="105">
        <v>0</v>
      </c>
      <c r="AY127" s="105">
        <v>0</v>
      </c>
    </row>
    <row r="128" spans="1:52">
      <c r="A128" s="108"/>
      <c r="B128" s="118">
        <v>7</v>
      </c>
      <c r="C128" s="105"/>
      <c r="D128" s="105">
        <v>0</v>
      </c>
      <c r="E128" s="105">
        <v>0</v>
      </c>
      <c r="F128" s="105">
        <v>0</v>
      </c>
      <c r="G128" s="105">
        <v>0</v>
      </c>
      <c r="H128" s="105">
        <v>0</v>
      </c>
      <c r="I128" s="105">
        <v>0</v>
      </c>
      <c r="J128" s="105">
        <v>0</v>
      </c>
      <c r="K128" s="105">
        <v>0</v>
      </c>
      <c r="L128" s="105">
        <v>0</v>
      </c>
      <c r="M128" s="105">
        <v>0</v>
      </c>
      <c r="N128" s="105">
        <v>0</v>
      </c>
      <c r="O128" s="105">
        <v>0</v>
      </c>
      <c r="P128" s="105">
        <v>0</v>
      </c>
      <c r="Q128" s="105">
        <v>0</v>
      </c>
      <c r="R128" s="105">
        <v>0</v>
      </c>
      <c r="S128" s="105">
        <v>0</v>
      </c>
      <c r="T128" s="105">
        <v>0</v>
      </c>
      <c r="U128" s="105">
        <v>0</v>
      </c>
      <c r="V128" s="105">
        <v>0</v>
      </c>
      <c r="W128" s="105">
        <v>0</v>
      </c>
      <c r="X128" s="105">
        <v>0</v>
      </c>
      <c r="Y128" s="105">
        <v>0</v>
      </c>
      <c r="Z128" s="105">
        <v>0</v>
      </c>
      <c r="AA128" s="105">
        <v>0</v>
      </c>
      <c r="AB128" s="105">
        <v>0</v>
      </c>
      <c r="AC128" s="105">
        <v>0</v>
      </c>
      <c r="AD128" s="105">
        <v>0</v>
      </c>
      <c r="AE128" s="105">
        <v>0</v>
      </c>
      <c r="AF128" s="105">
        <v>0</v>
      </c>
      <c r="AG128" s="105">
        <v>0</v>
      </c>
      <c r="AH128" s="105">
        <v>0</v>
      </c>
      <c r="AI128" s="105">
        <v>0</v>
      </c>
      <c r="AJ128" s="105">
        <v>0</v>
      </c>
      <c r="AK128" s="105">
        <v>0</v>
      </c>
      <c r="AL128" s="105">
        <v>0</v>
      </c>
      <c r="AM128" s="105">
        <v>0</v>
      </c>
      <c r="AN128" s="105">
        <v>0</v>
      </c>
      <c r="AO128" s="105">
        <v>0</v>
      </c>
      <c r="AP128" s="105">
        <v>0</v>
      </c>
      <c r="AQ128" s="105">
        <v>0</v>
      </c>
      <c r="AR128" s="105">
        <v>0</v>
      </c>
      <c r="AS128" s="105">
        <v>0</v>
      </c>
      <c r="AT128" s="105">
        <v>0</v>
      </c>
      <c r="AU128" s="105">
        <v>0</v>
      </c>
      <c r="AV128" s="105">
        <v>0</v>
      </c>
      <c r="AW128" s="105">
        <v>0</v>
      </c>
      <c r="AX128" s="105">
        <v>0</v>
      </c>
      <c r="AY128" s="105">
        <v>0</v>
      </c>
    </row>
    <row r="129" spans="1:51">
      <c r="A129" s="108"/>
      <c r="B129" s="118">
        <v>8</v>
      </c>
      <c r="C129" s="105"/>
      <c r="D129" s="105">
        <v>0</v>
      </c>
      <c r="E129" s="105">
        <v>0</v>
      </c>
      <c r="F129" s="105">
        <v>0</v>
      </c>
      <c r="G129" s="105">
        <v>0</v>
      </c>
      <c r="H129" s="105">
        <v>0</v>
      </c>
      <c r="I129" s="105">
        <v>0</v>
      </c>
      <c r="J129" s="105">
        <v>0</v>
      </c>
      <c r="K129" s="105">
        <v>0</v>
      </c>
      <c r="L129" s="105">
        <v>0</v>
      </c>
      <c r="M129" s="105">
        <v>0</v>
      </c>
      <c r="N129" s="105">
        <v>0</v>
      </c>
      <c r="O129" s="105">
        <v>0</v>
      </c>
      <c r="P129" s="105">
        <v>0</v>
      </c>
      <c r="Q129" s="105">
        <v>0</v>
      </c>
      <c r="R129" s="105">
        <v>0</v>
      </c>
      <c r="S129" s="105">
        <v>0</v>
      </c>
      <c r="T129" s="105">
        <v>0</v>
      </c>
      <c r="U129" s="105">
        <v>0</v>
      </c>
      <c r="V129" s="105">
        <v>0</v>
      </c>
      <c r="W129" s="105">
        <v>0</v>
      </c>
      <c r="X129" s="105">
        <v>0</v>
      </c>
      <c r="Y129" s="105">
        <v>0</v>
      </c>
      <c r="Z129" s="105">
        <v>0</v>
      </c>
      <c r="AA129" s="105">
        <v>0</v>
      </c>
      <c r="AB129" s="105">
        <v>0</v>
      </c>
      <c r="AC129" s="105">
        <v>0</v>
      </c>
      <c r="AD129" s="105">
        <v>0</v>
      </c>
      <c r="AE129" s="105">
        <v>0</v>
      </c>
      <c r="AF129" s="105">
        <v>0</v>
      </c>
      <c r="AG129" s="105">
        <v>0</v>
      </c>
      <c r="AH129" s="105">
        <v>0</v>
      </c>
      <c r="AI129" s="105">
        <v>0</v>
      </c>
      <c r="AJ129" s="105">
        <v>0</v>
      </c>
      <c r="AK129" s="105">
        <v>0</v>
      </c>
      <c r="AL129" s="105">
        <v>0</v>
      </c>
      <c r="AM129" s="105">
        <v>0</v>
      </c>
      <c r="AN129" s="105">
        <v>0</v>
      </c>
      <c r="AO129" s="105">
        <v>0</v>
      </c>
      <c r="AP129" s="105">
        <v>0</v>
      </c>
      <c r="AQ129" s="105">
        <v>0</v>
      </c>
      <c r="AR129" s="105">
        <v>0</v>
      </c>
      <c r="AS129" s="105">
        <v>0</v>
      </c>
      <c r="AT129" s="105">
        <v>0</v>
      </c>
      <c r="AU129" s="105">
        <v>0</v>
      </c>
      <c r="AV129" s="105">
        <v>0</v>
      </c>
      <c r="AW129" s="105">
        <v>0</v>
      </c>
      <c r="AX129" s="105">
        <v>0</v>
      </c>
      <c r="AY129" s="105">
        <v>0</v>
      </c>
    </row>
    <row r="130" spans="1:51">
      <c r="A130" s="108"/>
      <c r="B130" s="118">
        <v>9</v>
      </c>
      <c r="C130" s="105"/>
      <c r="D130" s="105">
        <v>0</v>
      </c>
      <c r="E130" s="105">
        <v>0</v>
      </c>
      <c r="F130" s="105">
        <v>0</v>
      </c>
      <c r="G130" s="105">
        <v>0</v>
      </c>
      <c r="H130" s="105">
        <v>0</v>
      </c>
      <c r="I130" s="105">
        <v>0</v>
      </c>
      <c r="J130" s="105">
        <v>0</v>
      </c>
      <c r="K130" s="105">
        <v>0</v>
      </c>
      <c r="L130" s="105">
        <v>0</v>
      </c>
      <c r="M130" s="105">
        <v>0</v>
      </c>
      <c r="N130" s="105">
        <v>0</v>
      </c>
      <c r="O130" s="105">
        <v>0</v>
      </c>
      <c r="P130" s="105">
        <v>0</v>
      </c>
      <c r="Q130" s="105">
        <v>0</v>
      </c>
      <c r="R130" s="105">
        <v>0</v>
      </c>
      <c r="S130" s="105">
        <v>0</v>
      </c>
      <c r="T130" s="105">
        <v>0</v>
      </c>
      <c r="U130" s="105">
        <v>0</v>
      </c>
      <c r="V130" s="105">
        <v>0</v>
      </c>
      <c r="W130" s="105">
        <v>0</v>
      </c>
      <c r="X130" s="105">
        <v>0</v>
      </c>
      <c r="Y130" s="105">
        <v>0</v>
      </c>
      <c r="Z130" s="105">
        <v>0</v>
      </c>
      <c r="AA130" s="105">
        <v>0</v>
      </c>
      <c r="AB130" s="105">
        <v>0</v>
      </c>
      <c r="AC130" s="105">
        <v>0</v>
      </c>
      <c r="AD130" s="105">
        <v>0</v>
      </c>
      <c r="AE130" s="105">
        <v>0</v>
      </c>
      <c r="AF130" s="105">
        <v>0</v>
      </c>
      <c r="AG130" s="105">
        <v>0</v>
      </c>
      <c r="AH130" s="105">
        <v>0</v>
      </c>
      <c r="AI130" s="105">
        <v>0</v>
      </c>
      <c r="AJ130" s="105">
        <v>0</v>
      </c>
      <c r="AK130" s="105">
        <v>0</v>
      </c>
      <c r="AL130" s="105">
        <v>0</v>
      </c>
      <c r="AM130" s="105">
        <v>0</v>
      </c>
      <c r="AN130" s="105">
        <v>0</v>
      </c>
      <c r="AO130" s="105">
        <v>0</v>
      </c>
      <c r="AP130" s="105">
        <v>0</v>
      </c>
      <c r="AQ130" s="105">
        <v>0</v>
      </c>
      <c r="AR130" s="105">
        <v>0</v>
      </c>
      <c r="AS130" s="105">
        <v>0</v>
      </c>
      <c r="AT130" s="105">
        <v>0</v>
      </c>
      <c r="AU130" s="105">
        <v>0</v>
      </c>
      <c r="AV130" s="105">
        <v>0</v>
      </c>
      <c r="AW130" s="105">
        <v>0</v>
      </c>
      <c r="AX130" s="105">
        <v>0</v>
      </c>
      <c r="AY130" s="105">
        <v>0</v>
      </c>
    </row>
    <row r="131" spans="1:51">
      <c r="A131" s="108"/>
      <c r="B131" s="118">
        <v>10</v>
      </c>
      <c r="C131" s="105"/>
      <c r="D131" s="105">
        <v>0</v>
      </c>
      <c r="E131" s="105">
        <v>0</v>
      </c>
      <c r="F131" s="105">
        <v>0</v>
      </c>
      <c r="G131" s="105">
        <v>0</v>
      </c>
      <c r="H131" s="105">
        <v>0</v>
      </c>
      <c r="I131" s="105">
        <v>0</v>
      </c>
      <c r="J131" s="105">
        <v>0</v>
      </c>
      <c r="K131" s="105">
        <v>0</v>
      </c>
      <c r="L131" s="105">
        <v>0</v>
      </c>
      <c r="M131" s="105">
        <v>0</v>
      </c>
      <c r="N131" s="105">
        <v>0</v>
      </c>
      <c r="O131" s="105">
        <v>0</v>
      </c>
      <c r="P131" s="105">
        <v>0</v>
      </c>
      <c r="Q131" s="105">
        <v>0</v>
      </c>
      <c r="R131" s="105">
        <v>0</v>
      </c>
      <c r="S131" s="105">
        <v>0</v>
      </c>
      <c r="T131" s="105">
        <v>0</v>
      </c>
      <c r="U131" s="105">
        <v>0</v>
      </c>
      <c r="V131" s="105">
        <v>0</v>
      </c>
      <c r="W131" s="105">
        <v>0</v>
      </c>
      <c r="X131" s="105">
        <v>0</v>
      </c>
      <c r="Y131" s="105">
        <v>0</v>
      </c>
      <c r="Z131" s="105">
        <v>0</v>
      </c>
      <c r="AA131" s="105">
        <v>0</v>
      </c>
      <c r="AB131" s="105">
        <v>0</v>
      </c>
      <c r="AC131" s="105">
        <v>0</v>
      </c>
      <c r="AD131" s="105">
        <v>0</v>
      </c>
      <c r="AE131" s="105">
        <v>0</v>
      </c>
      <c r="AF131" s="105">
        <v>0</v>
      </c>
      <c r="AG131" s="105">
        <v>0</v>
      </c>
      <c r="AH131" s="105">
        <v>0</v>
      </c>
      <c r="AI131" s="105">
        <v>0</v>
      </c>
      <c r="AJ131" s="105">
        <v>0</v>
      </c>
      <c r="AK131" s="105">
        <v>0</v>
      </c>
      <c r="AL131" s="105">
        <v>0</v>
      </c>
      <c r="AM131" s="105">
        <v>0</v>
      </c>
      <c r="AN131" s="105">
        <v>0</v>
      </c>
      <c r="AO131" s="105">
        <v>0</v>
      </c>
      <c r="AP131" s="105">
        <v>0</v>
      </c>
      <c r="AQ131" s="105">
        <v>0</v>
      </c>
      <c r="AR131" s="105">
        <v>0</v>
      </c>
      <c r="AS131" s="105">
        <v>0</v>
      </c>
      <c r="AT131" s="105">
        <v>0</v>
      </c>
      <c r="AU131" s="105">
        <v>0</v>
      </c>
      <c r="AV131" s="105">
        <v>0</v>
      </c>
      <c r="AW131" s="105">
        <v>0</v>
      </c>
      <c r="AX131" s="105">
        <v>0</v>
      </c>
      <c r="AY131" s="105">
        <v>0</v>
      </c>
    </row>
    <row r="132" spans="1:51">
      <c r="A132" s="108"/>
      <c r="B132" s="118">
        <v>11</v>
      </c>
      <c r="C132" s="105"/>
      <c r="D132" s="105">
        <v>0</v>
      </c>
      <c r="E132" s="105">
        <v>0</v>
      </c>
      <c r="F132" s="105">
        <v>0</v>
      </c>
      <c r="G132" s="105">
        <v>0</v>
      </c>
      <c r="H132" s="105">
        <v>0</v>
      </c>
      <c r="I132" s="105">
        <v>0</v>
      </c>
      <c r="J132" s="105">
        <v>0</v>
      </c>
      <c r="K132" s="105">
        <v>0</v>
      </c>
      <c r="L132" s="105">
        <v>0</v>
      </c>
      <c r="M132" s="105">
        <v>0</v>
      </c>
      <c r="N132" s="105">
        <v>0</v>
      </c>
      <c r="O132" s="105">
        <v>0</v>
      </c>
      <c r="P132" s="105">
        <v>0</v>
      </c>
      <c r="Q132" s="105">
        <v>0</v>
      </c>
      <c r="R132" s="105">
        <v>0</v>
      </c>
      <c r="S132" s="105">
        <v>0</v>
      </c>
      <c r="T132" s="105">
        <v>0</v>
      </c>
      <c r="U132" s="105">
        <v>0</v>
      </c>
      <c r="V132" s="105">
        <v>0</v>
      </c>
      <c r="W132" s="105">
        <v>0</v>
      </c>
      <c r="X132" s="105">
        <v>0</v>
      </c>
      <c r="Y132" s="105">
        <v>0</v>
      </c>
      <c r="Z132" s="105">
        <v>0</v>
      </c>
      <c r="AA132" s="105">
        <v>0</v>
      </c>
      <c r="AB132" s="105">
        <v>0</v>
      </c>
      <c r="AC132" s="105">
        <v>0</v>
      </c>
      <c r="AD132" s="105">
        <v>0</v>
      </c>
      <c r="AE132" s="105">
        <v>0</v>
      </c>
      <c r="AF132" s="105">
        <v>0</v>
      </c>
      <c r="AG132" s="105">
        <v>0</v>
      </c>
      <c r="AH132" s="105">
        <v>0</v>
      </c>
      <c r="AI132" s="105">
        <v>0</v>
      </c>
      <c r="AJ132" s="105">
        <v>0</v>
      </c>
      <c r="AK132" s="105">
        <v>0</v>
      </c>
      <c r="AL132" s="105">
        <v>0</v>
      </c>
      <c r="AM132" s="105">
        <v>0</v>
      </c>
      <c r="AN132" s="105">
        <v>0</v>
      </c>
      <c r="AO132" s="105">
        <v>0</v>
      </c>
      <c r="AP132" s="105">
        <v>0</v>
      </c>
      <c r="AQ132" s="105">
        <v>0</v>
      </c>
      <c r="AR132" s="105">
        <v>0</v>
      </c>
      <c r="AS132" s="105">
        <v>0</v>
      </c>
      <c r="AT132" s="105">
        <v>0</v>
      </c>
      <c r="AU132" s="105">
        <v>0</v>
      </c>
      <c r="AV132" s="105">
        <v>0</v>
      </c>
      <c r="AW132" s="105">
        <v>0</v>
      </c>
      <c r="AX132" s="105">
        <v>0</v>
      </c>
      <c r="AY132" s="105">
        <v>0</v>
      </c>
    </row>
    <row r="133" spans="1:51">
      <c r="A133" s="108"/>
      <c r="B133" s="118">
        <v>12</v>
      </c>
      <c r="C133" s="105"/>
      <c r="D133" s="105">
        <v>0</v>
      </c>
      <c r="E133" s="105">
        <v>0</v>
      </c>
      <c r="F133" s="105">
        <v>0</v>
      </c>
      <c r="G133" s="105">
        <v>0</v>
      </c>
      <c r="H133" s="105">
        <v>0</v>
      </c>
      <c r="I133" s="105">
        <v>0</v>
      </c>
      <c r="J133" s="105">
        <v>0</v>
      </c>
      <c r="K133" s="105">
        <v>0</v>
      </c>
      <c r="L133" s="105">
        <v>0</v>
      </c>
      <c r="M133" s="105">
        <v>0</v>
      </c>
      <c r="N133" s="105">
        <v>0</v>
      </c>
      <c r="O133" s="105">
        <v>0</v>
      </c>
      <c r="P133" s="105">
        <v>0</v>
      </c>
      <c r="Q133" s="105">
        <v>0</v>
      </c>
      <c r="R133" s="105">
        <v>0</v>
      </c>
      <c r="S133" s="105">
        <v>0</v>
      </c>
      <c r="T133" s="105">
        <v>0</v>
      </c>
      <c r="U133" s="105">
        <v>0</v>
      </c>
      <c r="V133" s="105">
        <v>0</v>
      </c>
      <c r="W133" s="105">
        <v>0</v>
      </c>
      <c r="X133" s="105">
        <v>0</v>
      </c>
      <c r="Y133" s="105">
        <v>0</v>
      </c>
      <c r="Z133" s="105">
        <v>0</v>
      </c>
      <c r="AA133" s="105">
        <v>0</v>
      </c>
      <c r="AB133" s="105">
        <v>0</v>
      </c>
      <c r="AC133" s="105">
        <v>0</v>
      </c>
      <c r="AD133" s="105">
        <v>0</v>
      </c>
      <c r="AE133" s="105">
        <v>0</v>
      </c>
      <c r="AF133" s="105">
        <v>0</v>
      </c>
      <c r="AG133" s="105">
        <v>0</v>
      </c>
      <c r="AH133" s="105">
        <v>0</v>
      </c>
      <c r="AI133" s="105">
        <v>0</v>
      </c>
      <c r="AJ133" s="105">
        <v>0</v>
      </c>
      <c r="AK133" s="105">
        <v>0</v>
      </c>
      <c r="AL133" s="105">
        <v>0</v>
      </c>
      <c r="AM133" s="105">
        <v>0</v>
      </c>
      <c r="AN133" s="105">
        <v>0</v>
      </c>
      <c r="AO133" s="105">
        <v>0</v>
      </c>
      <c r="AP133" s="105">
        <v>0</v>
      </c>
      <c r="AQ133" s="105">
        <v>0</v>
      </c>
      <c r="AR133" s="105">
        <v>0</v>
      </c>
      <c r="AS133" s="105">
        <v>0</v>
      </c>
      <c r="AT133" s="105">
        <v>0</v>
      </c>
      <c r="AU133" s="105">
        <v>0</v>
      </c>
      <c r="AV133" s="105">
        <v>0</v>
      </c>
      <c r="AW133" s="105">
        <v>0</v>
      </c>
      <c r="AX133" s="105">
        <v>0</v>
      </c>
      <c r="AY133" s="105">
        <v>0</v>
      </c>
    </row>
    <row r="134" spans="1:51">
      <c r="A134" s="108"/>
      <c r="B134" s="119">
        <v>13</v>
      </c>
      <c r="C134" s="105"/>
      <c r="D134" s="105">
        <v>0</v>
      </c>
      <c r="E134" s="105">
        <v>0</v>
      </c>
      <c r="F134" s="105">
        <v>0</v>
      </c>
      <c r="G134" s="105">
        <v>0</v>
      </c>
      <c r="H134" s="105">
        <v>0</v>
      </c>
      <c r="I134" s="105">
        <v>0</v>
      </c>
      <c r="J134" s="105">
        <v>0</v>
      </c>
      <c r="K134" s="105">
        <v>0</v>
      </c>
      <c r="L134" s="105">
        <v>0</v>
      </c>
      <c r="M134" s="105">
        <v>0</v>
      </c>
      <c r="N134" s="105">
        <v>0</v>
      </c>
      <c r="O134" s="105">
        <v>0</v>
      </c>
      <c r="P134" s="105">
        <v>0</v>
      </c>
      <c r="Q134" s="105">
        <v>0</v>
      </c>
      <c r="R134" s="105">
        <v>0</v>
      </c>
      <c r="S134" s="105">
        <v>0</v>
      </c>
      <c r="T134" s="105">
        <v>0</v>
      </c>
      <c r="U134" s="105">
        <v>0</v>
      </c>
      <c r="V134" s="105">
        <v>0</v>
      </c>
      <c r="W134" s="105">
        <v>0</v>
      </c>
      <c r="X134" s="105">
        <v>0</v>
      </c>
      <c r="Y134" s="105">
        <v>0</v>
      </c>
      <c r="Z134" s="105">
        <v>0</v>
      </c>
      <c r="AA134" s="105">
        <v>0</v>
      </c>
      <c r="AB134" s="105">
        <v>0</v>
      </c>
      <c r="AC134" s="105">
        <v>0</v>
      </c>
      <c r="AD134" s="105">
        <v>0</v>
      </c>
      <c r="AE134" s="105">
        <v>0</v>
      </c>
      <c r="AF134" s="105">
        <v>0</v>
      </c>
      <c r="AG134" s="105">
        <v>0</v>
      </c>
      <c r="AH134" s="105">
        <v>0</v>
      </c>
      <c r="AI134" s="105">
        <v>0</v>
      </c>
      <c r="AJ134" s="105">
        <v>0</v>
      </c>
      <c r="AK134" s="105">
        <v>0</v>
      </c>
      <c r="AL134" s="105">
        <v>0</v>
      </c>
      <c r="AM134" s="105">
        <v>0</v>
      </c>
      <c r="AN134" s="105">
        <v>0</v>
      </c>
      <c r="AO134" s="105">
        <v>0</v>
      </c>
      <c r="AP134" s="105">
        <v>0</v>
      </c>
      <c r="AQ134" s="105">
        <v>0</v>
      </c>
      <c r="AR134" s="105">
        <v>0</v>
      </c>
      <c r="AS134" s="105">
        <v>0</v>
      </c>
      <c r="AT134" s="105">
        <v>0</v>
      </c>
      <c r="AU134" s="105">
        <v>0</v>
      </c>
      <c r="AV134" s="105">
        <v>0</v>
      </c>
      <c r="AW134" s="105">
        <v>0</v>
      </c>
      <c r="AX134" s="105">
        <v>0</v>
      </c>
      <c r="AY134" s="105">
        <v>0</v>
      </c>
    </row>
    <row r="135" spans="1:51">
      <c r="A135" s="108"/>
      <c r="B135" s="119">
        <v>14</v>
      </c>
      <c r="C135" s="105"/>
      <c r="D135" s="105">
        <v>0</v>
      </c>
      <c r="E135" s="105">
        <v>0</v>
      </c>
      <c r="F135" s="105">
        <v>0</v>
      </c>
      <c r="G135" s="105">
        <v>0</v>
      </c>
      <c r="H135" s="105">
        <v>0</v>
      </c>
      <c r="I135" s="105">
        <v>0</v>
      </c>
      <c r="J135" s="105">
        <v>0</v>
      </c>
      <c r="K135" s="105">
        <v>0</v>
      </c>
      <c r="L135" s="105">
        <v>0</v>
      </c>
      <c r="M135" s="105">
        <v>0</v>
      </c>
      <c r="N135" s="105">
        <v>0</v>
      </c>
      <c r="O135" s="105">
        <v>0</v>
      </c>
      <c r="P135" s="105">
        <v>0</v>
      </c>
      <c r="Q135" s="105">
        <v>0</v>
      </c>
      <c r="R135" s="105">
        <v>0</v>
      </c>
      <c r="S135" s="105">
        <v>0</v>
      </c>
      <c r="T135" s="105">
        <v>0</v>
      </c>
      <c r="U135" s="105">
        <v>0</v>
      </c>
      <c r="V135" s="105">
        <v>0</v>
      </c>
      <c r="W135" s="105">
        <v>0</v>
      </c>
      <c r="X135" s="105">
        <v>0</v>
      </c>
      <c r="Y135" s="105">
        <v>0</v>
      </c>
      <c r="Z135" s="105">
        <v>0</v>
      </c>
      <c r="AA135" s="105">
        <v>0</v>
      </c>
      <c r="AB135" s="105">
        <v>0</v>
      </c>
      <c r="AC135" s="105">
        <v>0</v>
      </c>
      <c r="AD135" s="105">
        <v>0</v>
      </c>
      <c r="AE135" s="105">
        <v>0</v>
      </c>
      <c r="AF135" s="105">
        <v>0</v>
      </c>
      <c r="AG135" s="105">
        <v>0</v>
      </c>
      <c r="AH135" s="105">
        <v>0</v>
      </c>
      <c r="AI135" s="105">
        <v>0</v>
      </c>
      <c r="AJ135" s="105">
        <v>0</v>
      </c>
      <c r="AK135" s="105">
        <v>0</v>
      </c>
      <c r="AL135" s="105">
        <v>0</v>
      </c>
      <c r="AM135" s="105">
        <v>0</v>
      </c>
      <c r="AN135" s="105">
        <v>0</v>
      </c>
      <c r="AO135" s="105">
        <v>0</v>
      </c>
      <c r="AP135" s="105">
        <v>0</v>
      </c>
      <c r="AQ135" s="105">
        <v>0</v>
      </c>
      <c r="AR135" s="105">
        <v>0</v>
      </c>
      <c r="AS135" s="105">
        <v>0</v>
      </c>
      <c r="AT135" s="105">
        <v>0</v>
      </c>
      <c r="AU135" s="105">
        <v>0</v>
      </c>
      <c r="AV135" s="105">
        <v>0</v>
      </c>
      <c r="AW135" s="105">
        <v>0</v>
      </c>
      <c r="AX135" s="105">
        <v>0</v>
      </c>
      <c r="AY135" s="105">
        <v>0</v>
      </c>
    </row>
    <row r="136" spans="1:51">
      <c r="A136" s="108"/>
      <c r="B136" s="119">
        <v>15</v>
      </c>
      <c r="C136" s="105"/>
      <c r="D136" s="105">
        <v>0</v>
      </c>
      <c r="E136" s="105">
        <v>0</v>
      </c>
      <c r="F136" s="105">
        <v>0</v>
      </c>
      <c r="G136" s="105">
        <v>0</v>
      </c>
      <c r="H136" s="105">
        <v>0</v>
      </c>
      <c r="I136" s="105">
        <v>0</v>
      </c>
      <c r="J136" s="105">
        <v>0</v>
      </c>
      <c r="K136" s="105">
        <v>0</v>
      </c>
      <c r="L136" s="105">
        <v>0</v>
      </c>
      <c r="M136" s="105">
        <v>0</v>
      </c>
      <c r="N136" s="105">
        <v>0</v>
      </c>
      <c r="O136" s="105">
        <v>0</v>
      </c>
      <c r="P136" s="105">
        <v>0</v>
      </c>
      <c r="Q136" s="105">
        <v>0</v>
      </c>
      <c r="R136" s="105">
        <v>0</v>
      </c>
      <c r="S136" s="105">
        <v>0</v>
      </c>
      <c r="T136" s="105">
        <v>0</v>
      </c>
      <c r="U136" s="105">
        <v>0</v>
      </c>
      <c r="V136" s="105">
        <v>0</v>
      </c>
      <c r="W136" s="105">
        <v>0</v>
      </c>
      <c r="X136" s="105">
        <v>0</v>
      </c>
      <c r="Y136" s="105">
        <v>0</v>
      </c>
      <c r="Z136" s="105">
        <v>0</v>
      </c>
      <c r="AA136" s="105">
        <v>0</v>
      </c>
      <c r="AB136" s="105">
        <v>0</v>
      </c>
      <c r="AC136" s="105">
        <v>0</v>
      </c>
      <c r="AD136" s="105">
        <v>0</v>
      </c>
      <c r="AE136" s="105">
        <v>0</v>
      </c>
      <c r="AF136" s="105">
        <v>0</v>
      </c>
      <c r="AG136" s="105">
        <v>0</v>
      </c>
      <c r="AH136" s="105">
        <v>0</v>
      </c>
      <c r="AI136" s="105">
        <v>0</v>
      </c>
      <c r="AJ136" s="105">
        <v>0</v>
      </c>
      <c r="AK136" s="105">
        <v>0</v>
      </c>
      <c r="AL136" s="105">
        <v>0</v>
      </c>
      <c r="AM136" s="105">
        <v>0</v>
      </c>
      <c r="AN136" s="105">
        <v>0</v>
      </c>
      <c r="AO136" s="105">
        <v>0</v>
      </c>
      <c r="AP136" s="105">
        <v>0</v>
      </c>
      <c r="AQ136" s="105">
        <v>0</v>
      </c>
      <c r="AR136" s="105">
        <v>0</v>
      </c>
      <c r="AS136" s="105">
        <v>0</v>
      </c>
      <c r="AT136" s="105">
        <v>0</v>
      </c>
      <c r="AU136" s="105">
        <v>0</v>
      </c>
      <c r="AV136" s="105">
        <v>0</v>
      </c>
      <c r="AW136" s="105">
        <v>0</v>
      </c>
      <c r="AX136" s="105">
        <v>0</v>
      </c>
      <c r="AY136" s="105">
        <v>0</v>
      </c>
    </row>
    <row r="137" spans="1:51">
      <c r="A137" s="108"/>
      <c r="B137" s="119">
        <v>16</v>
      </c>
      <c r="C137" s="105"/>
      <c r="D137" s="105">
        <v>0</v>
      </c>
      <c r="E137" s="105">
        <v>0</v>
      </c>
      <c r="F137" s="105">
        <v>0</v>
      </c>
      <c r="G137" s="105">
        <v>0</v>
      </c>
      <c r="H137" s="105">
        <v>0</v>
      </c>
      <c r="I137" s="105">
        <v>0</v>
      </c>
      <c r="J137" s="105">
        <v>0</v>
      </c>
      <c r="K137" s="105">
        <v>0</v>
      </c>
      <c r="L137" s="105">
        <v>0</v>
      </c>
      <c r="M137" s="105">
        <v>0</v>
      </c>
      <c r="N137" s="105">
        <v>0</v>
      </c>
      <c r="O137" s="105">
        <v>0</v>
      </c>
      <c r="P137" s="105">
        <v>0</v>
      </c>
      <c r="Q137" s="105">
        <v>0</v>
      </c>
      <c r="R137" s="105">
        <v>0</v>
      </c>
      <c r="S137" s="105">
        <v>0</v>
      </c>
      <c r="T137" s="105">
        <v>0</v>
      </c>
      <c r="U137" s="105">
        <v>0</v>
      </c>
      <c r="V137" s="105">
        <v>0</v>
      </c>
      <c r="W137" s="105">
        <v>0</v>
      </c>
      <c r="X137" s="105">
        <v>0</v>
      </c>
      <c r="Y137" s="105">
        <v>0</v>
      </c>
      <c r="Z137" s="105">
        <v>0</v>
      </c>
      <c r="AA137" s="105">
        <v>0</v>
      </c>
      <c r="AB137" s="105">
        <v>0</v>
      </c>
      <c r="AC137" s="105">
        <v>0</v>
      </c>
      <c r="AD137" s="105">
        <v>0</v>
      </c>
      <c r="AE137" s="105">
        <v>0</v>
      </c>
      <c r="AF137" s="105">
        <v>0</v>
      </c>
      <c r="AG137" s="105">
        <v>0</v>
      </c>
      <c r="AH137" s="105">
        <v>0</v>
      </c>
      <c r="AI137" s="105">
        <v>0</v>
      </c>
      <c r="AJ137" s="105">
        <v>0</v>
      </c>
      <c r="AK137" s="105">
        <v>0</v>
      </c>
      <c r="AL137" s="105">
        <v>0</v>
      </c>
      <c r="AM137" s="105">
        <v>0</v>
      </c>
      <c r="AN137" s="105">
        <v>0</v>
      </c>
      <c r="AO137" s="105">
        <v>0</v>
      </c>
      <c r="AP137" s="105">
        <v>0</v>
      </c>
      <c r="AQ137" s="105">
        <v>0</v>
      </c>
      <c r="AR137" s="105">
        <v>0</v>
      </c>
      <c r="AS137" s="105">
        <v>0</v>
      </c>
      <c r="AT137" s="105">
        <v>0</v>
      </c>
      <c r="AU137" s="105">
        <v>0</v>
      </c>
      <c r="AV137" s="105">
        <v>0</v>
      </c>
      <c r="AW137" s="105">
        <v>0</v>
      </c>
      <c r="AX137" s="105">
        <v>0</v>
      </c>
      <c r="AY137" s="105">
        <v>0</v>
      </c>
    </row>
    <row r="138" spans="1:51">
      <c r="A138" s="108"/>
      <c r="B138" s="119">
        <v>17</v>
      </c>
      <c r="C138" s="105"/>
      <c r="D138" s="105">
        <v>0</v>
      </c>
      <c r="E138" s="105">
        <v>0</v>
      </c>
      <c r="F138" s="105">
        <v>0</v>
      </c>
      <c r="G138" s="105">
        <v>0</v>
      </c>
      <c r="H138" s="105">
        <v>0</v>
      </c>
      <c r="I138" s="105">
        <v>0</v>
      </c>
      <c r="J138" s="105">
        <v>0</v>
      </c>
      <c r="K138" s="105">
        <v>0</v>
      </c>
      <c r="L138" s="105">
        <v>0</v>
      </c>
      <c r="M138" s="105">
        <v>0</v>
      </c>
      <c r="N138" s="105">
        <v>0</v>
      </c>
      <c r="O138" s="105">
        <v>0</v>
      </c>
      <c r="P138" s="105">
        <v>0</v>
      </c>
      <c r="Q138" s="105">
        <v>0</v>
      </c>
      <c r="R138" s="105">
        <v>0</v>
      </c>
      <c r="S138" s="105">
        <v>0</v>
      </c>
      <c r="T138" s="105">
        <v>0</v>
      </c>
      <c r="U138" s="105">
        <v>0</v>
      </c>
      <c r="V138" s="105">
        <v>0</v>
      </c>
      <c r="W138" s="105">
        <v>0</v>
      </c>
      <c r="X138" s="105">
        <v>0</v>
      </c>
      <c r="Y138" s="105">
        <v>0</v>
      </c>
      <c r="Z138" s="105">
        <v>0</v>
      </c>
      <c r="AA138" s="105">
        <v>0</v>
      </c>
      <c r="AB138" s="105">
        <v>0</v>
      </c>
      <c r="AC138" s="105">
        <v>0</v>
      </c>
      <c r="AD138" s="105">
        <v>0</v>
      </c>
      <c r="AE138" s="105">
        <v>0</v>
      </c>
      <c r="AF138" s="105">
        <v>0</v>
      </c>
      <c r="AG138" s="105">
        <v>0</v>
      </c>
      <c r="AH138" s="105">
        <v>0</v>
      </c>
      <c r="AI138" s="105">
        <v>0</v>
      </c>
      <c r="AJ138" s="105">
        <v>0</v>
      </c>
      <c r="AK138" s="105">
        <v>0</v>
      </c>
      <c r="AL138" s="105">
        <v>0</v>
      </c>
      <c r="AM138" s="105">
        <v>0</v>
      </c>
      <c r="AN138" s="105">
        <v>0</v>
      </c>
      <c r="AO138" s="105">
        <v>0</v>
      </c>
      <c r="AP138" s="105">
        <v>0</v>
      </c>
      <c r="AQ138" s="105">
        <v>0</v>
      </c>
      <c r="AR138" s="105">
        <v>0</v>
      </c>
      <c r="AS138" s="105">
        <v>0</v>
      </c>
      <c r="AT138" s="105">
        <v>0</v>
      </c>
      <c r="AU138" s="105">
        <v>0</v>
      </c>
      <c r="AV138" s="105">
        <v>0</v>
      </c>
      <c r="AW138" s="105">
        <v>0</v>
      </c>
      <c r="AX138" s="105">
        <v>0</v>
      </c>
      <c r="AY138" s="105">
        <v>0</v>
      </c>
    </row>
    <row r="139" spans="1:51">
      <c r="A139" s="108"/>
      <c r="B139" s="119">
        <v>18</v>
      </c>
      <c r="C139" s="105"/>
      <c r="D139" s="105">
        <v>0</v>
      </c>
      <c r="E139" s="105">
        <v>0</v>
      </c>
      <c r="F139" s="105">
        <v>0</v>
      </c>
      <c r="G139" s="105">
        <v>0</v>
      </c>
      <c r="H139" s="105">
        <v>0</v>
      </c>
      <c r="I139" s="105">
        <v>0</v>
      </c>
      <c r="J139" s="105">
        <v>0</v>
      </c>
      <c r="K139" s="105">
        <v>0</v>
      </c>
      <c r="L139" s="105">
        <v>0</v>
      </c>
      <c r="M139" s="105">
        <v>0</v>
      </c>
      <c r="N139" s="105">
        <v>0</v>
      </c>
      <c r="O139" s="105">
        <v>0</v>
      </c>
      <c r="P139" s="105">
        <v>0</v>
      </c>
      <c r="Q139" s="105">
        <v>0</v>
      </c>
      <c r="R139" s="105">
        <v>0</v>
      </c>
      <c r="S139" s="105">
        <v>0</v>
      </c>
      <c r="T139" s="105">
        <v>0</v>
      </c>
      <c r="U139" s="105">
        <v>0</v>
      </c>
      <c r="V139" s="105">
        <v>0</v>
      </c>
      <c r="W139" s="105">
        <v>0</v>
      </c>
      <c r="X139" s="105">
        <v>0</v>
      </c>
      <c r="Y139" s="105">
        <v>0</v>
      </c>
      <c r="Z139" s="105">
        <v>0</v>
      </c>
      <c r="AA139" s="105">
        <v>0</v>
      </c>
      <c r="AB139" s="105">
        <v>0</v>
      </c>
      <c r="AC139" s="105">
        <v>0</v>
      </c>
      <c r="AD139" s="105">
        <v>0</v>
      </c>
      <c r="AE139" s="105">
        <v>0</v>
      </c>
      <c r="AF139" s="105">
        <v>0</v>
      </c>
      <c r="AG139" s="105">
        <v>0</v>
      </c>
      <c r="AH139" s="105">
        <v>0</v>
      </c>
      <c r="AI139" s="105">
        <v>0</v>
      </c>
      <c r="AJ139" s="105">
        <v>0</v>
      </c>
      <c r="AK139" s="105">
        <v>0</v>
      </c>
      <c r="AL139" s="105">
        <v>0</v>
      </c>
      <c r="AM139" s="105">
        <v>0</v>
      </c>
      <c r="AN139" s="105">
        <v>0</v>
      </c>
      <c r="AO139" s="105">
        <v>0</v>
      </c>
      <c r="AP139" s="105">
        <v>0</v>
      </c>
      <c r="AQ139" s="105">
        <v>0</v>
      </c>
      <c r="AR139" s="105">
        <v>0</v>
      </c>
      <c r="AS139" s="105">
        <v>0</v>
      </c>
      <c r="AT139" s="105">
        <v>0</v>
      </c>
      <c r="AU139" s="105">
        <v>0</v>
      </c>
      <c r="AV139" s="105">
        <v>0</v>
      </c>
      <c r="AW139" s="105">
        <v>0</v>
      </c>
      <c r="AX139" s="105">
        <v>0</v>
      </c>
      <c r="AY139" s="105">
        <v>0</v>
      </c>
    </row>
    <row r="140" spans="1:51">
      <c r="A140" s="108"/>
      <c r="B140" s="119">
        <v>19</v>
      </c>
      <c r="C140" s="105"/>
      <c r="D140" s="105">
        <v>0</v>
      </c>
      <c r="E140" s="105">
        <v>0</v>
      </c>
      <c r="F140" s="105">
        <v>0</v>
      </c>
      <c r="G140" s="105">
        <v>0</v>
      </c>
      <c r="H140" s="105">
        <v>0</v>
      </c>
      <c r="I140" s="105">
        <v>0</v>
      </c>
      <c r="J140" s="105">
        <v>0</v>
      </c>
      <c r="K140" s="105">
        <v>0</v>
      </c>
      <c r="L140" s="105">
        <v>0</v>
      </c>
      <c r="M140" s="105">
        <v>0</v>
      </c>
      <c r="N140" s="105">
        <v>0</v>
      </c>
      <c r="O140" s="105">
        <v>0</v>
      </c>
      <c r="P140" s="105">
        <v>0</v>
      </c>
      <c r="Q140" s="105">
        <v>0</v>
      </c>
      <c r="R140" s="105">
        <v>0</v>
      </c>
      <c r="S140" s="105">
        <v>0</v>
      </c>
      <c r="T140" s="105">
        <v>0</v>
      </c>
      <c r="U140" s="105">
        <v>0</v>
      </c>
      <c r="V140" s="105">
        <v>0</v>
      </c>
      <c r="W140" s="105">
        <v>0</v>
      </c>
      <c r="X140" s="105">
        <v>0</v>
      </c>
      <c r="Y140" s="105">
        <v>0</v>
      </c>
      <c r="Z140" s="105">
        <v>0</v>
      </c>
      <c r="AA140" s="105">
        <v>0</v>
      </c>
      <c r="AB140" s="105">
        <v>0</v>
      </c>
      <c r="AC140" s="105">
        <v>0</v>
      </c>
      <c r="AD140" s="105">
        <v>0</v>
      </c>
      <c r="AE140" s="105">
        <v>0</v>
      </c>
      <c r="AF140" s="105">
        <v>0</v>
      </c>
      <c r="AG140" s="105">
        <v>0</v>
      </c>
      <c r="AH140" s="105">
        <v>0</v>
      </c>
      <c r="AI140" s="105">
        <v>0</v>
      </c>
      <c r="AJ140" s="105">
        <v>0</v>
      </c>
      <c r="AK140" s="105">
        <v>0</v>
      </c>
      <c r="AL140" s="105">
        <v>0</v>
      </c>
      <c r="AM140" s="105">
        <v>0</v>
      </c>
      <c r="AN140" s="105">
        <v>0</v>
      </c>
      <c r="AO140" s="105">
        <v>0</v>
      </c>
      <c r="AP140" s="105">
        <v>0</v>
      </c>
      <c r="AQ140" s="105">
        <v>0</v>
      </c>
      <c r="AR140" s="105">
        <v>0</v>
      </c>
      <c r="AS140" s="105">
        <v>0</v>
      </c>
      <c r="AT140" s="105">
        <v>0</v>
      </c>
      <c r="AU140" s="105">
        <v>0</v>
      </c>
      <c r="AV140" s="105">
        <v>0</v>
      </c>
      <c r="AW140" s="105">
        <v>0</v>
      </c>
      <c r="AX140" s="105">
        <v>0</v>
      </c>
      <c r="AY140" s="105">
        <v>0</v>
      </c>
    </row>
    <row r="141" spans="1:51">
      <c r="A141" s="108"/>
      <c r="B141" s="119">
        <v>20</v>
      </c>
      <c r="C141" s="105"/>
      <c r="D141" s="105">
        <v>0</v>
      </c>
      <c r="E141" s="105">
        <v>0</v>
      </c>
      <c r="F141" s="105">
        <v>0</v>
      </c>
      <c r="G141" s="105">
        <v>0</v>
      </c>
      <c r="H141" s="105">
        <v>0</v>
      </c>
      <c r="I141" s="105">
        <v>0</v>
      </c>
      <c r="J141" s="105">
        <v>0</v>
      </c>
      <c r="K141" s="105">
        <v>0</v>
      </c>
      <c r="L141" s="105">
        <v>0</v>
      </c>
      <c r="M141" s="105">
        <v>0</v>
      </c>
      <c r="N141" s="105">
        <v>0</v>
      </c>
      <c r="O141" s="105">
        <v>0</v>
      </c>
      <c r="P141" s="105">
        <v>0</v>
      </c>
      <c r="Q141" s="105">
        <v>0</v>
      </c>
      <c r="R141" s="105">
        <v>0</v>
      </c>
      <c r="S141" s="105">
        <v>0</v>
      </c>
      <c r="T141" s="105">
        <v>0</v>
      </c>
      <c r="U141" s="105">
        <v>0</v>
      </c>
      <c r="V141" s="105">
        <v>0</v>
      </c>
      <c r="W141" s="105">
        <v>0</v>
      </c>
      <c r="X141" s="105">
        <v>0</v>
      </c>
      <c r="Y141" s="105">
        <v>0</v>
      </c>
      <c r="Z141" s="105">
        <v>0</v>
      </c>
      <c r="AA141" s="105">
        <v>0</v>
      </c>
      <c r="AB141" s="105">
        <v>0</v>
      </c>
      <c r="AC141" s="105">
        <v>0</v>
      </c>
      <c r="AD141" s="105">
        <v>0</v>
      </c>
      <c r="AE141" s="105">
        <v>0</v>
      </c>
      <c r="AF141" s="105">
        <v>0</v>
      </c>
      <c r="AG141" s="105">
        <v>0</v>
      </c>
      <c r="AH141" s="105">
        <v>0</v>
      </c>
      <c r="AI141" s="105">
        <v>0</v>
      </c>
      <c r="AJ141" s="105">
        <v>0</v>
      </c>
      <c r="AK141" s="105">
        <v>0</v>
      </c>
      <c r="AL141" s="105">
        <v>0</v>
      </c>
      <c r="AM141" s="105">
        <v>0</v>
      </c>
      <c r="AN141" s="105">
        <v>0</v>
      </c>
      <c r="AO141" s="105">
        <v>0</v>
      </c>
      <c r="AP141" s="105">
        <v>0</v>
      </c>
      <c r="AQ141" s="105">
        <v>0</v>
      </c>
      <c r="AR141" s="105">
        <v>0</v>
      </c>
      <c r="AS141" s="105">
        <v>0</v>
      </c>
      <c r="AT141" s="105">
        <v>0</v>
      </c>
      <c r="AU141" s="105">
        <v>0</v>
      </c>
      <c r="AV141" s="105">
        <v>0</v>
      </c>
      <c r="AW141" s="105">
        <v>0</v>
      </c>
      <c r="AX141" s="105">
        <v>0</v>
      </c>
      <c r="AY141" s="105">
        <v>0</v>
      </c>
    </row>
    <row r="142" spans="1:51">
      <c r="A142" s="108"/>
      <c r="B142" s="119">
        <v>21</v>
      </c>
      <c r="C142" s="105"/>
      <c r="D142" s="105">
        <v>0</v>
      </c>
      <c r="E142" s="105">
        <v>0</v>
      </c>
      <c r="F142" s="105">
        <v>0</v>
      </c>
      <c r="G142" s="105">
        <v>0</v>
      </c>
      <c r="H142" s="105">
        <v>0</v>
      </c>
      <c r="I142" s="105">
        <v>0</v>
      </c>
      <c r="J142" s="105">
        <v>0</v>
      </c>
      <c r="K142" s="105">
        <v>0</v>
      </c>
      <c r="L142" s="105">
        <v>0</v>
      </c>
      <c r="M142" s="105">
        <v>0</v>
      </c>
      <c r="N142" s="105">
        <v>0</v>
      </c>
      <c r="O142" s="105">
        <v>0</v>
      </c>
      <c r="P142" s="105">
        <v>0</v>
      </c>
      <c r="Q142" s="105">
        <v>0</v>
      </c>
      <c r="R142" s="105">
        <v>0</v>
      </c>
      <c r="S142" s="105">
        <v>0</v>
      </c>
      <c r="T142" s="105">
        <v>0</v>
      </c>
      <c r="U142" s="105">
        <v>0</v>
      </c>
      <c r="V142" s="105">
        <v>0</v>
      </c>
      <c r="W142" s="105">
        <v>0</v>
      </c>
      <c r="X142" s="105">
        <v>0</v>
      </c>
      <c r="Y142" s="105">
        <v>0</v>
      </c>
      <c r="Z142" s="105">
        <v>0</v>
      </c>
      <c r="AA142" s="105">
        <v>0</v>
      </c>
      <c r="AB142" s="105">
        <v>0</v>
      </c>
      <c r="AC142" s="105">
        <v>0</v>
      </c>
      <c r="AD142" s="105">
        <v>0</v>
      </c>
      <c r="AE142" s="105">
        <v>0</v>
      </c>
      <c r="AF142" s="105">
        <v>0</v>
      </c>
      <c r="AG142" s="105">
        <v>0</v>
      </c>
      <c r="AH142" s="105">
        <v>0</v>
      </c>
      <c r="AI142" s="105">
        <v>0</v>
      </c>
      <c r="AJ142" s="105">
        <v>0</v>
      </c>
      <c r="AK142" s="105">
        <v>0</v>
      </c>
      <c r="AL142" s="105">
        <v>0</v>
      </c>
      <c r="AM142" s="105">
        <v>0</v>
      </c>
      <c r="AN142" s="105">
        <v>0</v>
      </c>
      <c r="AO142" s="105">
        <v>0</v>
      </c>
      <c r="AP142" s="105">
        <v>0</v>
      </c>
      <c r="AQ142" s="105">
        <v>0</v>
      </c>
      <c r="AR142" s="105">
        <v>0</v>
      </c>
      <c r="AS142" s="105">
        <v>0</v>
      </c>
      <c r="AT142" s="105">
        <v>0</v>
      </c>
      <c r="AU142" s="105">
        <v>0</v>
      </c>
      <c r="AV142" s="105">
        <v>0</v>
      </c>
      <c r="AW142" s="105">
        <v>0</v>
      </c>
      <c r="AX142" s="105">
        <v>0</v>
      </c>
      <c r="AY142" s="105">
        <v>0</v>
      </c>
    </row>
    <row r="143" spans="1:51">
      <c r="A143" s="108"/>
      <c r="B143" s="119">
        <v>22</v>
      </c>
      <c r="C143" s="105"/>
      <c r="D143" s="105">
        <v>0</v>
      </c>
      <c r="E143" s="105">
        <v>0</v>
      </c>
      <c r="F143" s="105">
        <v>0</v>
      </c>
      <c r="G143" s="105">
        <v>0</v>
      </c>
      <c r="H143" s="105">
        <v>0</v>
      </c>
      <c r="I143" s="105">
        <v>0</v>
      </c>
      <c r="J143" s="105">
        <v>0</v>
      </c>
      <c r="K143" s="105">
        <v>0</v>
      </c>
      <c r="L143" s="105">
        <v>0</v>
      </c>
      <c r="M143" s="105">
        <v>0</v>
      </c>
      <c r="N143" s="105">
        <v>0</v>
      </c>
      <c r="O143" s="105">
        <v>0</v>
      </c>
      <c r="P143" s="105">
        <v>0</v>
      </c>
      <c r="Q143" s="105">
        <v>0</v>
      </c>
      <c r="R143" s="105">
        <v>0</v>
      </c>
      <c r="S143" s="105">
        <v>0</v>
      </c>
      <c r="T143" s="105">
        <v>0</v>
      </c>
      <c r="U143" s="105">
        <v>0</v>
      </c>
      <c r="V143" s="105">
        <v>0</v>
      </c>
      <c r="W143" s="105">
        <v>0</v>
      </c>
      <c r="X143" s="105">
        <v>0</v>
      </c>
      <c r="Y143" s="105">
        <v>0</v>
      </c>
      <c r="Z143" s="105">
        <v>0</v>
      </c>
      <c r="AA143" s="105">
        <v>0</v>
      </c>
      <c r="AB143" s="105">
        <v>0</v>
      </c>
      <c r="AC143" s="105">
        <v>0</v>
      </c>
      <c r="AD143" s="105">
        <v>0</v>
      </c>
      <c r="AE143" s="105">
        <v>0</v>
      </c>
      <c r="AF143" s="105">
        <v>0</v>
      </c>
      <c r="AG143" s="105">
        <v>0</v>
      </c>
      <c r="AH143" s="105">
        <v>0</v>
      </c>
      <c r="AI143" s="105">
        <v>0</v>
      </c>
      <c r="AJ143" s="105">
        <v>0</v>
      </c>
      <c r="AK143" s="105">
        <v>0</v>
      </c>
      <c r="AL143" s="105">
        <v>0</v>
      </c>
      <c r="AM143" s="105">
        <v>0</v>
      </c>
      <c r="AN143" s="105">
        <v>0</v>
      </c>
      <c r="AO143" s="105">
        <v>0</v>
      </c>
      <c r="AP143" s="105">
        <v>0</v>
      </c>
      <c r="AQ143" s="105">
        <v>0</v>
      </c>
      <c r="AR143" s="105">
        <v>0</v>
      </c>
      <c r="AS143" s="105">
        <v>0</v>
      </c>
      <c r="AT143" s="105">
        <v>0</v>
      </c>
      <c r="AU143" s="105">
        <v>0</v>
      </c>
      <c r="AV143" s="105">
        <v>0</v>
      </c>
      <c r="AW143" s="105">
        <v>0</v>
      </c>
      <c r="AX143" s="105">
        <v>0</v>
      </c>
      <c r="AY143" s="105">
        <v>0</v>
      </c>
    </row>
    <row r="144" spans="1:51">
      <c r="A144" s="108"/>
      <c r="B144" s="119">
        <v>23</v>
      </c>
      <c r="C144" s="105"/>
      <c r="D144" s="105">
        <v>0</v>
      </c>
      <c r="E144" s="105">
        <v>0</v>
      </c>
      <c r="F144" s="105">
        <v>0</v>
      </c>
      <c r="G144" s="105">
        <v>0</v>
      </c>
      <c r="H144" s="105">
        <v>0</v>
      </c>
      <c r="I144" s="105">
        <v>0</v>
      </c>
      <c r="J144" s="105">
        <v>0</v>
      </c>
      <c r="K144" s="105">
        <v>0</v>
      </c>
      <c r="L144" s="105">
        <v>0</v>
      </c>
      <c r="M144" s="105">
        <v>0</v>
      </c>
      <c r="N144" s="105">
        <v>0</v>
      </c>
      <c r="O144" s="105">
        <v>0</v>
      </c>
      <c r="P144" s="105">
        <v>0</v>
      </c>
      <c r="Q144" s="105">
        <v>0</v>
      </c>
      <c r="R144" s="105">
        <v>0</v>
      </c>
      <c r="S144" s="105">
        <v>0</v>
      </c>
      <c r="T144" s="105">
        <v>0</v>
      </c>
      <c r="U144" s="105">
        <v>0</v>
      </c>
      <c r="V144" s="105">
        <v>0</v>
      </c>
      <c r="W144" s="105">
        <v>0</v>
      </c>
      <c r="X144" s="105">
        <v>0</v>
      </c>
      <c r="Y144" s="105">
        <v>0</v>
      </c>
      <c r="Z144" s="105">
        <v>0</v>
      </c>
      <c r="AA144" s="105">
        <v>0</v>
      </c>
      <c r="AB144" s="105">
        <v>0</v>
      </c>
      <c r="AC144" s="105">
        <v>0</v>
      </c>
      <c r="AD144" s="105">
        <v>0</v>
      </c>
      <c r="AE144" s="105">
        <v>0</v>
      </c>
      <c r="AF144" s="105">
        <v>0</v>
      </c>
      <c r="AG144" s="105">
        <v>0</v>
      </c>
      <c r="AH144" s="105">
        <v>0</v>
      </c>
      <c r="AI144" s="105">
        <v>0</v>
      </c>
      <c r="AJ144" s="105">
        <v>0</v>
      </c>
      <c r="AK144" s="105">
        <v>0</v>
      </c>
      <c r="AL144" s="105">
        <v>0</v>
      </c>
      <c r="AM144" s="105">
        <v>0</v>
      </c>
      <c r="AN144" s="105">
        <v>0</v>
      </c>
      <c r="AO144" s="105">
        <v>0</v>
      </c>
      <c r="AP144" s="105">
        <v>0</v>
      </c>
      <c r="AQ144" s="105">
        <v>0</v>
      </c>
      <c r="AR144" s="105">
        <v>0</v>
      </c>
      <c r="AS144" s="105">
        <v>0</v>
      </c>
      <c r="AT144" s="105">
        <v>0</v>
      </c>
      <c r="AU144" s="105">
        <v>0</v>
      </c>
      <c r="AV144" s="105">
        <v>0</v>
      </c>
      <c r="AW144" s="105">
        <v>0</v>
      </c>
      <c r="AX144" s="105">
        <v>0</v>
      </c>
      <c r="AY144" s="105">
        <v>0</v>
      </c>
    </row>
    <row r="145" spans="1:51">
      <c r="A145" s="108"/>
      <c r="B145" s="119">
        <v>24</v>
      </c>
      <c r="C145" s="105"/>
      <c r="D145" s="105">
        <v>0</v>
      </c>
      <c r="E145" s="105">
        <v>0</v>
      </c>
      <c r="F145" s="105">
        <v>0</v>
      </c>
      <c r="G145" s="105">
        <v>0</v>
      </c>
      <c r="H145" s="105">
        <v>0</v>
      </c>
      <c r="I145" s="105">
        <v>0</v>
      </c>
      <c r="J145" s="105">
        <v>0</v>
      </c>
      <c r="K145" s="105">
        <v>0</v>
      </c>
      <c r="L145" s="105">
        <v>0</v>
      </c>
      <c r="M145" s="105">
        <v>0</v>
      </c>
      <c r="N145" s="105">
        <v>0</v>
      </c>
      <c r="O145" s="105">
        <v>0</v>
      </c>
      <c r="P145" s="105">
        <v>0</v>
      </c>
      <c r="Q145" s="105">
        <v>0</v>
      </c>
      <c r="R145" s="105">
        <v>0</v>
      </c>
      <c r="S145" s="105">
        <v>0</v>
      </c>
      <c r="T145" s="105">
        <v>0</v>
      </c>
      <c r="U145" s="105">
        <v>0</v>
      </c>
      <c r="V145" s="105">
        <v>0</v>
      </c>
      <c r="W145" s="105">
        <v>0</v>
      </c>
      <c r="X145" s="105">
        <v>0</v>
      </c>
      <c r="Y145" s="105">
        <v>0</v>
      </c>
      <c r="Z145" s="105">
        <v>0</v>
      </c>
      <c r="AA145" s="105">
        <v>0</v>
      </c>
      <c r="AB145" s="105">
        <v>0</v>
      </c>
      <c r="AC145" s="105">
        <v>0</v>
      </c>
      <c r="AD145" s="105">
        <v>0</v>
      </c>
      <c r="AE145" s="105">
        <v>0</v>
      </c>
      <c r="AF145" s="105">
        <v>0</v>
      </c>
      <c r="AG145" s="105">
        <v>0</v>
      </c>
      <c r="AH145" s="105">
        <v>0</v>
      </c>
      <c r="AI145" s="105">
        <v>0</v>
      </c>
      <c r="AJ145" s="105">
        <v>0</v>
      </c>
      <c r="AK145" s="105">
        <v>0</v>
      </c>
      <c r="AL145" s="105">
        <v>0</v>
      </c>
      <c r="AM145" s="105">
        <v>0</v>
      </c>
      <c r="AN145" s="105">
        <v>0</v>
      </c>
      <c r="AO145" s="105">
        <v>0</v>
      </c>
      <c r="AP145" s="105">
        <v>0</v>
      </c>
      <c r="AQ145" s="105">
        <v>0</v>
      </c>
      <c r="AR145" s="105">
        <v>0</v>
      </c>
      <c r="AS145" s="105">
        <v>0</v>
      </c>
      <c r="AT145" s="105">
        <v>0</v>
      </c>
      <c r="AU145" s="105">
        <v>0</v>
      </c>
      <c r="AV145" s="105">
        <v>0</v>
      </c>
      <c r="AW145" s="105">
        <v>0</v>
      </c>
      <c r="AX145" s="105">
        <v>0</v>
      </c>
      <c r="AY145" s="105">
        <v>0</v>
      </c>
    </row>
    <row r="146" spans="1:51">
      <c r="A146" s="108"/>
      <c r="B146" s="126">
        <v>25</v>
      </c>
      <c r="C146" s="105"/>
      <c r="D146" s="105">
        <v>0</v>
      </c>
      <c r="E146" s="105">
        <v>0</v>
      </c>
      <c r="F146" s="105">
        <v>0</v>
      </c>
      <c r="G146" s="105">
        <v>0</v>
      </c>
      <c r="H146" s="105">
        <v>0</v>
      </c>
      <c r="I146" s="105">
        <v>0</v>
      </c>
      <c r="J146" s="105">
        <v>0</v>
      </c>
      <c r="K146" s="105">
        <v>0</v>
      </c>
      <c r="L146" s="105">
        <v>0</v>
      </c>
      <c r="M146" s="105">
        <v>0</v>
      </c>
      <c r="N146" s="105">
        <v>0</v>
      </c>
      <c r="O146" s="105">
        <v>0</v>
      </c>
      <c r="P146" s="105">
        <v>0</v>
      </c>
      <c r="Q146" s="105">
        <v>0</v>
      </c>
      <c r="R146" s="105">
        <v>0</v>
      </c>
      <c r="S146" s="105">
        <v>0</v>
      </c>
      <c r="T146" s="105">
        <v>0</v>
      </c>
      <c r="U146" s="105">
        <v>0</v>
      </c>
      <c r="V146" s="105">
        <v>0</v>
      </c>
      <c r="W146" s="105">
        <v>0</v>
      </c>
      <c r="X146" s="105">
        <v>0</v>
      </c>
      <c r="Y146" s="105">
        <v>0</v>
      </c>
      <c r="Z146" s="105">
        <v>0</v>
      </c>
      <c r="AA146" s="105">
        <v>0</v>
      </c>
      <c r="AB146" s="105">
        <v>0</v>
      </c>
      <c r="AC146" s="105">
        <v>0</v>
      </c>
      <c r="AD146" s="105">
        <v>0</v>
      </c>
      <c r="AE146" s="105">
        <v>0</v>
      </c>
      <c r="AF146" s="105">
        <v>0</v>
      </c>
      <c r="AG146" s="105">
        <v>0</v>
      </c>
      <c r="AH146" s="105">
        <v>0</v>
      </c>
      <c r="AI146" s="105">
        <v>0</v>
      </c>
      <c r="AJ146" s="105">
        <v>0</v>
      </c>
      <c r="AK146" s="105">
        <v>0</v>
      </c>
      <c r="AL146" s="105">
        <v>0</v>
      </c>
      <c r="AM146" s="105">
        <v>0</v>
      </c>
      <c r="AN146" s="105">
        <v>0</v>
      </c>
      <c r="AO146" s="105">
        <v>0</v>
      </c>
      <c r="AP146" s="105">
        <v>0</v>
      </c>
      <c r="AQ146" s="105">
        <v>0</v>
      </c>
      <c r="AR146" s="105">
        <v>0</v>
      </c>
      <c r="AS146" s="105">
        <v>0</v>
      </c>
      <c r="AT146" s="105">
        <v>0</v>
      </c>
      <c r="AU146" s="105">
        <v>0</v>
      </c>
      <c r="AV146" s="105">
        <v>0</v>
      </c>
      <c r="AW146" s="105">
        <v>0</v>
      </c>
      <c r="AX146" s="105">
        <v>0</v>
      </c>
      <c r="AY146" s="105">
        <v>0</v>
      </c>
    </row>
    <row r="147" spans="1:51">
      <c r="A147" s="108"/>
      <c r="B147" s="126">
        <v>26</v>
      </c>
      <c r="C147" s="105"/>
      <c r="D147" s="105">
        <v>0</v>
      </c>
      <c r="E147" s="105">
        <v>0</v>
      </c>
      <c r="F147" s="105">
        <v>0</v>
      </c>
      <c r="G147" s="105">
        <v>0</v>
      </c>
      <c r="H147" s="105">
        <v>0</v>
      </c>
      <c r="I147" s="105">
        <v>0</v>
      </c>
      <c r="J147" s="105">
        <v>0</v>
      </c>
      <c r="K147" s="105">
        <v>0</v>
      </c>
      <c r="L147" s="105">
        <v>0</v>
      </c>
      <c r="M147" s="105">
        <v>0</v>
      </c>
      <c r="N147" s="105">
        <v>0</v>
      </c>
      <c r="O147" s="105">
        <v>0</v>
      </c>
      <c r="P147" s="105">
        <v>0</v>
      </c>
      <c r="Q147" s="105">
        <v>0</v>
      </c>
      <c r="R147" s="105">
        <v>0</v>
      </c>
      <c r="S147" s="105">
        <v>0</v>
      </c>
      <c r="T147" s="105">
        <v>0</v>
      </c>
      <c r="U147" s="105">
        <v>0</v>
      </c>
      <c r="V147" s="105">
        <v>0</v>
      </c>
      <c r="W147" s="105">
        <v>0</v>
      </c>
      <c r="X147" s="105">
        <v>0</v>
      </c>
      <c r="Y147" s="105">
        <v>0</v>
      </c>
      <c r="Z147" s="105">
        <v>0</v>
      </c>
      <c r="AA147" s="105">
        <v>0</v>
      </c>
      <c r="AB147" s="105">
        <v>0</v>
      </c>
      <c r="AC147" s="105">
        <v>0</v>
      </c>
      <c r="AD147" s="105">
        <v>0</v>
      </c>
      <c r="AE147" s="105">
        <v>0</v>
      </c>
      <c r="AF147" s="105">
        <v>0</v>
      </c>
      <c r="AG147" s="105">
        <v>0</v>
      </c>
      <c r="AH147" s="105">
        <v>0</v>
      </c>
      <c r="AI147" s="105">
        <v>0</v>
      </c>
      <c r="AJ147" s="105">
        <v>0</v>
      </c>
      <c r="AK147" s="105">
        <v>0</v>
      </c>
      <c r="AL147" s="105">
        <v>0</v>
      </c>
      <c r="AM147" s="105">
        <v>0</v>
      </c>
      <c r="AN147" s="105">
        <v>0</v>
      </c>
      <c r="AO147" s="105">
        <v>0</v>
      </c>
      <c r="AP147" s="105">
        <v>0</v>
      </c>
      <c r="AQ147" s="105">
        <v>0</v>
      </c>
      <c r="AR147" s="105">
        <v>0</v>
      </c>
      <c r="AS147" s="105">
        <v>0</v>
      </c>
      <c r="AT147" s="105">
        <v>0</v>
      </c>
      <c r="AU147" s="105">
        <v>0</v>
      </c>
      <c r="AV147" s="105">
        <v>0</v>
      </c>
      <c r="AW147" s="105">
        <v>0</v>
      </c>
      <c r="AX147" s="105">
        <v>0</v>
      </c>
      <c r="AY147" s="105">
        <v>0</v>
      </c>
    </row>
    <row r="148" spans="1:51">
      <c r="A148" s="108"/>
      <c r="B148" s="126">
        <v>27</v>
      </c>
      <c r="C148" s="105"/>
      <c r="D148" s="105">
        <v>0</v>
      </c>
      <c r="E148" s="105">
        <v>0</v>
      </c>
      <c r="F148" s="105">
        <v>0</v>
      </c>
      <c r="G148" s="105">
        <v>0</v>
      </c>
      <c r="H148" s="105">
        <v>0</v>
      </c>
      <c r="I148" s="105">
        <v>0</v>
      </c>
      <c r="J148" s="105">
        <v>0</v>
      </c>
      <c r="K148" s="105">
        <v>0</v>
      </c>
      <c r="L148" s="105">
        <v>0</v>
      </c>
      <c r="M148" s="105">
        <v>0</v>
      </c>
      <c r="N148" s="105">
        <v>0</v>
      </c>
      <c r="O148" s="105">
        <v>0</v>
      </c>
      <c r="P148" s="105">
        <v>0</v>
      </c>
      <c r="Q148" s="105">
        <v>0</v>
      </c>
      <c r="R148" s="105">
        <v>0</v>
      </c>
      <c r="S148" s="105">
        <v>0</v>
      </c>
      <c r="T148" s="105">
        <v>0</v>
      </c>
      <c r="U148" s="105">
        <v>0</v>
      </c>
      <c r="V148" s="105">
        <v>0</v>
      </c>
      <c r="W148" s="105">
        <v>0</v>
      </c>
      <c r="X148" s="105">
        <v>0</v>
      </c>
      <c r="Y148" s="105">
        <v>0</v>
      </c>
      <c r="Z148" s="105">
        <v>0</v>
      </c>
      <c r="AA148" s="105">
        <v>0</v>
      </c>
      <c r="AB148" s="105">
        <v>0</v>
      </c>
      <c r="AC148" s="105">
        <v>0</v>
      </c>
      <c r="AD148" s="105">
        <v>0</v>
      </c>
      <c r="AE148" s="105">
        <v>0</v>
      </c>
      <c r="AF148" s="105">
        <v>0</v>
      </c>
      <c r="AG148" s="105">
        <v>0</v>
      </c>
      <c r="AH148" s="105">
        <v>0</v>
      </c>
      <c r="AI148" s="105">
        <v>0</v>
      </c>
      <c r="AJ148" s="105">
        <v>0</v>
      </c>
      <c r="AK148" s="105">
        <v>0</v>
      </c>
      <c r="AL148" s="105">
        <v>0</v>
      </c>
      <c r="AM148" s="105">
        <v>0</v>
      </c>
      <c r="AN148" s="105">
        <v>0</v>
      </c>
      <c r="AO148" s="105">
        <v>0</v>
      </c>
      <c r="AP148" s="105">
        <v>0</v>
      </c>
      <c r="AQ148" s="105">
        <v>0</v>
      </c>
      <c r="AR148" s="105">
        <v>0</v>
      </c>
      <c r="AS148" s="105">
        <v>0</v>
      </c>
      <c r="AT148" s="105">
        <v>0</v>
      </c>
      <c r="AU148" s="105">
        <v>0</v>
      </c>
      <c r="AV148" s="105">
        <v>0</v>
      </c>
      <c r="AW148" s="105">
        <v>0</v>
      </c>
      <c r="AX148" s="105">
        <v>0</v>
      </c>
      <c r="AY148" s="105">
        <v>0</v>
      </c>
    </row>
    <row r="149" spans="1:51">
      <c r="A149" s="108"/>
      <c r="B149" s="126">
        <v>28</v>
      </c>
      <c r="C149" s="105"/>
      <c r="D149" s="105">
        <v>0</v>
      </c>
      <c r="E149" s="105">
        <v>0</v>
      </c>
      <c r="F149" s="105">
        <v>0</v>
      </c>
      <c r="G149" s="105">
        <v>0</v>
      </c>
      <c r="H149" s="105">
        <v>0</v>
      </c>
      <c r="I149" s="105">
        <v>0</v>
      </c>
      <c r="J149" s="105">
        <v>0</v>
      </c>
      <c r="K149" s="105">
        <v>0</v>
      </c>
      <c r="L149" s="105">
        <v>0</v>
      </c>
      <c r="M149" s="105">
        <v>0</v>
      </c>
      <c r="N149" s="105">
        <v>0</v>
      </c>
      <c r="O149" s="105">
        <v>0</v>
      </c>
      <c r="P149" s="105">
        <v>0</v>
      </c>
      <c r="Q149" s="105">
        <v>0</v>
      </c>
      <c r="R149" s="105">
        <v>0</v>
      </c>
      <c r="S149" s="105">
        <v>0</v>
      </c>
      <c r="T149" s="105">
        <v>0</v>
      </c>
      <c r="U149" s="105">
        <v>0</v>
      </c>
      <c r="V149" s="105">
        <v>0</v>
      </c>
      <c r="W149" s="105">
        <v>0</v>
      </c>
      <c r="X149" s="105">
        <v>0</v>
      </c>
      <c r="Y149" s="105">
        <v>0</v>
      </c>
      <c r="Z149" s="105">
        <v>0</v>
      </c>
      <c r="AA149" s="105">
        <v>0</v>
      </c>
      <c r="AB149" s="105">
        <v>0</v>
      </c>
      <c r="AC149" s="105">
        <v>0</v>
      </c>
      <c r="AD149" s="105">
        <v>0</v>
      </c>
      <c r="AE149" s="105">
        <v>0</v>
      </c>
      <c r="AF149" s="105">
        <v>0</v>
      </c>
      <c r="AG149" s="105">
        <v>0</v>
      </c>
      <c r="AH149" s="105">
        <v>0</v>
      </c>
      <c r="AI149" s="105">
        <v>0</v>
      </c>
      <c r="AJ149" s="105">
        <v>0</v>
      </c>
      <c r="AK149" s="105">
        <v>0</v>
      </c>
      <c r="AL149" s="105">
        <v>0</v>
      </c>
      <c r="AM149" s="105">
        <v>0</v>
      </c>
      <c r="AN149" s="105">
        <v>0</v>
      </c>
      <c r="AO149" s="105">
        <v>0</v>
      </c>
      <c r="AP149" s="105">
        <v>0</v>
      </c>
      <c r="AQ149" s="105">
        <v>0</v>
      </c>
      <c r="AR149" s="105">
        <v>0</v>
      </c>
      <c r="AS149" s="105">
        <v>0</v>
      </c>
      <c r="AT149" s="105">
        <v>0</v>
      </c>
      <c r="AU149" s="105">
        <v>0</v>
      </c>
      <c r="AV149" s="105">
        <v>0</v>
      </c>
      <c r="AW149" s="105">
        <v>0</v>
      </c>
      <c r="AX149" s="105">
        <v>0</v>
      </c>
      <c r="AY149" s="105">
        <v>0</v>
      </c>
    </row>
    <row r="150" spans="1:51">
      <c r="A150" s="108"/>
      <c r="B150" s="126">
        <v>29</v>
      </c>
      <c r="C150" s="105"/>
      <c r="D150" s="105">
        <v>0</v>
      </c>
      <c r="E150" s="105">
        <v>0</v>
      </c>
      <c r="F150" s="105">
        <v>0</v>
      </c>
      <c r="G150" s="105">
        <v>0</v>
      </c>
      <c r="H150" s="105">
        <v>0</v>
      </c>
      <c r="I150" s="105">
        <v>0</v>
      </c>
      <c r="J150" s="105">
        <v>0</v>
      </c>
      <c r="K150" s="105">
        <v>0</v>
      </c>
      <c r="L150" s="105">
        <v>0</v>
      </c>
      <c r="M150" s="105">
        <v>0</v>
      </c>
      <c r="N150" s="105">
        <v>0</v>
      </c>
      <c r="O150" s="105">
        <v>0</v>
      </c>
      <c r="P150" s="105">
        <v>0</v>
      </c>
      <c r="Q150" s="105">
        <v>0</v>
      </c>
      <c r="R150" s="105">
        <v>0</v>
      </c>
      <c r="S150" s="105">
        <v>0</v>
      </c>
      <c r="T150" s="105">
        <v>0</v>
      </c>
      <c r="U150" s="105">
        <v>0</v>
      </c>
      <c r="V150" s="105">
        <v>0</v>
      </c>
      <c r="W150" s="105">
        <v>0</v>
      </c>
      <c r="X150" s="105">
        <v>0</v>
      </c>
      <c r="Y150" s="105">
        <v>0</v>
      </c>
      <c r="Z150" s="105">
        <v>0</v>
      </c>
      <c r="AA150" s="105">
        <v>0</v>
      </c>
      <c r="AB150" s="105">
        <v>0</v>
      </c>
      <c r="AC150" s="105">
        <v>0</v>
      </c>
      <c r="AD150" s="105">
        <v>0</v>
      </c>
      <c r="AE150" s="105">
        <v>0</v>
      </c>
      <c r="AF150" s="105">
        <v>0</v>
      </c>
      <c r="AG150" s="105">
        <v>0</v>
      </c>
      <c r="AH150" s="105">
        <v>0</v>
      </c>
      <c r="AI150" s="105">
        <v>0</v>
      </c>
      <c r="AJ150" s="105">
        <v>0</v>
      </c>
      <c r="AK150" s="105">
        <v>0</v>
      </c>
      <c r="AL150" s="105">
        <v>0</v>
      </c>
      <c r="AM150" s="105">
        <v>0</v>
      </c>
      <c r="AN150" s="105">
        <v>0</v>
      </c>
      <c r="AO150" s="105">
        <v>0</v>
      </c>
      <c r="AP150" s="105">
        <v>0</v>
      </c>
      <c r="AQ150" s="105">
        <v>0</v>
      </c>
      <c r="AR150" s="105">
        <v>0</v>
      </c>
      <c r="AS150" s="105">
        <v>0</v>
      </c>
      <c r="AT150" s="105">
        <v>0</v>
      </c>
      <c r="AU150" s="105">
        <v>0</v>
      </c>
      <c r="AV150" s="105">
        <v>0</v>
      </c>
      <c r="AW150" s="105">
        <v>0</v>
      </c>
      <c r="AX150" s="105">
        <v>0</v>
      </c>
      <c r="AY150" s="105">
        <v>0</v>
      </c>
    </row>
    <row r="151" spans="1:51">
      <c r="A151" s="108"/>
      <c r="B151" s="126">
        <v>30</v>
      </c>
      <c r="C151" s="105"/>
      <c r="D151" s="105">
        <v>0</v>
      </c>
      <c r="E151" s="105">
        <v>0</v>
      </c>
      <c r="F151" s="105">
        <v>0</v>
      </c>
      <c r="G151" s="105">
        <v>0</v>
      </c>
      <c r="H151" s="105">
        <v>0</v>
      </c>
      <c r="I151" s="105">
        <v>0</v>
      </c>
      <c r="J151" s="105">
        <v>0</v>
      </c>
      <c r="K151" s="105">
        <v>0</v>
      </c>
      <c r="L151" s="105">
        <v>0</v>
      </c>
      <c r="M151" s="105">
        <v>0</v>
      </c>
      <c r="N151" s="105">
        <v>0</v>
      </c>
      <c r="O151" s="105">
        <v>0</v>
      </c>
      <c r="P151" s="105">
        <v>0</v>
      </c>
      <c r="Q151" s="105">
        <v>0</v>
      </c>
      <c r="R151" s="105">
        <v>0</v>
      </c>
      <c r="S151" s="105">
        <v>0</v>
      </c>
      <c r="T151" s="105">
        <v>0</v>
      </c>
      <c r="U151" s="105">
        <v>0</v>
      </c>
      <c r="V151" s="105">
        <v>0</v>
      </c>
      <c r="W151" s="105">
        <v>0</v>
      </c>
      <c r="X151" s="105">
        <v>0</v>
      </c>
      <c r="Y151" s="105">
        <v>0</v>
      </c>
      <c r="Z151" s="105">
        <v>0</v>
      </c>
      <c r="AA151" s="105">
        <v>0</v>
      </c>
      <c r="AB151" s="105">
        <v>0</v>
      </c>
      <c r="AC151" s="105">
        <v>0</v>
      </c>
      <c r="AD151" s="105">
        <v>0</v>
      </c>
      <c r="AE151" s="105">
        <v>0</v>
      </c>
      <c r="AF151" s="105">
        <v>0</v>
      </c>
      <c r="AG151" s="105">
        <v>0</v>
      </c>
      <c r="AH151" s="105">
        <v>0</v>
      </c>
      <c r="AI151" s="105">
        <v>0</v>
      </c>
      <c r="AJ151" s="105">
        <v>0</v>
      </c>
      <c r="AK151" s="105">
        <v>0</v>
      </c>
      <c r="AL151" s="105">
        <v>0</v>
      </c>
      <c r="AM151" s="105">
        <v>0</v>
      </c>
      <c r="AN151" s="105">
        <v>0</v>
      </c>
      <c r="AO151" s="105">
        <v>0</v>
      </c>
      <c r="AP151" s="105">
        <v>0</v>
      </c>
      <c r="AQ151" s="105">
        <v>0</v>
      </c>
      <c r="AR151" s="105">
        <v>0</v>
      </c>
      <c r="AS151" s="105">
        <v>0</v>
      </c>
      <c r="AT151" s="105">
        <v>0</v>
      </c>
      <c r="AU151" s="105">
        <v>0</v>
      </c>
      <c r="AV151" s="105">
        <v>0</v>
      </c>
      <c r="AW151" s="105">
        <v>0</v>
      </c>
      <c r="AX151" s="105">
        <v>0</v>
      </c>
      <c r="AY151" s="105">
        <v>0</v>
      </c>
    </row>
    <row r="152" spans="1:51">
      <c r="A152" s="108"/>
      <c r="B152" s="126">
        <v>31</v>
      </c>
      <c r="C152" s="105"/>
      <c r="D152" s="105">
        <v>0</v>
      </c>
      <c r="E152" s="105">
        <v>0</v>
      </c>
      <c r="F152" s="105">
        <v>0</v>
      </c>
      <c r="G152" s="105">
        <v>0</v>
      </c>
      <c r="H152" s="105">
        <v>0</v>
      </c>
      <c r="I152" s="105">
        <v>0</v>
      </c>
      <c r="J152" s="105">
        <v>0</v>
      </c>
      <c r="K152" s="105">
        <v>0</v>
      </c>
      <c r="L152" s="105">
        <v>0</v>
      </c>
      <c r="M152" s="105">
        <v>0</v>
      </c>
      <c r="N152" s="105">
        <v>0</v>
      </c>
      <c r="O152" s="105">
        <v>0</v>
      </c>
      <c r="P152" s="105">
        <v>0</v>
      </c>
      <c r="Q152" s="105">
        <v>0</v>
      </c>
      <c r="R152" s="105">
        <v>0</v>
      </c>
      <c r="S152" s="105">
        <v>0</v>
      </c>
      <c r="T152" s="105">
        <v>0</v>
      </c>
      <c r="U152" s="105">
        <v>0</v>
      </c>
      <c r="V152" s="105">
        <v>0</v>
      </c>
      <c r="W152" s="105">
        <v>0</v>
      </c>
      <c r="X152" s="105">
        <v>0</v>
      </c>
      <c r="Y152" s="105">
        <v>0</v>
      </c>
      <c r="Z152" s="105">
        <v>0</v>
      </c>
      <c r="AA152" s="105">
        <v>0</v>
      </c>
      <c r="AB152" s="105">
        <v>0</v>
      </c>
      <c r="AC152" s="105">
        <v>0</v>
      </c>
      <c r="AD152" s="105">
        <v>0</v>
      </c>
      <c r="AE152" s="105">
        <v>0</v>
      </c>
      <c r="AF152" s="105">
        <v>0</v>
      </c>
      <c r="AG152" s="105">
        <v>0</v>
      </c>
      <c r="AH152" s="105">
        <v>0</v>
      </c>
      <c r="AI152" s="105">
        <v>0</v>
      </c>
      <c r="AJ152" s="105">
        <v>0</v>
      </c>
      <c r="AK152" s="105">
        <v>0</v>
      </c>
      <c r="AL152" s="105">
        <v>0</v>
      </c>
      <c r="AM152" s="105">
        <v>0</v>
      </c>
      <c r="AN152" s="105">
        <v>0</v>
      </c>
      <c r="AO152" s="105">
        <v>0</v>
      </c>
      <c r="AP152" s="105">
        <v>0</v>
      </c>
      <c r="AQ152" s="105">
        <v>0</v>
      </c>
      <c r="AR152" s="105">
        <v>0</v>
      </c>
      <c r="AS152" s="105">
        <v>0</v>
      </c>
      <c r="AT152" s="105">
        <v>0</v>
      </c>
      <c r="AU152" s="105">
        <v>0</v>
      </c>
      <c r="AV152" s="105">
        <v>0</v>
      </c>
      <c r="AW152" s="105">
        <v>0</v>
      </c>
      <c r="AX152" s="105">
        <v>0</v>
      </c>
      <c r="AY152" s="105">
        <v>0</v>
      </c>
    </row>
    <row r="153" spans="1:51">
      <c r="A153" s="108"/>
      <c r="B153" s="126">
        <v>32</v>
      </c>
      <c r="C153" s="105"/>
      <c r="D153" s="105">
        <v>0</v>
      </c>
      <c r="E153" s="105">
        <v>0</v>
      </c>
      <c r="F153" s="105">
        <v>0</v>
      </c>
      <c r="G153" s="105">
        <v>0</v>
      </c>
      <c r="H153" s="105">
        <v>0</v>
      </c>
      <c r="I153" s="105">
        <v>0</v>
      </c>
      <c r="J153" s="105">
        <v>0</v>
      </c>
      <c r="K153" s="105">
        <v>0</v>
      </c>
      <c r="L153" s="105">
        <v>0</v>
      </c>
      <c r="M153" s="105">
        <v>0</v>
      </c>
      <c r="N153" s="105">
        <v>0</v>
      </c>
      <c r="O153" s="105">
        <v>0</v>
      </c>
      <c r="P153" s="105">
        <v>0</v>
      </c>
      <c r="Q153" s="105">
        <v>0</v>
      </c>
      <c r="R153" s="105">
        <v>0</v>
      </c>
      <c r="S153" s="105">
        <v>0</v>
      </c>
      <c r="T153" s="105">
        <v>0</v>
      </c>
      <c r="U153" s="105">
        <v>0</v>
      </c>
      <c r="V153" s="105">
        <v>0</v>
      </c>
      <c r="W153" s="105">
        <v>0</v>
      </c>
      <c r="X153" s="105">
        <v>0</v>
      </c>
      <c r="Y153" s="105">
        <v>0</v>
      </c>
      <c r="Z153" s="105">
        <v>0</v>
      </c>
      <c r="AA153" s="105">
        <v>0</v>
      </c>
      <c r="AB153" s="105">
        <v>0</v>
      </c>
      <c r="AC153" s="105">
        <v>0</v>
      </c>
      <c r="AD153" s="105">
        <v>0</v>
      </c>
      <c r="AE153" s="105">
        <v>0</v>
      </c>
      <c r="AF153" s="105">
        <v>0</v>
      </c>
      <c r="AG153" s="105">
        <v>0</v>
      </c>
      <c r="AH153" s="105">
        <v>0</v>
      </c>
      <c r="AI153" s="105">
        <v>0</v>
      </c>
      <c r="AJ153" s="105">
        <v>0</v>
      </c>
      <c r="AK153" s="105">
        <v>0</v>
      </c>
      <c r="AL153" s="105">
        <v>0</v>
      </c>
      <c r="AM153" s="105">
        <v>0</v>
      </c>
      <c r="AN153" s="105">
        <v>0</v>
      </c>
      <c r="AO153" s="105">
        <v>0</v>
      </c>
      <c r="AP153" s="105">
        <v>0</v>
      </c>
      <c r="AQ153" s="105">
        <v>0</v>
      </c>
      <c r="AR153" s="105">
        <v>0</v>
      </c>
      <c r="AS153" s="105">
        <v>0</v>
      </c>
      <c r="AT153" s="105">
        <v>0</v>
      </c>
      <c r="AU153" s="105">
        <v>0</v>
      </c>
      <c r="AV153" s="105">
        <v>0</v>
      </c>
      <c r="AW153" s="105">
        <v>0</v>
      </c>
      <c r="AX153" s="105">
        <v>0</v>
      </c>
      <c r="AY153" s="105">
        <v>0</v>
      </c>
    </row>
    <row r="154" spans="1:51">
      <c r="A154" s="108"/>
      <c r="B154" s="126">
        <v>33</v>
      </c>
      <c r="C154" s="105"/>
      <c r="D154" s="105">
        <v>0</v>
      </c>
      <c r="E154" s="105">
        <v>0</v>
      </c>
      <c r="F154" s="105">
        <v>0</v>
      </c>
      <c r="G154" s="105">
        <v>0</v>
      </c>
      <c r="H154" s="105">
        <v>0</v>
      </c>
      <c r="I154" s="105">
        <v>0</v>
      </c>
      <c r="J154" s="105">
        <v>0</v>
      </c>
      <c r="K154" s="105">
        <v>0</v>
      </c>
      <c r="L154" s="105">
        <v>0</v>
      </c>
      <c r="M154" s="105">
        <v>0</v>
      </c>
      <c r="N154" s="105">
        <v>0</v>
      </c>
      <c r="O154" s="105">
        <v>0</v>
      </c>
      <c r="P154" s="105">
        <v>0</v>
      </c>
      <c r="Q154" s="105">
        <v>0</v>
      </c>
      <c r="R154" s="105">
        <v>0</v>
      </c>
      <c r="S154" s="105">
        <v>0</v>
      </c>
      <c r="T154" s="105">
        <v>0</v>
      </c>
      <c r="U154" s="105">
        <v>0</v>
      </c>
      <c r="V154" s="105">
        <v>0</v>
      </c>
      <c r="W154" s="105">
        <v>0</v>
      </c>
      <c r="X154" s="105">
        <v>0</v>
      </c>
      <c r="Y154" s="105">
        <v>0</v>
      </c>
      <c r="Z154" s="105">
        <v>0</v>
      </c>
      <c r="AA154" s="105">
        <v>0</v>
      </c>
      <c r="AB154" s="105">
        <v>0</v>
      </c>
      <c r="AC154" s="105">
        <v>0</v>
      </c>
      <c r="AD154" s="105">
        <v>0</v>
      </c>
      <c r="AE154" s="105">
        <v>0</v>
      </c>
      <c r="AF154" s="105">
        <v>0</v>
      </c>
      <c r="AG154" s="105">
        <v>0</v>
      </c>
      <c r="AH154" s="105">
        <v>0</v>
      </c>
      <c r="AI154" s="105">
        <v>0</v>
      </c>
      <c r="AJ154" s="105">
        <v>0</v>
      </c>
      <c r="AK154" s="105">
        <v>0</v>
      </c>
      <c r="AL154" s="105">
        <v>0</v>
      </c>
      <c r="AM154" s="105">
        <v>0</v>
      </c>
      <c r="AN154" s="105">
        <v>0</v>
      </c>
      <c r="AO154" s="105">
        <v>0</v>
      </c>
      <c r="AP154" s="105">
        <v>0</v>
      </c>
      <c r="AQ154" s="105">
        <v>0</v>
      </c>
      <c r="AR154" s="105">
        <v>0</v>
      </c>
      <c r="AS154" s="105">
        <v>0</v>
      </c>
      <c r="AT154" s="105">
        <v>0</v>
      </c>
      <c r="AU154" s="105">
        <v>0</v>
      </c>
      <c r="AV154" s="105">
        <v>0</v>
      </c>
      <c r="AW154" s="105">
        <v>0</v>
      </c>
      <c r="AX154" s="105">
        <v>0</v>
      </c>
      <c r="AY154" s="105">
        <v>0</v>
      </c>
    </row>
    <row r="155" spans="1:51">
      <c r="A155" s="108"/>
      <c r="B155" s="126">
        <v>34</v>
      </c>
      <c r="C155" s="105"/>
      <c r="D155" s="105">
        <v>0</v>
      </c>
      <c r="E155" s="105">
        <v>0</v>
      </c>
      <c r="F155" s="105">
        <v>0</v>
      </c>
      <c r="G155" s="105">
        <v>0</v>
      </c>
      <c r="H155" s="105">
        <v>0</v>
      </c>
      <c r="I155" s="105">
        <v>0</v>
      </c>
      <c r="J155" s="105">
        <v>0</v>
      </c>
      <c r="K155" s="105">
        <v>0</v>
      </c>
      <c r="L155" s="105">
        <v>0</v>
      </c>
      <c r="M155" s="105">
        <v>0</v>
      </c>
      <c r="N155" s="105">
        <v>0</v>
      </c>
      <c r="O155" s="105">
        <v>0</v>
      </c>
      <c r="P155" s="105">
        <v>0</v>
      </c>
      <c r="Q155" s="105">
        <v>0</v>
      </c>
      <c r="R155" s="105">
        <v>0</v>
      </c>
      <c r="S155" s="105">
        <v>0</v>
      </c>
      <c r="T155" s="105">
        <v>0</v>
      </c>
      <c r="U155" s="105">
        <v>0</v>
      </c>
      <c r="V155" s="105">
        <v>0</v>
      </c>
      <c r="W155" s="105">
        <v>0</v>
      </c>
      <c r="X155" s="105">
        <v>0</v>
      </c>
      <c r="Y155" s="105">
        <v>0</v>
      </c>
      <c r="Z155" s="105">
        <v>0</v>
      </c>
      <c r="AA155" s="105">
        <v>0</v>
      </c>
      <c r="AB155" s="105">
        <v>0</v>
      </c>
      <c r="AC155" s="105">
        <v>0</v>
      </c>
      <c r="AD155" s="105">
        <v>0</v>
      </c>
      <c r="AE155" s="105">
        <v>0</v>
      </c>
      <c r="AF155" s="105">
        <v>0</v>
      </c>
      <c r="AG155" s="105">
        <v>0</v>
      </c>
      <c r="AH155" s="105">
        <v>0</v>
      </c>
      <c r="AI155" s="105">
        <v>0</v>
      </c>
      <c r="AJ155" s="105">
        <v>0</v>
      </c>
      <c r="AK155" s="105">
        <v>0</v>
      </c>
      <c r="AL155" s="105">
        <v>0</v>
      </c>
      <c r="AM155" s="105">
        <v>0</v>
      </c>
      <c r="AN155" s="105">
        <v>0</v>
      </c>
      <c r="AO155" s="105">
        <v>0</v>
      </c>
      <c r="AP155" s="105">
        <v>0</v>
      </c>
      <c r="AQ155" s="105">
        <v>0</v>
      </c>
      <c r="AR155" s="105">
        <v>0</v>
      </c>
      <c r="AS155" s="105">
        <v>0</v>
      </c>
      <c r="AT155" s="105">
        <v>0</v>
      </c>
      <c r="AU155" s="105">
        <v>0</v>
      </c>
      <c r="AV155" s="105">
        <v>0</v>
      </c>
      <c r="AW155" s="105">
        <v>0</v>
      </c>
      <c r="AX155" s="105">
        <v>0</v>
      </c>
      <c r="AY155" s="105">
        <v>0</v>
      </c>
    </row>
    <row r="156" spans="1:51">
      <c r="A156" s="108"/>
      <c r="B156" s="126">
        <v>35</v>
      </c>
      <c r="C156" s="105"/>
      <c r="D156" s="105">
        <v>0</v>
      </c>
      <c r="E156" s="105">
        <v>0</v>
      </c>
      <c r="F156" s="105">
        <v>0</v>
      </c>
      <c r="G156" s="105">
        <v>0</v>
      </c>
      <c r="H156" s="105">
        <v>0</v>
      </c>
      <c r="I156" s="105">
        <v>0</v>
      </c>
      <c r="J156" s="105">
        <v>0</v>
      </c>
      <c r="K156" s="105">
        <v>0</v>
      </c>
      <c r="L156" s="105">
        <v>0</v>
      </c>
      <c r="M156" s="105">
        <v>0</v>
      </c>
      <c r="N156" s="105">
        <v>0</v>
      </c>
      <c r="O156" s="105">
        <v>0</v>
      </c>
      <c r="P156" s="105">
        <v>0</v>
      </c>
      <c r="Q156" s="105">
        <v>0</v>
      </c>
      <c r="R156" s="105">
        <v>0</v>
      </c>
      <c r="S156" s="105">
        <v>0</v>
      </c>
      <c r="T156" s="105">
        <v>0</v>
      </c>
      <c r="U156" s="105">
        <v>0</v>
      </c>
      <c r="V156" s="105">
        <v>0</v>
      </c>
      <c r="W156" s="105">
        <v>0</v>
      </c>
      <c r="X156" s="105">
        <v>0</v>
      </c>
      <c r="Y156" s="105">
        <v>0</v>
      </c>
      <c r="Z156" s="105">
        <v>0</v>
      </c>
      <c r="AA156" s="105">
        <v>0</v>
      </c>
      <c r="AB156" s="105">
        <v>0</v>
      </c>
      <c r="AC156" s="105">
        <v>0</v>
      </c>
      <c r="AD156" s="105">
        <v>0</v>
      </c>
      <c r="AE156" s="105">
        <v>0</v>
      </c>
      <c r="AF156" s="105">
        <v>0</v>
      </c>
      <c r="AG156" s="105">
        <v>0</v>
      </c>
      <c r="AH156" s="105">
        <v>0</v>
      </c>
      <c r="AI156" s="105">
        <v>0</v>
      </c>
      <c r="AJ156" s="105">
        <v>0</v>
      </c>
      <c r="AK156" s="105">
        <v>0</v>
      </c>
      <c r="AL156" s="105">
        <v>0</v>
      </c>
      <c r="AM156" s="105">
        <v>0</v>
      </c>
      <c r="AN156" s="105">
        <v>0</v>
      </c>
      <c r="AO156" s="105">
        <v>0</v>
      </c>
      <c r="AP156" s="105">
        <v>0</v>
      </c>
      <c r="AQ156" s="105">
        <v>0</v>
      </c>
      <c r="AR156" s="105">
        <v>0</v>
      </c>
      <c r="AS156" s="105">
        <v>0</v>
      </c>
      <c r="AT156" s="105">
        <v>0</v>
      </c>
      <c r="AU156" s="105">
        <v>0</v>
      </c>
      <c r="AV156" s="105">
        <v>0</v>
      </c>
      <c r="AW156" s="105">
        <v>0</v>
      </c>
      <c r="AX156" s="105">
        <v>0</v>
      </c>
      <c r="AY156" s="105">
        <v>0</v>
      </c>
    </row>
    <row r="157" spans="1:51">
      <c r="A157" s="108"/>
      <c r="B157" s="126">
        <v>36</v>
      </c>
      <c r="C157" s="105"/>
      <c r="D157" s="105">
        <v>0</v>
      </c>
      <c r="E157" s="105">
        <v>0</v>
      </c>
      <c r="F157" s="105">
        <v>0</v>
      </c>
      <c r="G157" s="105">
        <v>0</v>
      </c>
      <c r="H157" s="105">
        <v>0</v>
      </c>
      <c r="I157" s="105">
        <v>0</v>
      </c>
      <c r="J157" s="105">
        <v>0</v>
      </c>
      <c r="K157" s="105">
        <v>0</v>
      </c>
      <c r="L157" s="105">
        <v>0</v>
      </c>
      <c r="M157" s="105">
        <v>0</v>
      </c>
      <c r="N157" s="105">
        <v>0</v>
      </c>
      <c r="O157" s="105">
        <v>0</v>
      </c>
      <c r="P157" s="105">
        <v>0</v>
      </c>
      <c r="Q157" s="105">
        <v>0</v>
      </c>
      <c r="R157" s="105">
        <v>0</v>
      </c>
      <c r="S157" s="105">
        <v>0</v>
      </c>
      <c r="T157" s="105">
        <v>0</v>
      </c>
      <c r="U157" s="105">
        <v>0</v>
      </c>
      <c r="V157" s="105">
        <v>0</v>
      </c>
      <c r="W157" s="105">
        <v>0</v>
      </c>
      <c r="X157" s="105">
        <v>0</v>
      </c>
      <c r="Y157" s="105">
        <v>0</v>
      </c>
      <c r="Z157" s="105">
        <v>0</v>
      </c>
      <c r="AA157" s="105">
        <v>0</v>
      </c>
      <c r="AB157" s="105">
        <v>0</v>
      </c>
      <c r="AC157" s="105">
        <v>0</v>
      </c>
      <c r="AD157" s="105">
        <v>0</v>
      </c>
      <c r="AE157" s="105">
        <v>0</v>
      </c>
      <c r="AF157" s="105">
        <v>0</v>
      </c>
      <c r="AG157" s="105">
        <v>0</v>
      </c>
      <c r="AH157" s="105">
        <v>0</v>
      </c>
      <c r="AI157" s="105">
        <v>0</v>
      </c>
      <c r="AJ157" s="105">
        <v>0</v>
      </c>
      <c r="AK157" s="105">
        <v>0</v>
      </c>
      <c r="AL157" s="105">
        <v>0</v>
      </c>
      <c r="AM157" s="105">
        <v>0</v>
      </c>
      <c r="AN157" s="105">
        <v>0</v>
      </c>
      <c r="AO157" s="105">
        <v>0</v>
      </c>
      <c r="AP157" s="105">
        <v>0</v>
      </c>
      <c r="AQ157" s="105">
        <v>0</v>
      </c>
      <c r="AR157" s="105">
        <v>0</v>
      </c>
      <c r="AS157" s="105">
        <v>0</v>
      </c>
      <c r="AT157" s="105">
        <v>0</v>
      </c>
      <c r="AU157" s="105">
        <v>0</v>
      </c>
      <c r="AV157" s="105">
        <v>0</v>
      </c>
      <c r="AW157" s="105">
        <v>0</v>
      </c>
      <c r="AX157" s="105">
        <v>0</v>
      </c>
      <c r="AY157" s="105">
        <v>0</v>
      </c>
    </row>
    <row r="158" spans="1:51">
      <c r="A158" s="108"/>
      <c r="B158" s="129">
        <v>37</v>
      </c>
      <c r="C158" s="105"/>
      <c r="D158" s="105">
        <v>0</v>
      </c>
      <c r="E158" s="105">
        <v>0</v>
      </c>
      <c r="F158" s="105">
        <v>0</v>
      </c>
      <c r="G158" s="105">
        <v>0</v>
      </c>
      <c r="H158" s="105">
        <v>0</v>
      </c>
      <c r="I158" s="105">
        <v>0</v>
      </c>
      <c r="J158" s="105">
        <v>0</v>
      </c>
      <c r="K158" s="105">
        <v>0</v>
      </c>
      <c r="L158" s="105">
        <v>0</v>
      </c>
      <c r="M158" s="105">
        <v>0</v>
      </c>
      <c r="N158" s="105">
        <v>0</v>
      </c>
      <c r="O158" s="105">
        <v>0</v>
      </c>
      <c r="P158" s="105">
        <v>0</v>
      </c>
      <c r="Q158" s="105">
        <v>0</v>
      </c>
      <c r="R158" s="105">
        <v>0</v>
      </c>
      <c r="S158" s="105">
        <v>0</v>
      </c>
      <c r="T158" s="105">
        <v>0</v>
      </c>
      <c r="U158" s="105">
        <v>0</v>
      </c>
      <c r="V158" s="105">
        <v>0</v>
      </c>
      <c r="W158" s="105">
        <v>0</v>
      </c>
      <c r="X158" s="105">
        <v>0</v>
      </c>
      <c r="Y158" s="105">
        <v>0</v>
      </c>
      <c r="Z158" s="105">
        <v>0</v>
      </c>
      <c r="AA158" s="105">
        <v>0</v>
      </c>
      <c r="AB158" s="105">
        <v>0</v>
      </c>
      <c r="AC158" s="105">
        <v>0</v>
      </c>
      <c r="AD158" s="105">
        <v>0</v>
      </c>
      <c r="AE158" s="105">
        <v>0</v>
      </c>
      <c r="AF158" s="105">
        <v>0</v>
      </c>
      <c r="AG158" s="105">
        <v>0</v>
      </c>
      <c r="AH158" s="105">
        <v>0</v>
      </c>
      <c r="AI158" s="105">
        <v>0</v>
      </c>
      <c r="AJ158" s="105">
        <v>0</v>
      </c>
      <c r="AK158" s="105">
        <v>0</v>
      </c>
      <c r="AL158" s="105">
        <v>0</v>
      </c>
      <c r="AM158" s="105">
        <v>0</v>
      </c>
      <c r="AN158" s="105">
        <v>0</v>
      </c>
      <c r="AO158" s="105">
        <v>0</v>
      </c>
      <c r="AP158" s="105">
        <v>0</v>
      </c>
      <c r="AQ158" s="105">
        <v>0</v>
      </c>
      <c r="AR158" s="105">
        <v>0</v>
      </c>
      <c r="AS158" s="105">
        <v>0</v>
      </c>
      <c r="AT158" s="105">
        <v>0</v>
      </c>
      <c r="AU158" s="105">
        <v>0</v>
      </c>
      <c r="AV158" s="105">
        <v>0</v>
      </c>
      <c r="AW158" s="105">
        <v>0</v>
      </c>
      <c r="AX158" s="105">
        <v>0</v>
      </c>
      <c r="AY158" s="105">
        <v>0</v>
      </c>
    </row>
    <row r="159" spans="1:51">
      <c r="A159" s="108"/>
      <c r="B159" s="129">
        <v>38</v>
      </c>
      <c r="C159" s="105"/>
      <c r="D159" s="105">
        <v>0</v>
      </c>
      <c r="E159" s="105">
        <v>0</v>
      </c>
      <c r="F159" s="105">
        <v>0</v>
      </c>
      <c r="G159" s="105">
        <v>0</v>
      </c>
      <c r="H159" s="105">
        <v>0</v>
      </c>
      <c r="I159" s="105">
        <v>0</v>
      </c>
      <c r="J159" s="105">
        <v>0</v>
      </c>
      <c r="K159" s="105">
        <v>0</v>
      </c>
      <c r="L159" s="105">
        <v>0</v>
      </c>
      <c r="M159" s="105">
        <v>0</v>
      </c>
      <c r="N159" s="105">
        <v>0</v>
      </c>
      <c r="O159" s="105">
        <v>0</v>
      </c>
      <c r="P159" s="105">
        <v>0</v>
      </c>
      <c r="Q159" s="105">
        <v>0</v>
      </c>
      <c r="R159" s="105">
        <v>0</v>
      </c>
      <c r="S159" s="105">
        <v>0</v>
      </c>
      <c r="T159" s="105">
        <v>0</v>
      </c>
      <c r="U159" s="105">
        <v>0</v>
      </c>
      <c r="V159" s="105">
        <v>0</v>
      </c>
      <c r="W159" s="105">
        <v>0</v>
      </c>
      <c r="X159" s="105">
        <v>0</v>
      </c>
      <c r="Y159" s="105">
        <v>0</v>
      </c>
      <c r="Z159" s="105">
        <v>0</v>
      </c>
      <c r="AA159" s="105">
        <v>0</v>
      </c>
      <c r="AB159" s="105">
        <v>0</v>
      </c>
      <c r="AC159" s="105">
        <v>0</v>
      </c>
      <c r="AD159" s="105">
        <v>0</v>
      </c>
      <c r="AE159" s="105">
        <v>0</v>
      </c>
      <c r="AF159" s="105">
        <v>0</v>
      </c>
      <c r="AG159" s="105">
        <v>0</v>
      </c>
      <c r="AH159" s="105">
        <v>0</v>
      </c>
      <c r="AI159" s="105">
        <v>0</v>
      </c>
      <c r="AJ159" s="105">
        <v>0</v>
      </c>
      <c r="AK159" s="105">
        <v>0</v>
      </c>
      <c r="AL159" s="105">
        <v>0</v>
      </c>
      <c r="AM159" s="105">
        <v>0</v>
      </c>
      <c r="AN159" s="105">
        <v>0</v>
      </c>
      <c r="AO159" s="105">
        <v>0</v>
      </c>
      <c r="AP159" s="105">
        <v>0</v>
      </c>
      <c r="AQ159" s="105">
        <v>0</v>
      </c>
      <c r="AR159" s="105">
        <v>0</v>
      </c>
      <c r="AS159" s="105">
        <v>0</v>
      </c>
      <c r="AT159" s="105">
        <v>0</v>
      </c>
      <c r="AU159" s="105">
        <v>0</v>
      </c>
      <c r="AV159" s="105">
        <v>0</v>
      </c>
      <c r="AW159" s="105">
        <v>0</v>
      </c>
      <c r="AX159" s="105">
        <v>0</v>
      </c>
      <c r="AY159" s="105">
        <v>0</v>
      </c>
    </row>
    <row r="160" spans="1:51">
      <c r="A160" s="108"/>
      <c r="B160" s="129">
        <v>39</v>
      </c>
      <c r="C160" s="105"/>
      <c r="D160" s="105">
        <v>0</v>
      </c>
      <c r="E160" s="105">
        <v>0</v>
      </c>
      <c r="F160" s="105">
        <v>0</v>
      </c>
      <c r="G160" s="105">
        <v>0</v>
      </c>
      <c r="H160" s="105">
        <v>0</v>
      </c>
      <c r="I160" s="105">
        <v>0</v>
      </c>
      <c r="J160" s="105">
        <v>0</v>
      </c>
      <c r="K160" s="105">
        <v>0</v>
      </c>
      <c r="L160" s="105">
        <v>0</v>
      </c>
      <c r="M160" s="105">
        <v>0</v>
      </c>
      <c r="N160" s="105">
        <v>0</v>
      </c>
      <c r="O160" s="105">
        <v>0</v>
      </c>
      <c r="P160" s="105">
        <v>0</v>
      </c>
      <c r="Q160" s="105">
        <v>0</v>
      </c>
      <c r="R160" s="105">
        <v>0</v>
      </c>
      <c r="S160" s="105">
        <v>0</v>
      </c>
      <c r="T160" s="105">
        <v>0</v>
      </c>
      <c r="U160" s="105">
        <v>0</v>
      </c>
      <c r="V160" s="105">
        <v>0</v>
      </c>
      <c r="W160" s="105">
        <v>0</v>
      </c>
      <c r="X160" s="105">
        <v>0</v>
      </c>
      <c r="Y160" s="105">
        <v>0</v>
      </c>
      <c r="Z160" s="105">
        <v>0</v>
      </c>
      <c r="AA160" s="105">
        <v>0</v>
      </c>
      <c r="AB160" s="105">
        <v>0</v>
      </c>
      <c r="AC160" s="105">
        <v>0</v>
      </c>
      <c r="AD160" s="105">
        <v>0</v>
      </c>
      <c r="AE160" s="105">
        <v>0</v>
      </c>
      <c r="AF160" s="105">
        <v>0</v>
      </c>
      <c r="AG160" s="105">
        <v>0</v>
      </c>
      <c r="AH160" s="105">
        <v>0</v>
      </c>
      <c r="AI160" s="105">
        <v>0</v>
      </c>
      <c r="AJ160" s="105">
        <v>0</v>
      </c>
      <c r="AK160" s="105">
        <v>0</v>
      </c>
      <c r="AL160" s="105">
        <v>0</v>
      </c>
      <c r="AM160" s="105">
        <v>0</v>
      </c>
      <c r="AN160" s="105">
        <v>0</v>
      </c>
      <c r="AO160" s="105">
        <v>0</v>
      </c>
      <c r="AP160" s="105">
        <v>0</v>
      </c>
      <c r="AQ160" s="105">
        <v>0</v>
      </c>
      <c r="AR160" s="105">
        <v>0</v>
      </c>
      <c r="AS160" s="105">
        <v>0</v>
      </c>
      <c r="AT160" s="105">
        <v>0</v>
      </c>
      <c r="AU160" s="105">
        <v>0</v>
      </c>
      <c r="AV160" s="105">
        <v>0</v>
      </c>
      <c r="AW160" s="105">
        <v>0</v>
      </c>
      <c r="AX160" s="105">
        <v>0</v>
      </c>
      <c r="AY160" s="105">
        <v>0</v>
      </c>
    </row>
    <row r="161" spans="1:52">
      <c r="A161" s="108"/>
      <c r="B161" s="129">
        <v>40</v>
      </c>
      <c r="C161" s="105"/>
      <c r="D161" s="105">
        <v>0</v>
      </c>
      <c r="E161" s="105">
        <v>0</v>
      </c>
      <c r="F161" s="105">
        <v>0</v>
      </c>
      <c r="G161" s="105">
        <v>0</v>
      </c>
      <c r="H161" s="105">
        <v>0</v>
      </c>
      <c r="I161" s="105">
        <v>0</v>
      </c>
      <c r="J161" s="105">
        <v>0</v>
      </c>
      <c r="K161" s="105">
        <v>0</v>
      </c>
      <c r="L161" s="105">
        <v>0</v>
      </c>
      <c r="M161" s="105">
        <v>0</v>
      </c>
      <c r="N161" s="105">
        <v>0</v>
      </c>
      <c r="O161" s="105">
        <v>0</v>
      </c>
      <c r="P161" s="105">
        <v>0</v>
      </c>
      <c r="Q161" s="105">
        <v>0</v>
      </c>
      <c r="R161" s="105">
        <v>0</v>
      </c>
      <c r="S161" s="105">
        <v>0</v>
      </c>
      <c r="T161" s="105">
        <v>0</v>
      </c>
      <c r="U161" s="105">
        <v>0</v>
      </c>
      <c r="V161" s="105">
        <v>0</v>
      </c>
      <c r="W161" s="105">
        <v>0</v>
      </c>
      <c r="X161" s="105">
        <v>0</v>
      </c>
      <c r="Y161" s="105">
        <v>0</v>
      </c>
      <c r="Z161" s="105">
        <v>0</v>
      </c>
      <c r="AA161" s="105">
        <v>0</v>
      </c>
      <c r="AB161" s="105">
        <v>0</v>
      </c>
      <c r="AC161" s="105">
        <v>0</v>
      </c>
      <c r="AD161" s="105">
        <v>0</v>
      </c>
      <c r="AE161" s="105">
        <v>0</v>
      </c>
      <c r="AF161" s="105">
        <v>0</v>
      </c>
      <c r="AG161" s="105">
        <v>0</v>
      </c>
      <c r="AH161" s="105">
        <v>0</v>
      </c>
      <c r="AI161" s="105">
        <v>0</v>
      </c>
      <c r="AJ161" s="105">
        <v>0</v>
      </c>
      <c r="AK161" s="105">
        <v>0</v>
      </c>
      <c r="AL161" s="105">
        <v>0</v>
      </c>
      <c r="AM161" s="105">
        <v>0</v>
      </c>
      <c r="AN161" s="105">
        <v>0</v>
      </c>
      <c r="AO161" s="105">
        <v>0</v>
      </c>
      <c r="AP161" s="105">
        <v>0</v>
      </c>
      <c r="AQ161" s="105">
        <v>0</v>
      </c>
      <c r="AR161" s="105">
        <v>0</v>
      </c>
      <c r="AS161" s="105">
        <v>0</v>
      </c>
      <c r="AT161" s="105">
        <v>0</v>
      </c>
      <c r="AU161" s="105">
        <v>0</v>
      </c>
      <c r="AV161" s="105">
        <v>0</v>
      </c>
      <c r="AW161" s="105">
        <v>0</v>
      </c>
      <c r="AX161" s="105">
        <v>0</v>
      </c>
      <c r="AY161" s="105">
        <v>0</v>
      </c>
    </row>
    <row r="162" spans="1:52">
      <c r="A162" s="108"/>
      <c r="B162" s="129">
        <v>41</v>
      </c>
      <c r="C162" s="105"/>
      <c r="D162" s="105">
        <v>0</v>
      </c>
      <c r="E162" s="105">
        <v>0</v>
      </c>
      <c r="F162" s="105">
        <v>0</v>
      </c>
      <c r="G162" s="105">
        <v>0</v>
      </c>
      <c r="H162" s="105">
        <v>0</v>
      </c>
      <c r="I162" s="105">
        <v>0</v>
      </c>
      <c r="J162" s="105">
        <v>0</v>
      </c>
      <c r="K162" s="105">
        <v>0</v>
      </c>
      <c r="L162" s="105">
        <v>0</v>
      </c>
      <c r="M162" s="105">
        <v>0</v>
      </c>
      <c r="N162" s="105">
        <v>0</v>
      </c>
      <c r="O162" s="105">
        <v>0</v>
      </c>
      <c r="P162" s="105">
        <v>0</v>
      </c>
      <c r="Q162" s="105">
        <v>0</v>
      </c>
      <c r="R162" s="105">
        <v>0</v>
      </c>
      <c r="S162" s="105">
        <v>0</v>
      </c>
      <c r="T162" s="105">
        <v>0</v>
      </c>
      <c r="U162" s="105">
        <v>0</v>
      </c>
      <c r="V162" s="105">
        <v>0</v>
      </c>
      <c r="W162" s="105">
        <v>0</v>
      </c>
      <c r="X162" s="105">
        <v>0</v>
      </c>
      <c r="Y162" s="105">
        <v>0</v>
      </c>
      <c r="Z162" s="105">
        <v>0</v>
      </c>
      <c r="AA162" s="105">
        <v>0</v>
      </c>
      <c r="AB162" s="105">
        <v>0</v>
      </c>
      <c r="AC162" s="105">
        <v>0</v>
      </c>
      <c r="AD162" s="105">
        <v>0</v>
      </c>
      <c r="AE162" s="105">
        <v>0</v>
      </c>
      <c r="AF162" s="105">
        <v>0</v>
      </c>
      <c r="AG162" s="105">
        <v>0</v>
      </c>
      <c r="AH162" s="105">
        <v>0</v>
      </c>
      <c r="AI162" s="105">
        <v>0</v>
      </c>
      <c r="AJ162" s="105">
        <v>0</v>
      </c>
      <c r="AK162" s="105">
        <v>0</v>
      </c>
      <c r="AL162" s="105">
        <v>0</v>
      </c>
      <c r="AM162" s="105">
        <v>0</v>
      </c>
      <c r="AN162" s="105">
        <v>0</v>
      </c>
      <c r="AO162" s="105">
        <v>0</v>
      </c>
      <c r="AP162" s="105">
        <v>0</v>
      </c>
      <c r="AQ162" s="105">
        <v>0</v>
      </c>
      <c r="AR162" s="105">
        <v>0</v>
      </c>
      <c r="AS162" s="105">
        <v>0</v>
      </c>
      <c r="AT162" s="105">
        <v>0</v>
      </c>
      <c r="AU162" s="105">
        <v>0</v>
      </c>
      <c r="AV162" s="105">
        <v>0</v>
      </c>
      <c r="AW162" s="105">
        <v>0</v>
      </c>
      <c r="AX162" s="105">
        <v>0</v>
      </c>
      <c r="AY162" s="105">
        <v>0</v>
      </c>
    </row>
    <row r="163" spans="1:52">
      <c r="A163" s="108"/>
      <c r="B163" s="129">
        <v>42</v>
      </c>
      <c r="C163" s="105"/>
      <c r="D163" s="105">
        <v>0</v>
      </c>
      <c r="E163" s="105">
        <v>0</v>
      </c>
      <c r="F163" s="105">
        <v>0</v>
      </c>
      <c r="G163" s="105">
        <v>0</v>
      </c>
      <c r="H163" s="105">
        <v>0</v>
      </c>
      <c r="I163" s="105">
        <v>0</v>
      </c>
      <c r="J163" s="105">
        <v>0</v>
      </c>
      <c r="K163" s="105">
        <v>0</v>
      </c>
      <c r="L163" s="105">
        <v>0</v>
      </c>
      <c r="M163" s="105">
        <v>0</v>
      </c>
      <c r="N163" s="105">
        <v>0</v>
      </c>
      <c r="O163" s="105">
        <v>0</v>
      </c>
      <c r="P163" s="105">
        <v>0</v>
      </c>
      <c r="Q163" s="105">
        <v>0</v>
      </c>
      <c r="R163" s="105">
        <v>0</v>
      </c>
      <c r="S163" s="105">
        <v>0</v>
      </c>
      <c r="T163" s="105">
        <v>0</v>
      </c>
      <c r="U163" s="105">
        <v>0</v>
      </c>
      <c r="V163" s="105">
        <v>0</v>
      </c>
      <c r="W163" s="105">
        <v>0</v>
      </c>
      <c r="X163" s="105">
        <v>0</v>
      </c>
      <c r="Y163" s="105">
        <v>0</v>
      </c>
      <c r="Z163" s="105">
        <v>0</v>
      </c>
      <c r="AA163" s="105">
        <v>0</v>
      </c>
      <c r="AB163" s="105">
        <v>0</v>
      </c>
      <c r="AC163" s="105">
        <v>0</v>
      </c>
      <c r="AD163" s="105">
        <v>0</v>
      </c>
      <c r="AE163" s="105">
        <v>0</v>
      </c>
      <c r="AF163" s="105">
        <v>0</v>
      </c>
      <c r="AG163" s="105">
        <v>0</v>
      </c>
      <c r="AH163" s="105">
        <v>0</v>
      </c>
      <c r="AI163" s="105">
        <v>0</v>
      </c>
      <c r="AJ163" s="105">
        <v>0</v>
      </c>
      <c r="AK163" s="105">
        <v>0</v>
      </c>
      <c r="AL163" s="105">
        <v>0</v>
      </c>
      <c r="AM163" s="105">
        <v>0</v>
      </c>
      <c r="AN163" s="105">
        <v>0</v>
      </c>
      <c r="AO163" s="105">
        <v>0</v>
      </c>
      <c r="AP163" s="105">
        <v>0</v>
      </c>
      <c r="AQ163" s="105">
        <v>0</v>
      </c>
      <c r="AR163" s="105">
        <v>0</v>
      </c>
      <c r="AS163" s="105">
        <v>0</v>
      </c>
      <c r="AT163" s="105">
        <v>0</v>
      </c>
      <c r="AU163" s="105">
        <v>0</v>
      </c>
      <c r="AV163" s="105">
        <v>0</v>
      </c>
      <c r="AW163" s="105">
        <v>0</v>
      </c>
      <c r="AX163" s="105">
        <v>0</v>
      </c>
      <c r="AY163" s="105">
        <v>0</v>
      </c>
    </row>
    <row r="164" spans="1:52">
      <c r="A164" s="108"/>
      <c r="B164" s="129">
        <v>43</v>
      </c>
      <c r="C164" s="105"/>
      <c r="D164" s="105">
        <v>0</v>
      </c>
      <c r="E164" s="105">
        <v>0</v>
      </c>
      <c r="F164" s="105">
        <v>0</v>
      </c>
      <c r="G164" s="105">
        <v>0</v>
      </c>
      <c r="H164" s="105">
        <v>0</v>
      </c>
      <c r="I164" s="105">
        <v>0</v>
      </c>
      <c r="J164" s="105">
        <v>0</v>
      </c>
      <c r="K164" s="105">
        <v>0</v>
      </c>
      <c r="L164" s="105">
        <v>0</v>
      </c>
      <c r="M164" s="105">
        <v>0</v>
      </c>
      <c r="N164" s="105">
        <v>0</v>
      </c>
      <c r="O164" s="105">
        <v>0</v>
      </c>
      <c r="P164" s="105">
        <v>0</v>
      </c>
      <c r="Q164" s="105">
        <v>0</v>
      </c>
      <c r="R164" s="105">
        <v>0</v>
      </c>
      <c r="S164" s="105">
        <v>0</v>
      </c>
      <c r="T164" s="105">
        <v>0</v>
      </c>
      <c r="U164" s="105">
        <v>0</v>
      </c>
      <c r="V164" s="105">
        <v>0</v>
      </c>
      <c r="W164" s="105">
        <v>0</v>
      </c>
      <c r="X164" s="105">
        <v>0</v>
      </c>
      <c r="Y164" s="105">
        <v>0</v>
      </c>
      <c r="Z164" s="105">
        <v>0</v>
      </c>
      <c r="AA164" s="105">
        <v>0</v>
      </c>
      <c r="AB164" s="105">
        <v>0</v>
      </c>
      <c r="AC164" s="105">
        <v>0</v>
      </c>
      <c r="AD164" s="105">
        <v>0</v>
      </c>
      <c r="AE164" s="105">
        <v>0</v>
      </c>
      <c r="AF164" s="105">
        <v>0</v>
      </c>
      <c r="AG164" s="105">
        <v>0</v>
      </c>
      <c r="AH164" s="105">
        <v>0</v>
      </c>
      <c r="AI164" s="105">
        <v>0</v>
      </c>
      <c r="AJ164" s="105">
        <v>0</v>
      </c>
      <c r="AK164" s="105">
        <v>0</v>
      </c>
      <c r="AL164" s="105">
        <v>0</v>
      </c>
      <c r="AM164" s="105">
        <v>0</v>
      </c>
      <c r="AN164" s="105">
        <v>0</v>
      </c>
      <c r="AO164" s="105">
        <v>0</v>
      </c>
      <c r="AP164" s="105">
        <v>0</v>
      </c>
      <c r="AQ164" s="105">
        <v>0</v>
      </c>
      <c r="AR164" s="105">
        <v>0</v>
      </c>
      <c r="AS164" s="105">
        <v>0</v>
      </c>
      <c r="AT164" s="105">
        <v>0</v>
      </c>
      <c r="AU164" s="105">
        <v>0</v>
      </c>
      <c r="AV164" s="105">
        <v>0</v>
      </c>
      <c r="AW164" s="105">
        <v>0</v>
      </c>
      <c r="AX164" s="105">
        <v>0</v>
      </c>
      <c r="AY164" s="105">
        <v>0</v>
      </c>
    </row>
    <row r="165" spans="1:52">
      <c r="A165" s="108"/>
      <c r="B165" s="129">
        <v>44</v>
      </c>
      <c r="C165" s="105"/>
      <c r="D165" s="105">
        <v>0</v>
      </c>
      <c r="E165" s="105">
        <v>0</v>
      </c>
      <c r="F165" s="105">
        <v>0</v>
      </c>
      <c r="G165" s="105">
        <v>0</v>
      </c>
      <c r="H165" s="105">
        <v>0</v>
      </c>
      <c r="I165" s="105">
        <v>0</v>
      </c>
      <c r="J165" s="105">
        <v>0</v>
      </c>
      <c r="K165" s="105">
        <v>0</v>
      </c>
      <c r="L165" s="105">
        <v>0</v>
      </c>
      <c r="M165" s="105">
        <v>0</v>
      </c>
      <c r="N165" s="105">
        <v>0</v>
      </c>
      <c r="O165" s="105">
        <v>0</v>
      </c>
      <c r="P165" s="105">
        <v>0</v>
      </c>
      <c r="Q165" s="105">
        <v>0</v>
      </c>
      <c r="R165" s="105">
        <v>0</v>
      </c>
      <c r="S165" s="105">
        <v>0</v>
      </c>
      <c r="T165" s="105">
        <v>0</v>
      </c>
      <c r="U165" s="105">
        <v>0</v>
      </c>
      <c r="V165" s="105">
        <v>0</v>
      </c>
      <c r="W165" s="105">
        <v>0</v>
      </c>
      <c r="X165" s="105">
        <v>0</v>
      </c>
      <c r="Y165" s="105">
        <v>0</v>
      </c>
      <c r="Z165" s="105">
        <v>0</v>
      </c>
      <c r="AA165" s="105">
        <v>0</v>
      </c>
      <c r="AB165" s="105">
        <v>0</v>
      </c>
      <c r="AC165" s="105">
        <v>0</v>
      </c>
      <c r="AD165" s="105">
        <v>0</v>
      </c>
      <c r="AE165" s="105">
        <v>0</v>
      </c>
      <c r="AF165" s="105">
        <v>0</v>
      </c>
      <c r="AG165" s="105">
        <v>0</v>
      </c>
      <c r="AH165" s="105">
        <v>0</v>
      </c>
      <c r="AI165" s="105">
        <v>0</v>
      </c>
      <c r="AJ165" s="105">
        <v>0</v>
      </c>
      <c r="AK165" s="105">
        <v>0</v>
      </c>
      <c r="AL165" s="105">
        <v>0</v>
      </c>
      <c r="AM165" s="105">
        <v>0</v>
      </c>
      <c r="AN165" s="105">
        <v>0</v>
      </c>
      <c r="AO165" s="105">
        <v>0</v>
      </c>
      <c r="AP165" s="105">
        <v>0</v>
      </c>
      <c r="AQ165" s="105">
        <v>0</v>
      </c>
      <c r="AR165" s="105">
        <v>0</v>
      </c>
      <c r="AS165" s="105">
        <v>0</v>
      </c>
      <c r="AT165" s="105">
        <v>0</v>
      </c>
      <c r="AU165" s="105">
        <v>0</v>
      </c>
      <c r="AV165" s="105">
        <v>0</v>
      </c>
      <c r="AW165" s="105">
        <v>0</v>
      </c>
      <c r="AX165" s="105">
        <v>0</v>
      </c>
      <c r="AY165" s="105">
        <v>0</v>
      </c>
    </row>
    <row r="166" spans="1:52">
      <c r="A166" s="108"/>
      <c r="B166" s="129">
        <v>45</v>
      </c>
      <c r="C166" s="105"/>
      <c r="D166" s="105">
        <v>0</v>
      </c>
      <c r="E166" s="105">
        <v>0</v>
      </c>
      <c r="F166" s="105">
        <v>0</v>
      </c>
      <c r="G166" s="105">
        <v>0</v>
      </c>
      <c r="H166" s="105">
        <v>0</v>
      </c>
      <c r="I166" s="105">
        <v>0</v>
      </c>
      <c r="J166" s="105">
        <v>0</v>
      </c>
      <c r="K166" s="105">
        <v>0</v>
      </c>
      <c r="L166" s="105">
        <v>0</v>
      </c>
      <c r="M166" s="105">
        <v>0</v>
      </c>
      <c r="N166" s="105">
        <v>0</v>
      </c>
      <c r="O166" s="105">
        <v>0</v>
      </c>
      <c r="P166" s="105">
        <v>0</v>
      </c>
      <c r="Q166" s="105">
        <v>0</v>
      </c>
      <c r="R166" s="105">
        <v>0</v>
      </c>
      <c r="S166" s="105">
        <v>0</v>
      </c>
      <c r="T166" s="105">
        <v>0</v>
      </c>
      <c r="U166" s="105">
        <v>0</v>
      </c>
      <c r="V166" s="105">
        <v>0</v>
      </c>
      <c r="W166" s="105">
        <v>0</v>
      </c>
      <c r="X166" s="105">
        <v>0</v>
      </c>
      <c r="Y166" s="105">
        <v>0</v>
      </c>
      <c r="Z166" s="105">
        <v>0</v>
      </c>
      <c r="AA166" s="105">
        <v>0</v>
      </c>
      <c r="AB166" s="105">
        <v>0</v>
      </c>
      <c r="AC166" s="105">
        <v>0</v>
      </c>
      <c r="AD166" s="105">
        <v>0</v>
      </c>
      <c r="AE166" s="105">
        <v>0</v>
      </c>
      <c r="AF166" s="105">
        <v>0</v>
      </c>
      <c r="AG166" s="105">
        <v>0</v>
      </c>
      <c r="AH166" s="105">
        <v>0</v>
      </c>
      <c r="AI166" s="105">
        <v>0</v>
      </c>
      <c r="AJ166" s="105">
        <v>0</v>
      </c>
      <c r="AK166" s="105">
        <v>0</v>
      </c>
      <c r="AL166" s="105">
        <v>0</v>
      </c>
      <c r="AM166" s="105">
        <v>0</v>
      </c>
      <c r="AN166" s="105">
        <v>0</v>
      </c>
      <c r="AO166" s="105">
        <v>0</v>
      </c>
      <c r="AP166" s="105">
        <v>0</v>
      </c>
      <c r="AQ166" s="105">
        <v>0</v>
      </c>
      <c r="AR166" s="105">
        <v>0</v>
      </c>
      <c r="AS166" s="105">
        <v>0</v>
      </c>
      <c r="AT166" s="105">
        <v>0</v>
      </c>
      <c r="AU166" s="105">
        <v>0</v>
      </c>
      <c r="AV166" s="105">
        <v>0</v>
      </c>
      <c r="AW166" s="105">
        <v>0</v>
      </c>
      <c r="AX166" s="105">
        <v>0</v>
      </c>
      <c r="AY166" s="105">
        <v>0</v>
      </c>
    </row>
    <row r="167" spans="1:52">
      <c r="A167" s="108"/>
      <c r="B167" s="129">
        <v>46</v>
      </c>
      <c r="C167" s="105"/>
      <c r="D167" s="105">
        <v>0</v>
      </c>
      <c r="E167" s="105">
        <v>0</v>
      </c>
      <c r="F167" s="105">
        <v>0</v>
      </c>
      <c r="G167" s="105">
        <v>0</v>
      </c>
      <c r="H167" s="105">
        <v>0</v>
      </c>
      <c r="I167" s="105">
        <v>0</v>
      </c>
      <c r="J167" s="105">
        <v>0</v>
      </c>
      <c r="K167" s="105">
        <v>0</v>
      </c>
      <c r="L167" s="105">
        <v>0</v>
      </c>
      <c r="M167" s="105">
        <v>0</v>
      </c>
      <c r="N167" s="105">
        <v>0</v>
      </c>
      <c r="O167" s="105">
        <v>0</v>
      </c>
      <c r="P167" s="105">
        <v>0</v>
      </c>
      <c r="Q167" s="105">
        <v>0</v>
      </c>
      <c r="R167" s="105">
        <v>0</v>
      </c>
      <c r="S167" s="105">
        <v>0</v>
      </c>
      <c r="T167" s="105">
        <v>0</v>
      </c>
      <c r="U167" s="105">
        <v>0</v>
      </c>
      <c r="V167" s="105">
        <v>0</v>
      </c>
      <c r="W167" s="105">
        <v>0</v>
      </c>
      <c r="X167" s="105">
        <v>0</v>
      </c>
      <c r="Y167" s="105">
        <v>0</v>
      </c>
      <c r="Z167" s="105">
        <v>0</v>
      </c>
      <c r="AA167" s="105">
        <v>0</v>
      </c>
      <c r="AB167" s="105">
        <v>0</v>
      </c>
      <c r="AC167" s="105">
        <v>0</v>
      </c>
      <c r="AD167" s="105">
        <v>0</v>
      </c>
      <c r="AE167" s="105">
        <v>0</v>
      </c>
      <c r="AF167" s="105">
        <v>0</v>
      </c>
      <c r="AG167" s="105">
        <v>0</v>
      </c>
      <c r="AH167" s="105">
        <v>0</v>
      </c>
      <c r="AI167" s="105">
        <v>0</v>
      </c>
      <c r="AJ167" s="105">
        <v>0</v>
      </c>
      <c r="AK167" s="105">
        <v>0</v>
      </c>
      <c r="AL167" s="105">
        <v>0</v>
      </c>
      <c r="AM167" s="105">
        <v>0</v>
      </c>
      <c r="AN167" s="105">
        <v>0</v>
      </c>
      <c r="AO167" s="105">
        <v>0</v>
      </c>
      <c r="AP167" s="105">
        <v>0</v>
      </c>
      <c r="AQ167" s="105">
        <v>0</v>
      </c>
      <c r="AR167" s="105">
        <v>0</v>
      </c>
      <c r="AS167" s="105">
        <v>0</v>
      </c>
      <c r="AT167" s="105">
        <v>0</v>
      </c>
      <c r="AU167" s="105">
        <v>0</v>
      </c>
      <c r="AV167" s="105">
        <v>0</v>
      </c>
      <c r="AW167" s="105">
        <v>0</v>
      </c>
      <c r="AX167" s="105">
        <v>0</v>
      </c>
      <c r="AY167" s="105">
        <v>0</v>
      </c>
    </row>
    <row r="168" spans="1:52">
      <c r="A168" s="108"/>
      <c r="B168" s="129">
        <v>47</v>
      </c>
      <c r="C168" s="105"/>
      <c r="D168" s="105">
        <v>0</v>
      </c>
      <c r="E168" s="105">
        <v>0</v>
      </c>
      <c r="F168" s="105">
        <v>0</v>
      </c>
      <c r="G168" s="105">
        <v>0</v>
      </c>
      <c r="H168" s="105">
        <v>0</v>
      </c>
      <c r="I168" s="105">
        <v>0</v>
      </c>
      <c r="J168" s="105">
        <v>0</v>
      </c>
      <c r="K168" s="105">
        <v>0</v>
      </c>
      <c r="L168" s="105">
        <v>0</v>
      </c>
      <c r="M168" s="105">
        <v>0</v>
      </c>
      <c r="N168" s="105">
        <v>0</v>
      </c>
      <c r="O168" s="105">
        <v>0</v>
      </c>
      <c r="P168" s="105">
        <v>0</v>
      </c>
      <c r="Q168" s="105">
        <v>0</v>
      </c>
      <c r="R168" s="105">
        <v>0</v>
      </c>
      <c r="S168" s="105">
        <v>0</v>
      </c>
      <c r="T168" s="105">
        <v>0</v>
      </c>
      <c r="U168" s="105">
        <v>0</v>
      </c>
      <c r="V168" s="105">
        <v>0</v>
      </c>
      <c r="W168" s="105">
        <v>0</v>
      </c>
      <c r="X168" s="105">
        <v>0</v>
      </c>
      <c r="Y168" s="105">
        <v>0</v>
      </c>
      <c r="Z168" s="105">
        <v>0</v>
      </c>
      <c r="AA168" s="105">
        <v>0</v>
      </c>
      <c r="AB168" s="105">
        <v>0</v>
      </c>
      <c r="AC168" s="105">
        <v>0</v>
      </c>
      <c r="AD168" s="105">
        <v>0</v>
      </c>
      <c r="AE168" s="105">
        <v>0</v>
      </c>
      <c r="AF168" s="105">
        <v>0</v>
      </c>
      <c r="AG168" s="105">
        <v>0</v>
      </c>
      <c r="AH168" s="105">
        <v>0</v>
      </c>
      <c r="AI168" s="105">
        <v>0</v>
      </c>
      <c r="AJ168" s="105">
        <v>0</v>
      </c>
      <c r="AK168" s="105">
        <v>0</v>
      </c>
      <c r="AL168" s="105">
        <v>0</v>
      </c>
      <c r="AM168" s="105">
        <v>0</v>
      </c>
      <c r="AN168" s="105">
        <v>0</v>
      </c>
      <c r="AO168" s="105">
        <v>0</v>
      </c>
      <c r="AP168" s="105">
        <v>0</v>
      </c>
      <c r="AQ168" s="105">
        <v>0</v>
      </c>
      <c r="AR168" s="105">
        <v>0</v>
      </c>
      <c r="AS168" s="105">
        <v>0</v>
      </c>
      <c r="AT168" s="105">
        <v>0</v>
      </c>
      <c r="AU168" s="105">
        <v>0</v>
      </c>
      <c r="AV168" s="105">
        <v>0</v>
      </c>
      <c r="AW168" s="105">
        <v>0</v>
      </c>
      <c r="AX168" s="105">
        <v>0</v>
      </c>
      <c r="AY168" s="105">
        <v>0</v>
      </c>
    </row>
    <row r="169" spans="1:52">
      <c r="A169" s="108"/>
      <c r="B169" s="129">
        <v>48</v>
      </c>
      <c r="C169" s="105"/>
      <c r="D169" s="105">
        <v>0</v>
      </c>
      <c r="E169" s="105">
        <v>0</v>
      </c>
      <c r="F169" s="105">
        <v>0</v>
      </c>
      <c r="G169" s="105">
        <v>0</v>
      </c>
      <c r="H169" s="105">
        <v>0</v>
      </c>
      <c r="I169" s="105">
        <v>0</v>
      </c>
      <c r="J169" s="105">
        <v>0</v>
      </c>
      <c r="K169" s="105">
        <v>0</v>
      </c>
      <c r="L169" s="105">
        <v>0</v>
      </c>
      <c r="M169" s="105">
        <v>0</v>
      </c>
      <c r="N169" s="105">
        <v>0</v>
      </c>
      <c r="O169" s="105">
        <v>0</v>
      </c>
      <c r="P169" s="105">
        <v>0</v>
      </c>
      <c r="Q169" s="105">
        <v>0</v>
      </c>
      <c r="R169" s="105">
        <v>0</v>
      </c>
      <c r="S169" s="105">
        <v>0</v>
      </c>
      <c r="T169" s="105">
        <v>0</v>
      </c>
      <c r="U169" s="105">
        <v>0</v>
      </c>
      <c r="V169" s="105">
        <v>0</v>
      </c>
      <c r="W169" s="105">
        <v>0</v>
      </c>
      <c r="X169" s="105">
        <v>0</v>
      </c>
      <c r="Y169" s="105">
        <v>0</v>
      </c>
      <c r="Z169" s="105">
        <v>0</v>
      </c>
      <c r="AA169" s="105">
        <v>0</v>
      </c>
      <c r="AB169" s="105">
        <v>0</v>
      </c>
      <c r="AC169" s="105">
        <v>0</v>
      </c>
      <c r="AD169" s="105">
        <v>0</v>
      </c>
      <c r="AE169" s="105">
        <v>0</v>
      </c>
      <c r="AF169" s="105">
        <v>0</v>
      </c>
      <c r="AG169" s="105">
        <v>0</v>
      </c>
      <c r="AH169" s="105">
        <v>0</v>
      </c>
      <c r="AI169" s="105">
        <v>0</v>
      </c>
      <c r="AJ169" s="105">
        <v>0</v>
      </c>
      <c r="AK169" s="105">
        <v>0</v>
      </c>
      <c r="AL169" s="105">
        <v>0</v>
      </c>
      <c r="AM169" s="105">
        <v>0</v>
      </c>
      <c r="AN169" s="105">
        <v>0</v>
      </c>
      <c r="AO169" s="105">
        <v>0</v>
      </c>
      <c r="AP169" s="105">
        <v>0</v>
      </c>
      <c r="AQ169" s="105">
        <v>0</v>
      </c>
      <c r="AR169" s="105">
        <v>0</v>
      </c>
      <c r="AS169" s="105">
        <v>0</v>
      </c>
      <c r="AT169" s="105">
        <v>0</v>
      </c>
      <c r="AU169" s="105">
        <v>0</v>
      </c>
      <c r="AV169" s="105">
        <v>0</v>
      </c>
      <c r="AW169" s="105">
        <v>0</v>
      </c>
      <c r="AX169" s="105">
        <v>0</v>
      </c>
      <c r="AY169" s="105">
        <v>0</v>
      </c>
    </row>
    <row r="170" spans="1:52">
      <c r="A170" s="127"/>
      <c r="B170" s="131" t="s">
        <v>295</v>
      </c>
      <c r="C170" s="113"/>
      <c r="D170" s="124">
        <v>0</v>
      </c>
      <c r="E170" s="124">
        <v>0</v>
      </c>
      <c r="F170" s="124">
        <v>0</v>
      </c>
      <c r="G170" s="124">
        <v>0</v>
      </c>
      <c r="H170" s="124">
        <v>0</v>
      </c>
      <c r="I170" s="124">
        <v>0</v>
      </c>
      <c r="J170" s="124">
        <v>0</v>
      </c>
      <c r="K170" s="124">
        <v>0</v>
      </c>
      <c r="L170" s="124">
        <v>0</v>
      </c>
      <c r="M170" s="124">
        <v>0</v>
      </c>
      <c r="N170" s="124">
        <v>0</v>
      </c>
      <c r="O170" s="124">
        <v>0</v>
      </c>
      <c r="P170" s="124">
        <v>0</v>
      </c>
      <c r="Q170" s="124">
        <v>0</v>
      </c>
      <c r="R170" s="124">
        <v>0</v>
      </c>
      <c r="S170" s="124">
        <v>0</v>
      </c>
      <c r="T170" s="124">
        <v>0</v>
      </c>
      <c r="U170" s="124">
        <v>0</v>
      </c>
      <c r="V170" s="124">
        <v>0</v>
      </c>
      <c r="W170" s="124">
        <v>0</v>
      </c>
      <c r="X170" s="124">
        <v>0</v>
      </c>
      <c r="Y170" s="124">
        <v>0</v>
      </c>
      <c r="Z170" s="124">
        <v>0</v>
      </c>
      <c r="AA170" s="124">
        <v>0</v>
      </c>
      <c r="AB170" s="124">
        <v>0</v>
      </c>
      <c r="AC170" s="124">
        <v>0</v>
      </c>
      <c r="AD170" s="124">
        <v>0</v>
      </c>
      <c r="AE170" s="124">
        <v>0</v>
      </c>
      <c r="AF170" s="124">
        <v>0</v>
      </c>
      <c r="AG170" s="124">
        <v>0</v>
      </c>
      <c r="AH170" s="124">
        <v>0</v>
      </c>
      <c r="AI170" s="124">
        <v>0</v>
      </c>
      <c r="AJ170" s="124">
        <v>0</v>
      </c>
      <c r="AK170" s="124">
        <v>0</v>
      </c>
      <c r="AL170" s="124">
        <v>0</v>
      </c>
      <c r="AM170" s="124">
        <v>0</v>
      </c>
      <c r="AN170" s="124">
        <v>0</v>
      </c>
      <c r="AO170" s="124">
        <v>0</v>
      </c>
      <c r="AP170" s="124">
        <v>0</v>
      </c>
      <c r="AQ170" s="124">
        <v>0</v>
      </c>
      <c r="AR170" s="124">
        <v>0</v>
      </c>
      <c r="AS170" s="124">
        <v>0</v>
      </c>
      <c r="AT170" s="124">
        <v>0</v>
      </c>
      <c r="AU170" s="124">
        <v>0</v>
      </c>
      <c r="AV170" s="124">
        <v>0</v>
      </c>
      <c r="AW170" s="124">
        <v>0</v>
      </c>
      <c r="AX170" s="124">
        <v>0</v>
      </c>
      <c r="AY170" s="124">
        <v>0</v>
      </c>
      <c r="AZ170" s="106">
        <f>SUM($D170:$AY170)</f>
        <v>0</v>
      </c>
    </row>
    <row r="172" spans="1:52">
      <c r="A172" s="101" t="s">
        <v>124</v>
      </c>
      <c r="B172" s="132" t="s">
        <v>296</v>
      </c>
      <c r="C172" s="133"/>
      <c r="D172" s="133">
        <v>0.74418000000000006</v>
      </c>
      <c r="E172" s="133">
        <v>0.74418000000000006</v>
      </c>
      <c r="F172" s="133">
        <v>0.74418000000000006</v>
      </c>
      <c r="G172" s="133">
        <v>0.74418000000000006</v>
      </c>
      <c r="H172" s="133">
        <v>0.74418000000000006</v>
      </c>
      <c r="I172" s="133">
        <v>0.74418000000000006</v>
      </c>
      <c r="J172" s="133">
        <v>0.74418000000000006</v>
      </c>
      <c r="K172" s="133">
        <v>0.74418000000000006</v>
      </c>
      <c r="L172" s="133">
        <v>0.74418000000000006</v>
      </c>
      <c r="M172" s="133">
        <v>0.74418000000000006</v>
      </c>
      <c r="N172" s="133">
        <v>0.74418000000000006</v>
      </c>
      <c r="O172" s="133">
        <v>0.74418000000000006</v>
      </c>
      <c r="P172" s="133">
        <v>0.74418000000000006</v>
      </c>
      <c r="Q172" s="133">
        <v>0.74418000000000006</v>
      </c>
      <c r="R172" s="133">
        <v>0.74418000000000006</v>
      </c>
      <c r="S172" s="133">
        <v>0.74418000000000006</v>
      </c>
      <c r="T172" s="133">
        <v>0.74418000000000006</v>
      </c>
      <c r="U172" s="133">
        <v>0.74418000000000006</v>
      </c>
      <c r="V172" s="133">
        <v>0.74418000000000006</v>
      </c>
      <c r="W172" s="133">
        <v>0.74418000000000006</v>
      </c>
      <c r="X172" s="133">
        <v>0.74418000000000006</v>
      </c>
      <c r="Y172" s="133">
        <v>0.74418000000000006</v>
      </c>
      <c r="Z172" s="133">
        <v>0.74418000000000006</v>
      </c>
      <c r="AA172" s="133">
        <v>0.74418000000000006</v>
      </c>
      <c r="AB172" s="133">
        <v>0.74418000000000006</v>
      </c>
      <c r="AC172" s="133">
        <v>0.74418000000000006</v>
      </c>
      <c r="AD172" s="133">
        <v>0.74418000000000006</v>
      </c>
      <c r="AE172" s="133">
        <v>0.74418000000000006</v>
      </c>
      <c r="AF172" s="133">
        <v>0.74418000000000006</v>
      </c>
      <c r="AG172" s="133">
        <v>0.74418000000000006</v>
      </c>
      <c r="AH172" s="133">
        <v>0.74418000000000006</v>
      </c>
      <c r="AI172" s="133">
        <v>0.74418000000000006</v>
      </c>
      <c r="AJ172" s="133">
        <v>0.74418000000000006</v>
      </c>
      <c r="AK172" s="133">
        <v>0.74418000000000006</v>
      </c>
      <c r="AL172" s="133">
        <v>0.74418000000000006</v>
      </c>
      <c r="AM172" s="133">
        <v>0.74418000000000006</v>
      </c>
      <c r="AN172" s="133">
        <v>0.74418000000000006</v>
      </c>
      <c r="AO172" s="133">
        <v>0.74418000000000006</v>
      </c>
      <c r="AP172" s="133">
        <v>0.74418000000000006</v>
      </c>
      <c r="AQ172" s="133">
        <v>0.74418000000000006</v>
      </c>
      <c r="AR172" s="133">
        <v>0.74418000000000006</v>
      </c>
      <c r="AS172" s="133">
        <v>0.74418000000000006</v>
      </c>
      <c r="AT172" s="133">
        <v>0.74418000000000006</v>
      </c>
      <c r="AU172" s="133">
        <v>0.74418000000000006</v>
      </c>
      <c r="AV172" s="133">
        <v>0.74418000000000006</v>
      </c>
      <c r="AW172" s="133">
        <v>0.74418000000000006</v>
      </c>
      <c r="AX172" s="133">
        <v>0.74418000000000006</v>
      </c>
      <c r="AY172" s="133">
        <v>0.74418000000000006</v>
      </c>
    </row>
    <row r="174" spans="1:52">
      <c r="A174" s="101" t="s">
        <v>271</v>
      </c>
    </row>
    <row r="175" spans="1:52">
      <c r="A175" s="134" t="s">
        <v>125</v>
      </c>
      <c r="B175" s="134" t="s">
        <v>297</v>
      </c>
      <c r="C175" s="123" t="s">
        <v>292</v>
      </c>
      <c r="D175" s="123">
        <f t="shared" ref="D175:AY175" si="1">SUM(D95:D98)</f>
        <v>540.01140000000009</v>
      </c>
      <c r="E175" s="123">
        <f t="shared" si="1"/>
        <v>697.02280000000019</v>
      </c>
      <c r="F175" s="123">
        <f t="shared" si="1"/>
        <v>815.57266517859171</v>
      </c>
      <c r="G175" s="123">
        <f t="shared" si="1"/>
        <v>1019.5840651785918</v>
      </c>
      <c r="H175" s="123">
        <f t="shared" si="1"/>
        <v>1278.5954651785919</v>
      </c>
      <c r="I175" s="123">
        <f t="shared" si="1"/>
        <v>1533.606865178592</v>
      </c>
      <c r="J175" s="123">
        <f t="shared" si="1"/>
        <v>1687.6182651785921</v>
      </c>
      <c r="K175" s="123">
        <f t="shared" si="1"/>
        <v>1942.6296651785922</v>
      </c>
      <c r="L175" s="123">
        <f t="shared" si="1"/>
        <v>2074.9939384009926</v>
      </c>
      <c r="M175" s="123">
        <f t="shared" si="1"/>
        <v>2133.3984732224008</v>
      </c>
      <c r="N175" s="123">
        <f t="shared" si="1"/>
        <v>2133.3984732224008</v>
      </c>
      <c r="O175" s="123">
        <f t="shared" si="1"/>
        <v>2133.3984732224008</v>
      </c>
      <c r="P175" s="123">
        <f t="shared" si="1"/>
        <v>2144.0472</v>
      </c>
      <c r="Q175" s="123">
        <f t="shared" si="1"/>
        <v>2128.0488</v>
      </c>
      <c r="R175" s="123">
        <f t="shared" si="1"/>
        <v>2112.0504000000001</v>
      </c>
      <c r="S175" s="123">
        <f t="shared" si="1"/>
        <v>2096.0519999999997</v>
      </c>
      <c r="T175" s="123">
        <f t="shared" si="1"/>
        <v>2096.0519999999997</v>
      </c>
      <c r="U175" s="123">
        <f t="shared" si="1"/>
        <v>2096.0519999999997</v>
      </c>
      <c r="V175" s="123">
        <f t="shared" si="1"/>
        <v>2096.0519999999997</v>
      </c>
      <c r="W175" s="123">
        <f t="shared" si="1"/>
        <v>2096.0519999999997</v>
      </c>
      <c r="X175" s="123">
        <f t="shared" si="1"/>
        <v>2112.0504000000001</v>
      </c>
      <c r="Y175" s="123">
        <f t="shared" si="1"/>
        <v>2128.0488</v>
      </c>
      <c r="Z175" s="123">
        <f t="shared" si="1"/>
        <v>2144.0472</v>
      </c>
      <c r="AA175" s="123">
        <f t="shared" si="1"/>
        <v>2160.0456000000004</v>
      </c>
      <c r="AB175" s="123">
        <f t="shared" si="1"/>
        <v>2176.0440000000003</v>
      </c>
      <c r="AC175" s="123">
        <f t="shared" si="1"/>
        <v>2192.0424000000003</v>
      </c>
      <c r="AD175" s="123">
        <f t="shared" si="1"/>
        <v>2208.0408000000002</v>
      </c>
      <c r="AE175" s="123">
        <f t="shared" si="1"/>
        <v>2224.0392000000002</v>
      </c>
      <c r="AF175" s="123">
        <f t="shared" si="1"/>
        <v>2228.0412999999999</v>
      </c>
      <c r="AG175" s="123">
        <f t="shared" si="1"/>
        <v>2232.0434</v>
      </c>
      <c r="AH175" s="123">
        <f t="shared" si="1"/>
        <v>2236.0455000000002</v>
      </c>
      <c r="AI175" s="123">
        <f t="shared" si="1"/>
        <v>2240.0475999999999</v>
      </c>
      <c r="AJ175" s="123">
        <f t="shared" si="1"/>
        <v>2240.0475999999999</v>
      </c>
      <c r="AK175" s="123">
        <f t="shared" si="1"/>
        <v>2240.0475999999999</v>
      </c>
      <c r="AL175" s="123">
        <f t="shared" si="1"/>
        <v>2240.0475999999999</v>
      </c>
      <c r="AM175" s="123">
        <f t="shared" si="1"/>
        <v>2240.0475999999999</v>
      </c>
      <c r="AN175" s="123">
        <f t="shared" si="1"/>
        <v>2184.2449870857145</v>
      </c>
      <c r="AO175" s="123">
        <f t="shared" si="1"/>
        <v>2128.7072773616624</v>
      </c>
      <c r="AP175" s="123">
        <f t="shared" si="1"/>
        <v>2090.7045373616625</v>
      </c>
      <c r="AQ175" s="123">
        <f t="shared" si="1"/>
        <v>2052.7017973616626</v>
      </c>
      <c r="AR175" s="123">
        <f t="shared" si="1"/>
        <v>2088.5039102759483</v>
      </c>
      <c r="AS175" s="123">
        <f t="shared" si="1"/>
        <v>2124.0411200000003</v>
      </c>
      <c r="AT175" s="123">
        <f t="shared" si="1"/>
        <v>2142.0433600000006</v>
      </c>
      <c r="AU175" s="123">
        <f t="shared" si="1"/>
        <v>2160.0456000000004</v>
      </c>
      <c r="AV175" s="123">
        <f t="shared" si="1"/>
        <v>2158.0473400000001</v>
      </c>
      <c r="AW175" s="123">
        <f t="shared" si="1"/>
        <v>2156.0490800000002</v>
      </c>
      <c r="AX175" s="123">
        <f t="shared" si="1"/>
        <v>2154.0508200000004</v>
      </c>
      <c r="AY175" s="123">
        <f t="shared" si="1"/>
        <v>2152.0525600000001</v>
      </c>
    </row>
    <row r="176" spans="1:52">
      <c r="A176" s="124"/>
      <c r="B176" s="135" t="s">
        <v>298</v>
      </c>
      <c r="C176" s="124" t="s">
        <v>292</v>
      </c>
      <c r="D176" s="124">
        <v>383</v>
      </c>
      <c r="E176" s="124">
        <v>376</v>
      </c>
      <c r="F176" s="124">
        <v>336</v>
      </c>
      <c r="G176" s="124">
        <v>281</v>
      </c>
      <c r="H176" s="124">
        <v>285</v>
      </c>
      <c r="I176" s="124">
        <v>386</v>
      </c>
      <c r="J176" s="124">
        <v>285</v>
      </c>
      <c r="K176" s="124">
        <v>381</v>
      </c>
      <c r="L176" s="124">
        <v>421</v>
      </c>
      <c r="M176" s="124">
        <v>354</v>
      </c>
      <c r="N176" s="124">
        <v>312</v>
      </c>
      <c r="O176" s="124">
        <v>391</v>
      </c>
      <c r="P176" s="124">
        <v>366</v>
      </c>
      <c r="Q176" s="124">
        <v>357</v>
      </c>
      <c r="R176" s="124">
        <v>376</v>
      </c>
      <c r="S176" s="124">
        <v>421</v>
      </c>
      <c r="T176" s="124">
        <v>342</v>
      </c>
      <c r="U176" s="124">
        <v>297</v>
      </c>
      <c r="V176" s="124">
        <v>406</v>
      </c>
      <c r="W176" s="124">
        <v>304</v>
      </c>
      <c r="X176" s="124">
        <v>456</v>
      </c>
      <c r="Y176" s="124">
        <v>405</v>
      </c>
      <c r="Z176" s="124">
        <v>422</v>
      </c>
      <c r="AA176" s="124">
        <v>296</v>
      </c>
      <c r="AB176" s="124">
        <v>373</v>
      </c>
      <c r="AC176" s="124">
        <v>298</v>
      </c>
      <c r="AD176" s="124">
        <v>347</v>
      </c>
      <c r="AE176" s="124">
        <v>452</v>
      </c>
      <c r="AF176" s="124">
        <v>325</v>
      </c>
      <c r="AG176" s="124">
        <v>321</v>
      </c>
      <c r="AH176" s="124">
        <v>381</v>
      </c>
      <c r="AI176" s="124">
        <v>322</v>
      </c>
      <c r="AJ176" s="124">
        <v>408</v>
      </c>
      <c r="AK176" s="124">
        <v>354</v>
      </c>
      <c r="AL176" s="124">
        <v>357</v>
      </c>
      <c r="AM176" s="124">
        <v>456</v>
      </c>
      <c r="AN176" s="124">
        <v>400</v>
      </c>
      <c r="AO176" s="124">
        <v>404</v>
      </c>
      <c r="AP176" s="124">
        <v>394</v>
      </c>
      <c r="AQ176" s="124">
        <v>394</v>
      </c>
      <c r="AR176" s="124">
        <v>427</v>
      </c>
      <c r="AS176" s="124">
        <v>407</v>
      </c>
      <c r="AT176" s="124">
        <v>302</v>
      </c>
      <c r="AU176" s="124">
        <v>444</v>
      </c>
      <c r="AV176" s="124">
        <v>407</v>
      </c>
      <c r="AW176" s="124">
        <v>384</v>
      </c>
      <c r="AX176" s="124">
        <v>368</v>
      </c>
      <c r="AY176" s="124">
        <v>359</v>
      </c>
    </row>
    <row r="177" spans="1:51">
      <c r="A177" s="134" t="s">
        <v>133</v>
      </c>
      <c r="B177" s="134" t="s">
        <v>297</v>
      </c>
      <c r="C177" s="123" t="s">
        <v>292</v>
      </c>
      <c r="D177" s="123">
        <f t="shared" ref="D177:AY177" si="2">SUM(D100:D107)</f>
        <v>0</v>
      </c>
      <c r="E177" s="123">
        <f t="shared" si="2"/>
        <v>0</v>
      </c>
      <c r="F177" s="123">
        <f t="shared" si="2"/>
        <v>288.67646335325571</v>
      </c>
      <c r="G177" s="123">
        <f t="shared" si="2"/>
        <v>654.37353680674437</v>
      </c>
      <c r="H177" s="123">
        <f t="shared" si="2"/>
        <v>1764.0222463664504</v>
      </c>
      <c r="I177" s="123">
        <f t="shared" si="2"/>
        <v>2308.8610289768403</v>
      </c>
      <c r="J177" s="123">
        <f t="shared" si="2"/>
        <v>2656.9225491368402</v>
      </c>
      <c r="K177" s="123">
        <f t="shared" si="2"/>
        <v>2613.4770740376202</v>
      </c>
      <c r="L177" s="123">
        <f t="shared" si="2"/>
        <v>3437.7371143576202</v>
      </c>
      <c r="M177" s="123">
        <f t="shared" si="2"/>
        <v>3620.1546392584</v>
      </c>
      <c r="N177" s="123">
        <f t="shared" si="2"/>
        <v>4612.8824044747189</v>
      </c>
      <c r="O177" s="123">
        <f t="shared" si="2"/>
        <v>5167.0293946347192</v>
      </c>
      <c r="P177" s="123">
        <f t="shared" si="2"/>
        <v>5308.7913279879749</v>
      </c>
      <c r="Q177" s="123">
        <f t="shared" si="2"/>
        <v>5662.1648647947186</v>
      </c>
      <c r="R177" s="123">
        <f t="shared" si="2"/>
        <v>6719.282435632279</v>
      </c>
      <c r="S177" s="123">
        <f t="shared" si="2"/>
        <v>6918.9655252866796</v>
      </c>
      <c r="T177" s="123">
        <f t="shared" si="2"/>
        <v>6559.3252628362898</v>
      </c>
      <c r="U177" s="123">
        <f t="shared" si="2"/>
        <v>6559.3252628362898</v>
      </c>
      <c r="V177" s="123">
        <f t="shared" si="2"/>
        <v>6258.8470956884066</v>
      </c>
      <c r="W177" s="123">
        <f t="shared" si="2"/>
        <v>6662.7440345999412</v>
      </c>
      <c r="X177" s="123">
        <f t="shared" si="2"/>
        <v>6046.093597447596</v>
      </c>
      <c r="Y177" s="123">
        <f t="shared" si="2"/>
        <v>6146.3827420027774</v>
      </c>
      <c r="Z177" s="123">
        <f t="shared" si="2"/>
        <v>6625.2559167047311</v>
      </c>
      <c r="AA177" s="123">
        <f t="shared" si="2"/>
        <v>6147.8896244399402</v>
      </c>
      <c r="AB177" s="123">
        <f t="shared" si="2"/>
        <v>6305.4447153428064</v>
      </c>
      <c r="AC177" s="123">
        <f t="shared" si="2"/>
        <v>6253.9394595391614</v>
      </c>
      <c r="AD177" s="123">
        <f t="shared" si="2"/>
        <v>6216.2487207876266</v>
      </c>
      <c r="AE177" s="123">
        <f t="shared" si="2"/>
        <v>6473.1266453295812</v>
      </c>
      <c r="AF177" s="123">
        <f t="shared" si="2"/>
        <v>6577.4282265780466</v>
      </c>
      <c r="AG177" s="123">
        <f t="shared" si="2"/>
        <v>6335.1144011200013</v>
      </c>
      <c r="AH177" s="123">
        <f t="shared" si="2"/>
        <v>6335.1182809600014</v>
      </c>
      <c r="AI177" s="123">
        <f t="shared" si="2"/>
        <v>6335.1182809600004</v>
      </c>
      <c r="AJ177" s="123">
        <f t="shared" si="2"/>
        <v>6843.3245608000007</v>
      </c>
      <c r="AK177" s="123">
        <f t="shared" si="2"/>
        <v>6843.3284406400007</v>
      </c>
      <c r="AL177" s="123">
        <f t="shared" si="2"/>
        <v>6248.8579138332561</v>
      </c>
      <c r="AM177" s="123">
        <f t="shared" si="2"/>
        <v>6328.4779103200008</v>
      </c>
      <c r="AN177" s="123">
        <f t="shared" si="2"/>
        <v>6175.39632016</v>
      </c>
      <c r="AO177" s="123">
        <f t="shared" si="2"/>
        <v>6557.0045599999994</v>
      </c>
      <c r="AP177" s="123">
        <f t="shared" si="2"/>
        <v>6128.9783160239058</v>
      </c>
      <c r="AQ177" s="123">
        <f t="shared" si="2"/>
        <v>5853.0558671703602</v>
      </c>
      <c r="AR177" s="123">
        <f t="shared" si="2"/>
        <v>5893.0890372339054</v>
      </c>
      <c r="AS177" s="123">
        <f t="shared" si="2"/>
        <v>5785.919668554001</v>
      </c>
      <c r="AT177" s="123">
        <f t="shared" si="2"/>
        <v>5433.0213685539993</v>
      </c>
      <c r="AU177" s="123">
        <f t="shared" si="2"/>
        <v>5277.717268553999</v>
      </c>
      <c r="AV177" s="123">
        <f t="shared" si="2"/>
        <v>4842.9842219072561</v>
      </c>
      <c r="AW177" s="123">
        <f t="shared" si="2"/>
        <v>4769.5148685539998</v>
      </c>
      <c r="AX177" s="123">
        <f t="shared" si="2"/>
        <v>5154.9132653196393</v>
      </c>
      <c r="AY177" s="123">
        <f t="shared" si="2"/>
        <v>5499.9448650560007</v>
      </c>
    </row>
    <row r="178" spans="1:51">
      <c r="A178" s="124"/>
      <c r="B178" s="135" t="s">
        <v>298</v>
      </c>
      <c r="C178" s="124" t="s">
        <v>292</v>
      </c>
      <c r="D178" s="124">
        <v>0</v>
      </c>
      <c r="E178" s="124">
        <v>0</v>
      </c>
      <c r="F178" s="124">
        <v>288.67646335325571</v>
      </c>
      <c r="G178" s="124">
        <v>377</v>
      </c>
      <c r="H178" s="124">
        <v>323</v>
      </c>
      <c r="I178" s="124">
        <v>382</v>
      </c>
      <c r="J178" s="124">
        <v>319</v>
      </c>
      <c r="K178" s="124">
        <v>414</v>
      </c>
      <c r="L178" s="124">
        <v>315</v>
      </c>
      <c r="M178" s="124">
        <v>358</v>
      </c>
      <c r="N178" s="124">
        <v>329</v>
      </c>
      <c r="O178" s="124">
        <v>300</v>
      </c>
      <c r="P178" s="124">
        <v>301</v>
      </c>
      <c r="Q178" s="124">
        <v>342</v>
      </c>
      <c r="R178" s="124">
        <v>360</v>
      </c>
      <c r="S178" s="124">
        <v>310</v>
      </c>
      <c r="T178" s="124">
        <v>342</v>
      </c>
      <c r="U178" s="124">
        <v>392</v>
      </c>
      <c r="V178" s="124">
        <v>336</v>
      </c>
      <c r="W178" s="124">
        <v>345</v>
      </c>
      <c r="X178" s="124">
        <v>364</v>
      </c>
      <c r="Y178" s="124">
        <v>351</v>
      </c>
      <c r="Z178" s="124">
        <v>332</v>
      </c>
      <c r="AA178" s="124">
        <v>351</v>
      </c>
      <c r="AB178" s="124">
        <v>328</v>
      </c>
      <c r="AC178" s="124">
        <v>290</v>
      </c>
      <c r="AD178" s="124">
        <v>405</v>
      </c>
      <c r="AE178" s="124">
        <v>310</v>
      </c>
      <c r="AF178" s="124">
        <v>388</v>
      </c>
      <c r="AG178" s="124">
        <v>332</v>
      </c>
      <c r="AH178" s="124">
        <v>324</v>
      </c>
      <c r="AI178" s="124">
        <v>387</v>
      </c>
      <c r="AJ178" s="124">
        <v>410</v>
      </c>
      <c r="AK178" s="124">
        <v>343</v>
      </c>
      <c r="AL178" s="124">
        <v>387</v>
      </c>
      <c r="AM178" s="124">
        <v>380</v>
      </c>
      <c r="AN178" s="124">
        <v>338</v>
      </c>
      <c r="AO178" s="124">
        <v>406</v>
      </c>
      <c r="AP178" s="124">
        <v>297</v>
      </c>
      <c r="AQ178" s="124">
        <v>381</v>
      </c>
      <c r="AR178" s="124">
        <v>394</v>
      </c>
      <c r="AS178" s="124">
        <v>301</v>
      </c>
      <c r="AT178" s="124">
        <v>345</v>
      </c>
      <c r="AU178" s="124">
        <v>336</v>
      </c>
      <c r="AV178" s="124">
        <v>410</v>
      </c>
      <c r="AW178" s="124">
        <v>386</v>
      </c>
      <c r="AX178" s="124">
        <v>307</v>
      </c>
      <c r="AY178" s="124">
        <v>464</v>
      </c>
    </row>
    <row r="179" spans="1:51">
      <c r="A179" s="134" t="s">
        <v>134</v>
      </c>
      <c r="B179" s="134" t="s">
        <v>297</v>
      </c>
      <c r="C179" s="123" t="s">
        <v>292</v>
      </c>
      <c r="D179" s="123">
        <f t="shared" ref="D179:AY179" si="3">SUM(D109:D120)</f>
        <v>0</v>
      </c>
      <c r="E179" s="123">
        <f t="shared" si="3"/>
        <v>0</v>
      </c>
      <c r="F179" s="123">
        <f t="shared" si="3"/>
        <v>0</v>
      </c>
      <c r="G179" s="123">
        <f t="shared" si="3"/>
        <v>268.88974950177413</v>
      </c>
      <c r="H179" s="123">
        <f t="shared" si="3"/>
        <v>659.55800488880845</v>
      </c>
      <c r="I179" s="123">
        <f t="shared" si="3"/>
        <v>1927.0729281843014</v>
      </c>
      <c r="J179" s="123">
        <f t="shared" si="3"/>
        <v>2784.0468239243319</v>
      </c>
      <c r="K179" s="123">
        <f t="shared" si="3"/>
        <v>3434.9240778677545</v>
      </c>
      <c r="L179" s="123">
        <f t="shared" si="3"/>
        <v>3627.2757892262989</v>
      </c>
      <c r="M179" s="123">
        <f t="shared" si="3"/>
        <v>4559.2310552364579</v>
      </c>
      <c r="N179" s="123">
        <f t="shared" si="3"/>
        <v>5065.1464763019148</v>
      </c>
      <c r="O179" s="123">
        <f t="shared" si="3"/>
        <v>6222.6417703581528</v>
      </c>
      <c r="P179" s="123">
        <f t="shared" si="3"/>
        <v>7069.7753033542276</v>
      </c>
      <c r="Q179" s="123">
        <f t="shared" si="3"/>
        <v>7493.967248202458</v>
      </c>
      <c r="R179" s="123">
        <f t="shared" si="3"/>
        <v>7940.1075469205662</v>
      </c>
      <c r="S179" s="123">
        <f t="shared" si="3"/>
        <v>9214.3257619912056</v>
      </c>
      <c r="T179" s="123">
        <f t="shared" si="3"/>
        <v>10115.601155706143</v>
      </c>
      <c r="U179" s="123">
        <f t="shared" si="3"/>
        <v>10582.339006201506</v>
      </c>
      <c r="V179" s="123">
        <f t="shared" si="3"/>
        <v>11039.364727253476</v>
      </c>
      <c r="W179" s="123">
        <f t="shared" si="3"/>
        <v>10823.90047539539</v>
      </c>
      <c r="X179" s="123">
        <f t="shared" si="3"/>
        <v>11727.94881059932</v>
      </c>
      <c r="Y179" s="123">
        <f t="shared" si="3"/>
        <v>11056.464475875535</v>
      </c>
      <c r="Z179" s="123">
        <f t="shared" si="3"/>
        <v>11322.211234514691</v>
      </c>
      <c r="AA179" s="123">
        <f t="shared" si="3"/>
        <v>11365.923028574531</v>
      </c>
      <c r="AB179" s="123">
        <f t="shared" si="3"/>
        <v>10903.00320067591</v>
      </c>
      <c r="AC179" s="123">
        <f t="shared" si="3"/>
        <v>11135.210954422493</v>
      </c>
      <c r="AD179" s="123">
        <f t="shared" si="3"/>
        <v>11350.177736627746</v>
      </c>
      <c r="AE179" s="123">
        <f t="shared" si="3"/>
        <v>10726.7758234089</v>
      </c>
      <c r="AF179" s="123">
        <f t="shared" si="3"/>
        <v>10806.630576593923</v>
      </c>
      <c r="AG179" s="123">
        <f t="shared" si="3"/>
        <v>11229.09338399089</v>
      </c>
      <c r="AH179" s="123">
        <f t="shared" si="3"/>
        <v>11096.79244839184</v>
      </c>
      <c r="AI179" s="123">
        <f t="shared" si="3"/>
        <v>11367.188381138792</v>
      </c>
      <c r="AJ179" s="123">
        <f t="shared" si="3"/>
        <v>11048.976223155723</v>
      </c>
      <c r="AK179" s="123">
        <f t="shared" si="3"/>
        <v>12011.666953373135</v>
      </c>
      <c r="AL179" s="123">
        <f t="shared" si="3"/>
        <v>12159.173471635815</v>
      </c>
      <c r="AM179" s="123">
        <f t="shared" si="3"/>
        <v>11230.208949335507</v>
      </c>
      <c r="AN179" s="123">
        <f t="shared" si="3"/>
        <v>11552.533397460269</v>
      </c>
      <c r="AO179" s="123">
        <f t="shared" si="3"/>
        <v>11552.739336008763</v>
      </c>
      <c r="AP179" s="123">
        <f t="shared" si="3"/>
        <v>11764.474025616002</v>
      </c>
      <c r="AQ179" s="123">
        <f t="shared" si="3"/>
        <v>11507.505121306873</v>
      </c>
      <c r="AR179" s="123">
        <f t="shared" si="3"/>
        <v>10959.183036471599</v>
      </c>
      <c r="AS179" s="123">
        <f t="shared" si="3"/>
        <v>10789.636618095246</v>
      </c>
      <c r="AT179" s="123">
        <f t="shared" si="3"/>
        <v>10888.932842114866</v>
      </c>
      <c r="AU179" s="123">
        <f t="shared" si="3"/>
        <v>10583.885542879565</v>
      </c>
      <c r="AV179" s="123">
        <f t="shared" si="3"/>
        <v>9893.8110686519813</v>
      </c>
      <c r="AW179" s="123">
        <f t="shared" si="3"/>
        <v>8850.5676313651711</v>
      </c>
      <c r="AX179" s="123">
        <f t="shared" si="3"/>
        <v>8528.9650586168864</v>
      </c>
      <c r="AY179" s="123">
        <f t="shared" si="3"/>
        <v>9315.6301383111186</v>
      </c>
    </row>
    <row r="180" spans="1:51">
      <c r="A180" s="124"/>
      <c r="B180" s="135" t="s">
        <v>298</v>
      </c>
      <c r="C180" s="124" t="s">
        <v>292</v>
      </c>
      <c r="D180" s="124">
        <v>0</v>
      </c>
      <c r="E180" s="124">
        <v>0</v>
      </c>
      <c r="F180" s="124">
        <v>0</v>
      </c>
      <c r="G180" s="124">
        <v>217</v>
      </c>
      <c r="H180" s="124">
        <v>201</v>
      </c>
      <c r="I180" s="124">
        <v>241</v>
      </c>
      <c r="J180" s="124">
        <v>226</v>
      </c>
      <c r="K180" s="124">
        <v>199</v>
      </c>
      <c r="L180" s="124">
        <v>238</v>
      </c>
      <c r="M180" s="124">
        <v>186</v>
      </c>
      <c r="N180" s="124">
        <v>199</v>
      </c>
      <c r="O180" s="124">
        <v>232</v>
      </c>
      <c r="P180" s="124">
        <v>178</v>
      </c>
      <c r="Q180" s="124">
        <v>230</v>
      </c>
      <c r="R180" s="124">
        <v>232</v>
      </c>
      <c r="S180" s="124">
        <v>205</v>
      </c>
      <c r="T180" s="124">
        <v>209</v>
      </c>
      <c r="U180" s="124">
        <v>189</v>
      </c>
      <c r="V180" s="124">
        <v>182</v>
      </c>
      <c r="W180" s="124">
        <v>234</v>
      </c>
      <c r="X180" s="124">
        <v>195</v>
      </c>
      <c r="Y180" s="124">
        <v>222</v>
      </c>
      <c r="Z180" s="124">
        <v>232</v>
      </c>
      <c r="AA180" s="124">
        <v>235</v>
      </c>
      <c r="AB180" s="124">
        <v>171</v>
      </c>
      <c r="AC180" s="124">
        <v>213</v>
      </c>
      <c r="AD180" s="124">
        <v>205</v>
      </c>
      <c r="AE180" s="124">
        <v>223</v>
      </c>
      <c r="AF180" s="124">
        <v>246</v>
      </c>
      <c r="AG180" s="124">
        <v>242</v>
      </c>
      <c r="AH180" s="124">
        <v>201</v>
      </c>
      <c r="AI180" s="124">
        <v>198</v>
      </c>
      <c r="AJ180" s="124">
        <v>200</v>
      </c>
      <c r="AK180" s="124">
        <v>244</v>
      </c>
      <c r="AL180" s="124">
        <v>215</v>
      </c>
      <c r="AM180" s="124">
        <v>176</v>
      </c>
      <c r="AN180" s="124">
        <v>236</v>
      </c>
      <c r="AO180" s="124">
        <v>227</v>
      </c>
      <c r="AP180" s="124">
        <v>241</v>
      </c>
      <c r="AQ180" s="124">
        <v>212</v>
      </c>
      <c r="AR180" s="124">
        <v>241</v>
      </c>
      <c r="AS180" s="124">
        <v>193</v>
      </c>
      <c r="AT180" s="124">
        <v>184</v>
      </c>
      <c r="AU180" s="124">
        <v>214</v>
      </c>
      <c r="AV180" s="124">
        <v>280</v>
      </c>
      <c r="AW180" s="124">
        <v>195</v>
      </c>
      <c r="AX180" s="124">
        <v>188</v>
      </c>
      <c r="AY180" s="124">
        <v>211</v>
      </c>
    </row>
    <row r="181" spans="1:51">
      <c r="A181" s="134" t="s">
        <v>123</v>
      </c>
      <c r="B181" s="134" t="s">
        <v>297</v>
      </c>
      <c r="C181" s="123" t="s">
        <v>292</v>
      </c>
      <c r="D181" s="123">
        <f t="shared" ref="D181:AY181" si="4">(1-D172)*SUM(D122:D169)</f>
        <v>0</v>
      </c>
      <c r="E181" s="123">
        <f t="shared" si="4"/>
        <v>0</v>
      </c>
      <c r="F181" s="123">
        <f t="shared" si="4"/>
        <v>92.433787144970083</v>
      </c>
      <c r="G181" s="123">
        <f t="shared" si="4"/>
        <v>208.89259734622146</v>
      </c>
      <c r="H181" s="123">
        <f t="shared" si="4"/>
        <v>504.81803821313781</v>
      </c>
      <c r="I181" s="123">
        <f t="shared" si="4"/>
        <v>377.44051440271772</v>
      </c>
      <c r="J181" s="123">
        <f t="shared" si="4"/>
        <v>301.43612983929478</v>
      </c>
      <c r="K181" s="123">
        <f t="shared" si="4"/>
        <v>134.53142357997081</v>
      </c>
      <c r="L181" s="123">
        <f t="shared" si="4"/>
        <v>402.18489632981129</v>
      </c>
      <c r="M181" s="123">
        <f t="shared" si="4"/>
        <v>237.8534803635747</v>
      </c>
      <c r="N181" s="123">
        <f t="shared" si="4"/>
        <v>466.31006762539516</v>
      </c>
      <c r="O181" s="123">
        <f t="shared" si="4"/>
        <v>370.9639340093201</v>
      </c>
      <c r="P181" s="123">
        <f t="shared" si="4"/>
        <v>207.01005580783433</v>
      </c>
      <c r="Q181" s="123">
        <f t="shared" si="4"/>
        <v>232.43060982298164</v>
      </c>
      <c r="R181" s="123">
        <f t="shared" si="4"/>
        <v>517.77895640755082</v>
      </c>
      <c r="S181" s="123">
        <f t="shared" si="4"/>
        <v>380.29424496782383</v>
      </c>
      <c r="T181" s="123">
        <f t="shared" si="4"/>
        <v>232.29226385246028</v>
      </c>
      <c r="U181" s="123">
        <f t="shared" si="4"/>
        <v>311.81609080576919</v>
      </c>
      <c r="V181" s="123">
        <f t="shared" si="4"/>
        <v>227.36794081199577</v>
      </c>
      <c r="W181" s="123">
        <f t="shared" si="4"/>
        <v>445.30790925799039</v>
      </c>
      <c r="X181" s="123">
        <f t="shared" si="4"/>
        <v>171.3548249639606</v>
      </c>
      <c r="Y181" s="123">
        <f t="shared" si="4"/>
        <v>329.20683008416574</v>
      </c>
      <c r="Z181" s="123">
        <f t="shared" si="4"/>
        <v>481.33647408134419</v>
      </c>
      <c r="AA181" s="123">
        <f t="shared" si="4"/>
        <v>211.8301889838894</v>
      </c>
      <c r="AB181" s="123">
        <f t="shared" si="4"/>
        <v>286.83400641582023</v>
      </c>
      <c r="AC181" s="123">
        <f t="shared" si="4"/>
        <v>306.32778822571652</v>
      </c>
      <c r="AD181" s="123">
        <f t="shared" si="4"/>
        <v>303.47774240066445</v>
      </c>
      <c r="AE181" s="123">
        <f t="shared" si="4"/>
        <v>407.74518823395931</v>
      </c>
      <c r="AF181" s="123">
        <f t="shared" si="4"/>
        <v>377.51846636837314</v>
      </c>
      <c r="AG181" s="123">
        <f t="shared" si="4"/>
        <v>266.33619972437862</v>
      </c>
      <c r="AH181" s="123">
        <f t="shared" si="4"/>
        <v>320.31949489209046</v>
      </c>
      <c r="AI181" s="123">
        <f t="shared" si="4"/>
        <v>335.91900569268608</v>
      </c>
      <c r="AJ181" s="123">
        <f t="shared" si="4"/>
        <v>502.2902741889028</v>
      </c>
      <c r="AK181" s="123">
        <f t="shared" si="4"/>
        <v>379.913806221605</v>
      </c>
      <c r="AL181" s="123">
        <f t="shared" si="4"/>
        <v>161.99477705258107</v>
      </c>
      <c r="AM181" s="123">
        <f t="shared" si="4"/>
        <v>322.63273718362103</v>
      </c>
      <c r="AN181" s="123">
        <f t="shared" si="4"/>
        <v>286.90480004031383</v>
      </c>
      <c r="AO181" s="123">
        <f t="shared" si="4"/>
        <v>379.11389950971295</v>
      </c>
      <c r="AP181" s="123">
        <f t="shared" si="4"/>
        <v>215.14187594313884</v>
      </c>
      <c r="AQ181" s="123">
        <f t="shared" si="4"/>
        <v>219.25348495980592</v>
      </c>
      <c r="AR181" s="123">
        <f t="shared" si="4"/>
        <v>319.23503393396379</v>
      </c>
      <c r="AS181" s="123">
        <f t="shared" si="4"/>
        <v>300.47036085300181</v>
      </c>
      <c r="AT181" s="123">
        <f t="shared" si="4"/>
        <v>215.45615525601485</v>
      </c>
      <c r="AU181" s="123">
        <f t="shared" si="4"/>
        <v>98.698370904193681</v>
      </c>
      <c r="AV181" s="123">
        <f t="shared" si="4"/>
        <v>143.66395242977006</v>
      </c>
      <c r="AW181" s="123">
        <f t="shared" si="4"/>
        <v>269.35941056401361</v>
      </c>
      <c r="AX181" s="123">
        <f t="shared" si="4"/>
        <v>432.41948705201429</v>
      </c>
      <c r="AY181" s="123">
        <f t="shared" si="4"/>
        <v>461.63241120178287</v>
      </c>
    </row>
    <row r="182" spans="1:51">
      <c r="A182" s="124"/>
      <c r="B182" s="135" t="s">
        <v>298</v>
      </c>
      <c r="C182" s="124" t="s">
        <v>292</v>
      </c>
      <c r="D182" s="124">
        <v>0</v>
      </c>
      <c r="E182" s="124">
        <v>0</v>
      </c>
      <c r="F182" s="124">
        <v>92.433787144970083</v>
      </c>
      <c r="G182" s="124">
        <v>91</v>
      </c>
      <c r="H182" s="124">
        <v>113</v>
      </c>
      <c r="I182" s="124">
        <v>110</v>
      </c>
      <c r="J182" s="124">
        <v>121</v>
      </c>
      <c r="K182" s="124">
        <v>106</v>
      </c>
      <c r="L182" s="124">
        <v>96</v>
      </c>
      <c r="M182" s="124">
        <v>100</v>
      </c>
      <c r="N182" s="124">
        <v>119</v>
      </c>
      <c r="O182" s="124">
        <v>115</v>
      </c>
      <c r="P182" s="124">
        <v>115</v>
      </c>
      <c r="Q182" s="124">
        <v>100</v>
      </c>
      <c r="R182" s="124">
        <v>87</v>
      </c>
      <c r="S182" s="124">
        <v>105</v>
      </c>
      <c r="T182" s="124">
        <v>97</v>
      </c>
      <c r="U182" s="124">
        <v>102</v>
      </c>
      <c r="V182" s="124">
        <v>92</v>
      </c>
      <c r="W182" s="124">
        <v>109</v>
      </c>
      <c r="X182" s="124">
        <v>113</v>
      </c>
      <c r="Y182" s="124">
        <v>100</v>
      </c>
      <c r="Z182" s="124">
        <v>115</v>
      </c>
      <c r="AA182" s="124">
        <v>93</v>
      </c>
      <c r="AB182" s="124">
        <v>109</v>
      </c>
      <c r="AC182" s="124">
        <v>128</v>
      </c>
      <c r="AD182" s="124">
        <v>88</v>
      </c>
      <c r="AE182" s="124">
        <v>118</v>
      </c>
      <c r="AF182" s="124">
        <v>89</v>
      </c>
      <c r="AG182" s="124">
        <v>117</v>
      </c>
      <c r="AH182" s="124">
        <v>110</v>
      </c>
      <c r="AI182" s="124">
        <v>108</v>
      </c>
      <c r="AJ182" s="124">
        <v>120</v>
      </c>
      <c r="AK182" s="124">
        <v>108</v>
      </c>
      <c r="AL182" s="124">
        <v>104</v>
      </c>
      <c r="AM182" s="124">
        <v>112</v>
      </c>
      <c r="AN182" s="124">
        <v>108</v>
      </c>
      <c r="AO182" s="124">
        <v>108</v>
      </c>
      <c r="AP182" s="124">
        <v>116</v>
      </c>
      <c r="AQ182" s="124">
        <v>124</v>
      </c>
      <c r="AR182" s="124">
        <v>114</v>
      </c>
      <c r="AS182" s="124">
        <v>123</v>
      </c>
      <c r="AT182" s="124">
        <v>105</v>
      </c>
      <c r="AU182" s="124">
        <v>98.698370904193681</v>
      </c>
      <c r="AV182" s="124">
        <v>102</v>
      </c>
      <c r="AW182" s="124">
        <v>110</v>
      </c>
      <c r="AX182" s="124">
        <v>113</v>
      </c>
      <c r="AY182" s="124">
        <v>127</v>
      </c>
    </row>
    <row r="184" spans="1:51">
      <c r="A184" s="101" t="s">
        <v>299</v>
      </c>
    </row>
    <row r="185" spans="1:51">
      <c r="A185" s="125" t="s">
        <v>125</v>
      </c>
      <c r="B185" s="122">
        <v>1</v>
      </c>
      <c r="C185" s="123"/>
      <c r="D185" s="123">
        <v>383</v>
      </c>
      <c r="E185" s="123">
        <v>218.98859999999991</v>
      </c>
      <c r="F185" s="123">
        <v>14.977199999999812</v>
      </c>
      <c r="G185" s="123">
        <v>0</v>
      </c>
      <c r="H185" s="123">
        <v>0</v>
      </c>
      <c r="I185" s="123">
        <v>0</v>
      </c>
      <c r="J185" s="123">
        <v>0</v>
      </c>
      <c r="K185" s="123">
        <v>0</v>
      </c>
      <c r="L185" s="123">
        <v>0</v>
      </c>
      <c r="M185" s="123">
        <v>0</v>
      </c>
      <c r="N185" s="123">
        <v>0</v>
      </c>
      <c r="O185" s="123">
        <v>0</v>
      </c>
      <c r="P185" s="123">
        <v>0</v>
      </c>
      <c r="Q185" s="123">
        <v>0</v>
      </c>
      <c r="R185" s="123">
        <v>0</v>
      </c>
      <c r="S185" s="123">
        <v>0</v>
      </c>
      <c r="T185" s="123">
        <v>0</v>
      </c>
      <c r="U185" s="123">
        <v>0</v>
      </c>
      <c r="V185" s="123">
        <v>0</v>
      </c>
      <c r="W185" s="123">
        <v>0</v>
      </c>
      <c r="X185" s="123">
        <v>0</v>
      </c>
      <c r="Y185" s="123">
        <v>0</v>
      </c>
      <c r="Z185" s="123">
        <v>0</v>
      </c>
      <c r="AA185" s="123">
        <v>0</v>
      </c>
      <c r="AB185" s="123">
        <v>0</v>
      </c>
      <c r="AC185" s="123">
        <v>0</v>
      </c>
      <c r="AD185" s="123">
        <v>0</v>
      </c>
      <c r="AE185" s="123">
        <v>0</v>
      </c>
      <c r="AF185" s="123">
        <v>0</v>
      </c>
      <c r="AG185" s="123">
        <v>0</v>
      </c>
      <c r="AH185" s="123">
        <v>0</v>
      </c>
      <c r="AI185" s="123">
        <v>0</v>
      </c>
      <c r="AJ185" s="123">
        <v>0</v>
      </c>
      <c r="AK185" s="123">
        <v>0</v>
      </c>
      <c r="AL185" s="123">
        <v>0</v>
      </c>
      <c r="AM185" s="123">
        <v>0</v>
      </c>
      <c r="AN185" s="123">
        <v>0</v>
      </c>
      <c r="AO185" s="123">
        <v>0</v>
      </c>
      <c r="AP185" s="123">
        <v>0</v>
      </c>
      <c r="AQ185" s="123">
        <v>0</v>
      </c>
      <c r="AR185" s="123">
        <v>0</v>
      </c>
      <c r="AS185" s="123">
        <v>0</v>
      </c>
      <c r="AT185" s="123">
        <v>0</v>
      </c>
      <c r="AU185" s="123">
        <v>0</v>
      </c>
      <c r="AV185" s="123">
        <v>0</v>
      </c>
      <c r="AW185" s="123">
        <v>0</v>
      </c>
      <c r="AX185" s="123">
        <v>0</v>
      </c>
      <c r="AY185" s="123">
        <v>0</v>
      </c>
    </row>
    <row r="186" spans="1:51">
      <c r="A186" s="108"/>
      <c r="B186" s="119">
        <v>2</v>
      </c>
      <c r="C186" s="105"/>
      <c r="D186" s="105">
        <v>0</v>
      </c>
      <c r="E186" s="105">
        <v>157.01140000000009</v>
      </c>
      <c r="F186" s="105">
        <v>321.02280000000019</v>
      </c>
      <c r="G186" s="105">
        <v>281</v>
      </c>
      <c r="H186" s="105">
        <v>86.427334821408294</v>
      </c>
      <c r="I186" s="105">
        <v>0</v>
      </c>
      <c r="J186" s="105">
        <v>0</v>
      </c>
      <c r="K186" s="105">
        <v>0</v>
      </c>
      <c r="L186" s="105">
        <v>0</v>
      </c>
      <c r="M186" s="105">
        <v>0</v>
      </c>
      <c r="N186" s="105">
        <v>0</v>
      </c>
      <c r="O186" s="105">
        <v>0</v>
      </c>
      <c r="P186" s="105">
        <v>0</v>
      </c>
      <c r="Q186" s="105">
        <v>0</v>
      </c>
      <c r="R186" s="105">
        <v>0</v>
      </c>
      <c r="S186" s="105">
        <v>0</v>
      </c>
      <c r="T186" s="105">
        <v>0</v>
      </c>
      <c r="U186" s="105">
        <v>0</v>
      </c>
      <c r="V186" s="105">
        <v>0</v>
      </c>
      <c r="W186" s="105">
        <v>0</v>
      </c>
      <c r="X186" s="105">
        <v>0</v>
      </c>
      <c r="Y186" s="105">
        <v>0</v>
      </c>
      <c r="Z186" s="105">
        <v>0</v>
      </c>
      <c r="AA186" s="105">
        <v>0</v>
      </c>
      <c r="AB186" s="105">
        <v>0</v>
      </c>
      <c r="AC186" s="105">
        <v>0</v>
      </c>
      <c r="AD186" s="105">
        <v>0</v>
      </c>
      <c r="AE186" s="105">
        <v>0</v>
      </c>
      <c r="AF186" s="105">
        <v>0</v>
      </c>
      <c r="AG186" s="105">
        <v>0</v>
      </c>
      <c r="AH186" s="105">
        <v>0</v>
      </c>
      <c r="AI186" s="105">
        <v>0</v>
      </c>
      <c r="AJ186" s="105">
        <v>0</v>
      </c>
      <c r="AK186" s="105">
        <v>0</v>
      </c>
      <c r="AL186" s="105">
        <v>0</v>
      </c>
      <c r="AM186" s="105">
        <v>0</v>
      </c>
      <c r="AN186" s="105">
        <v>0</v>
      </c>
      <c r="AO186" s="105">
        <v>0</v>
      </c>
      <c r="AP186" s="105">
        <v>0</v>
      </c>
      <c r="AQ186" s="105">
        <v>0</v>
      </c>
      <c r="AR186" s="105">
        <v>0</v>
      </c>
      <c r="AS186" s="105">
        <v>0</v>
      </c>
      <c r="AT186" s="105">
        <v>0</v>
      </c>
      <c r="AU186" s="105">
        <v>0</v>
      </c>
      <c r="AV186" s="105">
        <v>0</v>
      </c>
      <c r="AW186" s="105">
        <v>0</v>
      </c>
      <c r="AX186" s="105">
        <v>0</v>
      </c>
      <c r="AY186" s="105">
        <v>0</v>
      </c>
    </row>
    <row r="187" spans="1:51">
      <c r="A187" s="108"/>
      <c r="B187" s="126">
        <v>3</v>
      </c>
      <c r="C187" s="105"/>
      <c r="D187" s="105">
        <v>0</v>
      </c>
      <c r="E187" s="105">
        <v>0</v>
      </c>
      <c r="F187" s="105">
        <v>0</v>
      </c>
      <c r="G187" s="105">
        <v>0</v>
      </c>
      <c r="H187" s="105">
        <v>198.57266517859171</v>
      </c>
      <c r="I187" s="105">
        <v>386</v>
      </c>
      <c r="J187" s="105">
        <v>217.4159348214082</v>
      </c>
      <c r="K187" s="105">
        <v>58.404534821408106</v>
      </c>
      <c r="L187" s="105">
        <v>0</v>
      </c>
      <c r="M187" s="105">
        <v>0</v>
      </c>
      <c r="N187" s="105">
        <v>0</v>
      </c>
      <c r="O187" s="105">
        <v>0</v>
      </c>
      <c r="P187" s="105">
        <v>0</v>
      </c>
      <c r="Q187" s="105">
        <v>0</v>
      </c>
      <c r="R187" s="105">
        <v>0</v>
      </c>
      <c r="S187" s="105">
        <v>0</v>
      </c>
      <c r="T187" s="105">
        <v>0</v>
      </c>
      <c r="U187" s="105">
        <v>0</v>
      </c>
      <c r="V187" s="105">
        <v>0</v>
      </c>
      <c r="W187" s="105">
        <v>0</v>
      </c>
      <c r="X187" s="105">
        <v>0</v>
      </c>
      <c r="Y187" s="105">
        <v>0</v>
      </c>
      <c r="Z187" s="105">
        <v>0</v>
      </c>
      <c r="AA187" s="105">
        <v>0</v>
      </c>
      <c r="AB187" s="105">
        <v>0</v>
      </c>
      <c r="AC187" s="105">
        <v>0</v>
      </c>
      <c r="AD187" s="105">
        <v>0</v>
      </c>
      <c r="AE187" s="105">
        <v>0</v>
      </c>
      <c r="AF187" s="105">
        <v>0</v>
      </c>
      <c r="AG187" s="105">
        <v>0</v>
      </c>
      <c r="AH187" s="105">
        <v>0</v>
      </c>
      <c r="AI187" s="105">
        <v>0</v>
      </c>
      <c r="AJ187" s="105">
        <v>0</v>
      </c>
      <c r="AK187" s="105">
        <v>0</v>
      </c>
      <c r="AL187" s="105">
        <v>0</v>
      </c>
      <c r="AM187" s="105">
        <v>0</v>
      </c>
      <c r="AN187" s="105">
        <v>0</v>
      </c>
      <c r="AO187" s="105">
        <v>0</v>
      </c>
      <c r="AP187" s="105">
        <v>0</v>
      </c>
      <c r="AQ187" s="105">
        <v>0</v>
      </c>
      <c r="AR187" s="105">
        <v>0</v>
      </c>
      <c r="AS187" s="105">
        <v>0</v>
      </c>
      <c r="AT187" s="105">
        <v>0</v>
      </c>
      <c r="AU187" s="105">
        <v>0</v>
      </c>
      <c r="AV187" s="105">
        <v>0</v>
      </c>
      <c r="AW187" s="105">
        <v>0</v>
      </c>
      <c r="AX187" s="105">
        <v>0</v>
      </c>
      <c r="AY187" s="105">
        <v>0</v>
      </c>
    </row>
    <row r="188" spans="1:51">
      <c r="A188" s="127"/>
      <c r="B188" s="128">
        <v>4</v>
      </c>
      <c r="C188" s="105"/>
      <c r="D188" s="105">
        <v>0</v>
      </c>
      <c r="E188" s="105">
        <v>0</v>
      </c>
      <c r="F188" s="105">
        <v>0</v>
      </c>
      <c r="G188" s="105">
        <v>0</v>
      </c>
      <c r="H188" s="105">
        <v>0</v>
      </c>
      <c r="I188" s="105">
        <v>0</v>
      </c>
      <c r="J188" s="105">
        <v>67.5840651785918</v>
      </c>
      <c r="K188" s="105">
        <v>322.59546517859189</v>
      </c>
      <c r="L188" s="105">
        <v>421</v>
      </c>
      <c r="M188" s="105">
        <v>354</v>
      </c>
      <c r="N188" s="105">
        <v>312</v>
      </c>
      <c r="O188" s="105">
        <v>391</v>
      </c>
      <c r="P188" s="105">
        <v>366</v>
      </c>
      <c r="Q188" s="105">
        <v>357</v>
      </c>
      <c r="R188" s="105">
        <v>376</v>
      </c>
      <c r="S188" s="105">
        <v>421</v>
      </c>
      <c r="T188" s="105">
        <v>342</v>
      </c>
      <c r="U188" s="105">
        <v>297</v>
      </c>
      <c r="V188" s="105">
        <v>406</v>
      </c>
      <c r="W188" s="105">
        <v>304</v>
      </c>
      <c r="X188" s="105">
        <v>456</v>
      </c>
      <c r="Y188" s="105">
        <v>405</v>
      </c>
      <c r="Z188" s="105">
        <v>422</v>
      </c>
      <c r="AA188" s="105">
        <v>296</v>
      </c>
      <c r="AB188" s="105">
        <v>373</v>
      </c>
      <c r="AC188" s="105">
        <v>298</v>
      </c>
      <c r="AD188" s="105">
        <v>347</v>
      </c>
      <c r="AE188" s="105">
        <v>452</v>
      </c>
      <c r="AF188" s="105">
        <v>325</v>
      </c>
      <c r="AG188" s="105">
        <v>321</v>
      </c>
      <c r="AH188" s="105">
        <v>381</v>
      </c>
      <c r="AI188" s="105">
        <v>322</v>
      </c>
      <c r="AJ188" s="105">
        <v>408</v>
      </c>
      <c r="AK188" s="105">
        <v>354</v>
      </c>
      <c r="AL188" s="105">
        <v>357</v>
      </c>
      <c r="AM188" s="105">
        <v>456</v>
      </c>
      <c r="AN188" s="105">
        <v>400</v>
      </c>
      <c r="AO188" s="105">
        <v>404</v>
      </c>
      <c r="AP188" s="105">
        <v>394</v>
      </c>
      <c r="AQ188" s="105">
        <v>394</v>
      </c>
      <c r="AR188" s="105">
        <v>427</v>
      </c>
      <c r="AS188" s="105">
        <v>407</v>
      </c>
      <c r="AT188" s="105">
        <v>302</v>
      </c>
      <c r="AU188" s="105">
        <v>444</v>
      </c>
      <c r="AV188" s="105">
        <v>407</v>
      </c>
      <c r="AW188" s="105">
        <v>384</v>
      </c>
      <c r="AX188" s="105">
        <v>368</v>
      </c>
      <c r="AY188" s="105">
        <v>359</v>
      </c>
    </row>
    <row r="189" spans="1:51">
      <c r="A189" s="125" t="s">
        <v>133</v>
      </c>
      <c r="B189" s="122">
        <v>1</v>
      </c>
      <c r="C189" s="123"/>
      <c r="D189" s="123">
        <v>0</v>
      </c>
      <c r="E189" s="123">
        <v>0</v>
      </c>
      <c r="F189" s="123">
        <v>288.67646335325571</v>
      </c>
      <c r="G189" s="123">
        <v>0</v>
      </c>
      <c r="H189" s="123">
        <v>0</v>
      </c>
      <c r="I189" s="123">
        <v>0</v>
      </c>
      <c r="J189" s="123">
        <v>0</v>
      </c>
      <c r="K189" s="123">
        <v>0</v>
      </c>
      <c r="L189" s="123">
        <v>0</v>
      </c>
      <c r="M189" s="123">
        <v>0</v>
      </c>
      <c r="N189" s="123">
        <v>0</v>
      </c>
      <c r="O189" s="123">
        <v>0</v>
      </c>
      <c r="P189" s="123">
        <v>0</v>
      </c>
      <c r="Q189" s="123">
        <v>0</v>
      </c>
      <c r="R189" s="123">
        <v>0</v>
      </c>
      <c r="S189" s="123">
        <v>0</v>
      </c>
      <c r="T189" s="123">
        <v>0</v>
      </c>
      <c r="U189" s="123">
        <v>0</v>
      </c>
      <c r="V189" s="123">
        <v>0</v>
      </c>
      <c r="W189" s="123">
        <v>0</v>
      </c>
      <c r="X189" s="123">
        <v>0</v>
      </c>
      <c r="Y189" s="123">
        <v>0</v>
      </c>
      <c r="Z189" s="123">
        <v>0</v>
      </c>
      <c r="AA189" s="123">
        <v>0</v>
      </c>
      <c r="AB189" s="123">
        <v>0</v>
      </c>
      <c r="AC189" s="123">
        <v>0</v>
      </c>
      <c r="AD189" s="123">
        <v>0</v>
      </c>
      <c r="AE189" s="123">
        <v>0</v>
      </c>
      <c r="AF189" s="123">
        <v>0</v>
      </c>
      <c r="AG189" s="123">
        <v>0</v>
      </c>
      <c r="AH189" s="123">
        <v>0</v>
      </c>
      <c r="AI189" s="123">
        <v>0</v>
      </c>
      <c r="AJ189" s="123">
        <v>0</v>
      </c>
      <c r="AK189" s="123">
        <v>0</v>
      </c>
      <c r="AL189" s="123">
        <v>0</v>
      </c>
      <c r="AM189" s="123">
        <v>0</v>
      </c>
      <c r="AN189" s="123">
        <v>0</v>
      </c>
      <c r="AO189" s="123">
        <v>0</v>
      </c>
      <c r="AP189" s="123">
        <v>0</v>
      </c>
      <c r="AQ189" s="123">
        <v>0</v>
      </c>
      <c r="AR189" s="123">
        <v>0</v>
      </c>
      <c r="AS189" s="123">
        <v>0</v>
      </c>
      <c r="AT189" s="123">
        <v>0</v>
      </c>
      <c r="AU189" s="123">
        <v>0</v>
      </c>
      <c r="AV189" s="123">
        <v>0</v>
      </c>
      <c r="AW189" s="123">
        <v>0</v>
      </c>
      <c r="AX189" s="123">
        <v>0</v>
      </c>
      <c r="AY189" s="123">
        <v>0</v>
      </c>
    </row>
    <row r="190" spans="1:51">
      <c r="A190" s="108"/>
      <c r="B190" s="118">
        <v>2</v>
      </c>
      <c r="C190" s="105"/>
      <c r="D190" s="105">
        <v>0</v>
      </c>
      <c r="E190" s="105">
        <v>0</v>
      </c>
      <c r="F190" s="105">
        <v>0</v>
      </c>
      <c r="G190" s="105">
        <v>377</v>
      </c>
      <c r="H190" s="105">
        <v>258.61494319325573</v>
      </c>
      <c r="I190" s="105">
        <v>0</v>
      </c>
      <c r="J190" s="105">
        <v>0</v>
      </c>
      <c r="K190" s="105">
        <v>0</v>
      </c>
      <c r="L190" s="105">
        <v>0</v>
      </c>
      <c r="M190" s="105">
        <v>0</v>
      </c>
      <c r="N190" s="105">
        <v>0</v>
      </c>
      <c r="O190" s="105">
        <v>0</v>
      </c>
      <c r="P190" s="105">
        <v>0</v>
      </c>
      <c r="Q190" s="105">
        <v>0</v>
      </c>
      <c r="R190" s="105">
        <v>0</v>
      </c>
      <c r="S190" s="105">
        <v>0</v>
      </c>
      <c r="T190" s="105">
        <v>0</v>
      </c>
      <c r="U190" s="105">
        <v>0</v>
      </c>
      <c r="V190" s="105">
        <v>0</v>
      </c>
      <c r="W190" s="105">
        <v>0</v>
      </c>
      <c r="X190" s="105">
        <v>0</v>
      </c>
      <c r="Y190" s="105">
        <v>0</v>
      </c>
      <c r="Z190" s="105">
        <v>0</v>
      </c>
      <c r="AA190" s="105">
        <v>0</v>
      </c>
      <c r="AB190" s="105">
        <v>0</v>
      </c>
      <c r="AC190" s="105">
        <v>0</v>
      </c>
      <c r="AD190" s="105">
        <v>0</v>
      </c>
      <c r="AE190" s="105">
        <v>0</v>
      </c>
      <c r="AF190" s="105">
        <v>0</v>
      </c>
      <c r="AG190" s="105">
        <v>0</v>
      </c>
      <c r="AH190" s="105">
        <v>0</v>
      </c>
      <c r="AI190" s="105">
        <v>0</v>
      </c>
      <c r="AJ190" s="105">
        <v>0</v>
      </c>
      <c r="AK190" s="105">
        <v>0</v>
      </c>
      <c r="AL190" s="105">
        <v>0</v>
      </c>
      <c r="AM190" s="105">
        <v>0</v>
      </c>
      <c r="AN190" s="105">
        <v>0</v>
      </c>
      <c r="AO190" s="105">
        <v>0</v>
      </c>
      <c r="AP190" s="105">
        <v>0</v>
      </c>
      <c r="AQ190" s="105">
        <v>0</v>
      </c>
      <c r="AR190" s="105">
        <v>0</v>
      </c>
      <c r="AS190" s="105">
        <v>0</v>
      </c>
      <c r="AT190" s="105">
        <v>0</v>
      </c>
      <c r="AU190" s="105">
        <v>0</v>
      </c>
      <c r="AV190" s="105">
        <v>0</v>
      </c>
      <c r="AW190" s="105">
        <v>0</v>
      </c>
      <c r="AX190" s="105">
        <v>0</v>
      </c>
      <c r="AY190" s="105">
        <v>0</v>
      </c>
    </row>
    <row r="191" spans="1:51">
      <c r="A191" s="108"/>
      <c r="B191" s="119">
        <v>3</v>
      </c>
      <c r="C191" s="105"/>
      <c r="D191" s="105">
        <v>0</v>
      </c>
      <c r="E191" s="105">
        <v>0</v>
      </c>
      <c r="F191" s="105">
        <v>0</v>
      </c>
      <c r="G191" s="105">
        <v>0</v>
      </c>
      <c r="H191" s="105">
        <v>64.385056806744274</v>
      </c>
      <c r="I191" s="105">
        <v>382</v>
      </c>
      <c r="J191" s="105">
        <v>76.46795303325564</v>
      </c>
      <c r="K191" s="105">
        <v>0</v>
      </c>
      <c r="L191" s="105">
        <v>0</v>
      </c>
      <c r="M191" s="105">
        <v>0</v>
      </c>
      <c r="N191" s="105">
        <v>0</v>
      </c>
      <c r="O191" s="105">
        <v>0</v>
      </c>
      <c r="P191" s="105">
        <v>0</v>
      </c>
      <c r="Q191" s="105">
        <v>0</v>
      </c>
      <c r="R191" s="105">
        <v>0</v>
      </c>
      <c r="S191" s="105">
        <v>0</v>
      </c>
      <c r="T191" s="105">
        <v>0</v>
      </c>
      <c r="U191" s="105">
        <v>0</v>
      </c>
      <c r="V191" s="105">
        <v>0</v>
      </c>
      <c r="W191" s="105">
        <v>0</v>
      </c>
      <c r="X191" s="105">
        <v>0</v>
      </c>
      <c r="Y191" s="105">
        <v>0</v>
      </c>
      <c r="Z191" s="105">
        <v>0</v>
      </c>
      <c r="AA191" s="105">
        <v>0</v>
      </c>
      <c r="AB191" s="105">
        <v>0</v>
      </c>
      <c r="AC191" s="105">
        <v>0</v>
      </c>
      <c r="AD191" s="105">
        <v>0</v>
      </c>
      <c r="AE191" s="105">
        <v>0</v>
      </c>
      <c r="AF191" s="105">
        <v>0</v>
      </c>
      <c r="AG191" s="105">
        <v>0</v>
      </c>
      <c r="AH191" s="105">
        <v>0</v>
      </c>
      <c r="AI191" s="105">
        <v>0</v>
      </c>
      <c r="AJ191" s="105">
        <v>0</v>
      </c>
      <c r="AK191" s="105">
        <v>0</v>
      </c>
      <c r="AL191" s="105">
        <v>0</v>
      </c>
      <c r="AM191" s="105">
        <v>0</v>
      </c>
      <c r="AN191" s="105">
        <v>0</v>
      </c>
      <c r="AO191" s="105">
        <v>0</v>
      </c>
      <c r="AP191" s="105">
        <v>0</v>
      </c>
      <c r="AQ191" s="105">
        <v>0</v>
      </c>
      <c r="AR191" s="105">
        <v>0</v>
      </c>
      <c r="AS191" s="105">
        <v>0</v>
      </c>
      <c r="AT191" s="105">
        <v>0</v>
      </c>
      <c r="AU191" s="105">
        <v>0</v>
      </c>
      <c r="AV191" s="105">
        <v>0</v>
      </c>
      <c r="AW191" s="105">
        <v>0</v>
      </c>
      <c r="AX191" s="105">
        <v>0</v>
      </c>
      <c r="AY191" s="105">
        <v>0</v>
      </c>
    </row>
    <row r="192" spans="1:51">
      <c r="A192" s="108"/>
      <c r="B192" s="119">
        <v>4</v>
      </c>
      <c r="C192" s="105"/>
      <c r="D192" s="105">
        <v>0</v>
      </c>
      <c r="E192" s="105">
        <v>0</v>
      </c>
      <c r="F192" s="105">
        <v>0</v>
      </c>
      <c r="G192" s="105">
        <v>0</v>
      </c>
      <c r="H192" s="105">
        <v>0</v>
      </c>
      <c r="I192" s="105">
        <v>0</v>
      </c>
      <c r="J192" s="105">
        <v>242.53204696674436</v>
      </c>
      <c r="K192" s="105">
        <v>414</v>
      </c>
      <c r="L192" s="105">
        <v>0</v>
      </c>
      <c r="M192" s="105">
        <v>0</v>
      </c>
      <c r="N192" s="105">
        <v>0</v>
      </c>
      <c r="O192" s="105">
        <v>0</v>
      </c>
      <c r="P192" s="105">
        <v>0</v>
      </c>
      <c r="Q192" s="105">
        <v>0</v>
      </c>
      <c r="R192" s="105">
        <v>0</v>
      </c>
      <c r="S192" s="105">
        <v>0</v>
      </c>
      <c r="T192" s="105">
        <v>0</v>
      </c>
      <c r="U192" s="105">
        <v>0</v>
      </c>
      <c r="V192" s="105">
        <v>0</v>
      </c>
      <c r="W192" s="105">
        <v>0</v>
      </c>
      <c r="X192" s="105">
        <v>0</v>
      </c>
      <c r="Y192" s="105">
        <v>0</v>
      </c>
      <c r="Z192" s="105">
        <v>0</v>
      </c>
      <c r="AA192" s="105">
        <v>0</v>
      </c>
      <c r="AB192" s="105">
        <v>0</v>
      </c>
      <c r="AC192" s="105">
        <v>0</v>
      </c>
      <c r="AD192" s="105">
        <v>0</v>
      </c>
      <c r="AE192" s="105">
        <v>0</v>
      </c>
      <c r="AF192" s="105">
        <v>0</v>
      </c>
      <c r="AG192" s="105">
        <v>0</v>
      </c>
      <c r="AH192" s="105">
        <v>0</v>
      </c>
      <c r="AI192" s="105">
        <v>0</v>
      </c>
      <c r="AJ192" s="105">
        <v>0</v>
      </c>
      <c r="AK192" s="105">
        <v>0</v>
      </c>
      <c r="AL192" s="105">
        <v>0</v>
      </c>
      <c r="AM192" s="105">
        <v>0</v>
      </c>
      <c r="AN192" s="105">
        <v>0</v>
      </c>
      <c r="AO192" s="105">
        <v>0</v>
      </c>
      <c r="AP192" s="105">
        <v>0</v>
      </c>
      <c r="AQ192" s="105">
        <v>0</v>
      </c>
      <c r="AR192" s="105">
        <v>0</v>
      </c>
      <c r="AS192" s="105">
        <v>0</v>
      </c>
      <c r="AT192" s="105">
        <v>0</v>
      </c>
      <c r="AU192" s="105">
        <v>0</v>
      </c>
      <c r="AV192" s="105">
        <v>0</v>
      </c>
      <c r="AW192" s="105">
        <v>0</v>
      </c>
      <c r="AX192" s="105">
        <v>0</v>
      </c>
      <c r="AY192" s="105">
        <v>0</v>
      </c>
    </row>
    <row r="193" spans="1:51">
      <c r="A193" s="108"/>
      <c r="B193" s="126">
        <v>5</v>
      </c>
      <c r="C193" s="105"/>
      <c r="D193" s="105">
        <v>0</v>
      </c>
      <c r="E193" s="105">
        <v>0</v>
      </c>
      <c r="F193" s="105">
        <v>0</v>
      </c>
      <c r="G193" s="105">
        <v>0</v>
      </c>
      <c r="H193" s="105">
        <v>0</v>
      </c>
      <c r="I193" s="105">
        <v>0</v>
      </c>
      <c r="J193" s="105">
        <v>0</v>
      </c>
      <c r="K193" s="105">
        <v>0</v>
      </c>
      <c r="L193" s="105">
        <v>315</v>
      </c>
      <c r="M193" s="105">
        <v>346.9777536335497</v>
      </c>
      <c r="N193" s="105">
        <v>0</v>
      </c>
      <c r="O193" s="105">
        <v>0</v>
      </c>
      <c r="P193" s="105">
        <v>0</v>
      </c>
      <c r="Q193" s="105">
        <v>0</v>
      </c>
      <c r="R193" s="105">
        <v>0</v>
      </c>
      <c r="S193" s="105">
        <v>0</v>
      </c>
      <c r="T193" s="105">
        <v>0</v>
      </c>
      <c r="U193" s="105">
        <v>0</v>
      </c>
      <c r="V193" s="105">
        <v>0</v>
      </c>
      <c r="W193" s="105">
        <v>0</v>
      </c>
      <c r="X193" s="105">
        <v>0</v>
      </c>
      <c r="Y193" s="105">
        <v>0</v>
      </c>
      <c r="Z193" s="105">
        <v>0</v>
      </c>
      <c r="AA193" s="105">
        <v>0</v>
      </c>
      <c r="AB193" s="105">
        <v>0</v>
      </c>
      <c r="AC193" s="105">
        <v>0</v>
      </c>
      <c r="AD193" s="105">
        <v>0</v>
      </c>
      <c r="AE193" s="105">
        <v>0</v>
      </c>
      <c r="AF193" s="105">
        <v>0</v>
      </c>
      <c r="AG193" s="105">
        <v>0</v>
      </c>
      <c r="AH193" s="105">
        <v>0</v>
      </c>
      <c r="AI193" s="105">
        <v>0</v>
      </c>
      <c r="AJ193" s="105">
        <v>0</v>
      </c>
      <c r="AK193" s="105">
        <v>0</v>
      </c>
      <c r="AL193" s="105">
        <v>0</v>
      </c>
      <c r="AM193" s="105">
        <v>0</v>
      </c>
      <c r="AN193" s="105">
        <v>0</v>
      </c>
      <c r="AO193" s="105">
        <v>0</v>
      </c>
      <c r="AP193" s="105">
        <v>0</v>
      </c>
      <c r="AQ193" s="105">
        <v>0</v>
      </c>
      <c r="AR193" s="105">
        <v>0</v>
      </c>
      <c r="AS193" s="105">
        <v>0</v>
      </c>
      <c r="AT193" s="105">
        <v>0</v>
      </c>
      <c r="AU193" s="105">
        <v>0</v>
      </c>
      <c r="AV193" s="105">
        <v>0</v>
      </c>
      <c r="AW193" s="105">
        <v>0</v>
      </c>
      <c r="AX193" s="105">
        <v>0</v>
      </c>
      <c r="AY193" s="105">
        <v>0</v>
      </c>
    </row>
    <row r="194" spans="1:51">
      <c r="A194" s="108"/>
      <c r="B194" s="126">
        <v>6</v>
      </c>
      <c r="C194" s="105"/>
      <c r="D194" s="105">
        <v>0</v>
      </c>
      <c r="E194" s="105">
        <v>0</v>
      </c>
      <c r="F194" s="105">
        <v>0</v>
      </c>
      <c r="G194" s="105">
        <v>0</v>
      </c>
      <c r="H194" s="105">
        <v>0</v>
      </c>
      <c r="I194" s="105">
        <v>0</v>
      </c>
      <c r="J194" s="105">
        <v>0</v>
      </c>
      <c r="K194" s="105">
        <v>0</v>
      </c>
      <c r="L194" s="105">
        <v>0</v>
      </c>
      <c r="M194" s="105">
        <v>11.022246366450304</v>
      </c>
      <c r="N194" s="105">
        <v>329</v>
      </c>
      <c r="O194" s="105">
        <v>108.13897102315968</v>
      </c>
      <c r="P194" s="105">
        <v>0</v>
      </c>
      <c r="Q194" s="105">
        <v>0</v>
      </c>
      <c r="R194" s="105">
        <v>0</v>
      </c>
      <c r="S194" s="105">
        <v>0</v>
      </c>
      <c r="T194" s="105">
        <v>0</v>
      </c>
      <c r="U194" s="105">
        <v>0</v>
      </c>
      <c r="V194" s="105">
        <v>0</v>
      </c>
      <c r="W194" s="105">
        <v>0</v>
      </c>
      <c r="X194" s="105">
        <v>0</v>
      </c>
      <c r="Y194" s="105">
        <v>0</v>
      </c>
      <c r="Z194" s="105">
        <v>0</v>
      </c>
      <c r="AA194" s="105">
        <v>0</v>
      </c>
      <c r="AB194" s="105">
        <v>0</v>
      </c>
      <c r="AC194" s="105">
        <v>0</v>
      </c>
      <c r="AD194" s="105">
        <v>0</v>
      </c>
      <c r="AE194" s="105">
        <v>0</v>
      </c>
      <c r="AF194" s="105">
        <v>0</v>
      </c>
      <c r="AG194" s="105">
        <v>0</v>
      </c>
      <c r="AH194" s="105">
        <v>0</v>
      </c>
      <c r="AI194" s="105">
        <v>0</v>
      </c>
      <c r="AJ194" s="105">
        <v>0</v>
      </c>
      <c r="AK194" s="105">
        <v>0</v>
      </c>
      <c r="AL194" s="105">
        <v>0</v>
      </c>
      <c r="AM194" s="105">
        <v>0</v>
      </c>
      <c r="AN194" s="105">
        <v>0</v>
      </c>
      <c r="AO194" s="105">
        <v>0</v>
      </c>
      <c r="AP194" s="105">
        <v>0</v>
      </c>
      <c r="AQ194" s="105">
        <v>0</v>
      </c>
      <c r="AR194" s="105">
        <v>0</v>
      </c>
      <c r="AS194" s="105">
        <v>0</v>
      </c>
      <c r="AT194" s="105">
        <v>0</v>
      </c>
      <c r="AU194" s="105">
        <v>0</v>
      </c>
      <c r="AV194" s="105">
        <v>0</v>
      </c>
      <c r="AW194" s="105">
        <v>0</v>
      </c>
      <c r="AX194" s="105">
        <v>0</v>
      </c>
      <c r="AY194" s="105">
        <v>0</v>
      </c>
    </row>
    <row r="195" spans="1:51">
      <c r="A195" s="108"/>
      <c r="B195" s="129">
        <v>7</v>
      </c>
      <c r="C195" s="105"/>
      <c r="D195" s="105">
        <v>0</v>
      </c>
      <c r="E195" s="105">
        <v>0</v>
      </c>
      <c r="F195" s="105">
        <v>0</v>
      </c>
      <c r="G195" s="105">
        <v>0</v>
      </c>
      <c r="H195" s="105">
        <v>0</v>
      </c>
      <c r="I195" s="105">
        <v>0</v>
      </c>
      <c r="J195" s="105">
        <v>0</v>
      </c>
      <c r="K195" s="105">
        <v>0</v>
      </c>
      <c r="L195" s="105">
        <v>0</v>
      </c>
      <c r="M195" s="105">
        <v>0</v>
      </c>
      <c r="N195" s="105">
        <v>0</v>
      </c>
      <c r="O195" s="105">
        <v>191.86102897684032</v>
      </c>
      <c r="P195" s="105">
        <v>301</v>
      </c>
      <c r="Q195" s="105">
        <v>0</v>
      </c>
      <c r="R195" s="105">
        <v>0</v>
      </c>
      <c r="S195" s="105">
        <v>0</v>
      </c>
      <c r="T195" s="105">
        <v>0</v>
      </c>
      <c r="U195" s="105">
        <v>0</v>
      </c>
      <c r="V195" s="105">
        <v>0</v>
      </c>
      <c r="W195" s="105">
        <v>0</v>
      </c>
      <c r="X195" s="105">
        <v>0</v>
      </c>
      <c r="Y195" s="105">
        <v>0</v>
      </c>
      <c r="Z195" s="105">
        <v>0</v>
      </c>
      <c r="AA195" s="105">
        <v>0</v>
      </c>
      <c r="AB195" s="105">
        <v>0</v>
      </c>
      <c r="AC195" s="105">
        <v>0</v>
      </c>
      <c r="AD195" s="105">
        <v>0</v>
      </c>
      <c r="AE195" s="105">
        <v>0</v>
      </c>
      <c r="AF195" s="105">
        <v>0</v>
      </c>
      <c r="AG195" s="105">
        <v>0</v>
      </c>
      <c r="AH195" s="105">
        <v>0</v>
      </c>
      <c r="AI195" s="105">
        <v>0</v>
      </c>
      <c r="AJ195" s="105">
        <v>0</v>
      </c>
      <c r="AK195" s="105">
        <v>0</v>
      </c>
      <c r="AL195" s="105">
        <v>0</v>
      </c>
      <c r="AM195" s="105">
        <v>0</v>
      </c>
      <c r="AN195" s="105">
        <v>0</v>
      </c>
      <c r="AO195" s="105">
        <v>0</v>
      </c>
      <c r="AP195" s="105">
        <v>0</v>
      </c>
      <c r="AQ195" s="105">
        <v>0</v>
      </c>
      <c r="AR195" s="105">
        <v>0</v>
      </c>
      <c r="AS195" s="105">
        <v>0</v>
      </c>
      <c r="AT195" s="105">
        <v>0</v>
      </c>
      <c r="AU195" s="105">
        <v>0</v>
      </c>
      <c r="AV195" s="105">
        <v>0</v>
      </c>
      <c r="AW195" s="105">
        <v>0</v>
      </c>
      <c r="AX195" s="105">
        <v>0</v>
      </c>
      <c r="AY195" s="105">
        <v>0</v>
      </c>
    </row>
    <row r="196" spans="1:51">
      <c r="A196" s="127"/>
      <c r="B196" s="128">
        <v>8</v>
      </c>
      <c r="C196" s="113"/>
      <c r="D196" s="113">
        <v>0</v>
      </c>
      <c r="E196" s="113">
        <v>0</v>
      </c>
      <c r="F196" s="113">
        <v>0</v>
      </c>
      <c r="G196" s="113">
        <v>0</v>
      </c>
      <c r="H196" s="113">
        <v>0</v>
      </c>
      <c r="I196" s="113">
        <v>0</v>
      </c>
      <c r="J196" s="113">
        <v>0</v>
      </c>
      <c r="K196" s="113">
        <v>0</v>
      </c>
      <c r="L196" s="113">
        <v>0</v>
      </c>
      <c r="M196" s="113">
        <v>0</v>
      </c>
      <c r="N196" s="113">
        <v>0</v>
      </c>
      <c r="O196" s="113">
        <v>0</v>
      </c>
      <c r="P196" s="113">
        <v>0</v>
      </c>
      <c r="Q196" s="113">
        <v>342</v>
      </c>
      <c r="R196" s="113">
        <v>360</v>
      </c>
      <c r="S196" s="113">
        <v>310</v>
      </c>
      <c r="T196" s="113">
        <v>342</v>
      </c>
      <c r="U196" s="113">
        <v>392</v>
      </c>
      <c r="V196" s="113">
        <v>336</v>
      </c>
      <c r="W196" s="113">
        <v>345</v>
      </c>
      <c r="X196" s="113">
        <v>364</v>
      </c>
      <c r="Y196" s="113">
        <v>351</v>
      </c>
      <c r="Z196" s="113">
        <v>332</v>
      </c>
      <c r="AA196" s="113">
        <v>351</v>
      </c>
      <c r="AB196" s="113">
        <v>328</v>
      </c>
      <c r="AC196" s="113">
        <v>290</v>
      </c>
      <c r="AD196" s="113">
        <v>405</v>
      </c>
      <c r="AE196" s="113">
        <v>310</v>
      </c>
      <c r="AF196" s="113">
        <v>388</v>
      </c>
      <c r="AG196" s="113">
        <v>332</v>
      </c>
      <c r="AH196" s="113">
        <v>324</v>
      </c>
      <c r="AI196" s="113">
        <v>387</v>
      </c>
      <c r="AJ196" s="113">
        <v>410</v>
      </c>
      <c r="AK196" s="113">
        <v>343</v>
      </c>
      <c r="AL196" s="113">
        <v>387</v>
      </c>
      <c r="AM196" s="113">
        <v>380</v>
      </c>
      <c r="AN196" s="113">
        <v>338</v>
      </c>
      <c r="AO196" s="113">
        <v>406</v>
      </c>
      <c r="AP196" s="113">
        <v>297</v>
      </c>
      <c r="AQ196" s="113">
        <v>381</v>
      </c>
      <c r="AR196" s="113">
        <v>394</v>
      </c>
      <c r="AS196" s="113">
        <v>301</v>
      </c>
      <c r="AT196" s="113">
        <v>345</v>
      </c>
      <c r="AU196" s="113">
        <v>336</v>
      </c>
      <c r="AV196" s="113">
        <v>410</v>
      </c>
      <c r="AW196" s="113">
        <v>386</v>
      </c>
      <c r="AX196" s="113">
        <v>307</v>
      </c>
      <c r="AY196" s="113">
        <v>464</v>
      </c>
    </row>
    <row r="197" spans="1:51">
      <c r="A197" s="130" t="s">
        <v>134</v>
      </c>
      <c r="B197" s="118">
        <v>1</v>
      </c>
      <c r="C197" s="105"/>
      <c r="D197" s="105">
        <v>0</v>
      </c>
      <c r="E197" s="105">
        <v>0</v>
      </c>
      <c r="F197" s="105">
        <v>0</v>
      </c>
      <c r="G197" s="105">
        <v>217</v>
      </c>
      <c r="H197" s="105">
        <v>149.11025049822587</v>
      </c>
      <c r="I197" s="105">
        <v>0</v>
      </c>
      <c r="J197" s="105">
        <v>0</v>
      </c>
      <c r="K197" s="105">
        <v>0</v>
      </c>
      <c r="L197" s="105">
        <v>0</v>
      </c>
      <c r="M197" s="105">
        <v>0</v>
      </c>
      <c r="N197" s="105">
        <v>0</v>
      </c>
      <c r="O197" s="105">
        <v>0</v>
      </c>
      <c r="P197" s="105">
        <v>0</v>
      </c>
      <c r="Q197" s="105">
        <v>0</v>
      </c>
      <c r="R197" s="105">
        <v>0</v>
      </c>
      <c r="S197" s="105">
        <v>0</v>
      </c>
      <c r="T197" s="105">
        <v>0</v>
      </c>
      <c r="U197" s="105">
        <v>0</v>
      </c>
      <c r="V197" s="105">
        <v>0</v>
      </c>
      <c r="W197" s="105">
        <v>0</v>
      </c>
      <c r="X197" s="105">
        <v>0</v>
      </c>
      <c r="Y197" s="105">
        <v>0</v>
      </c>
      <c r="Z197" s="105">
        <v>0</v>
      </c>
      <c r="AA197" s="105">
        <v>0</v>
      </c>
      <c r="AB197" s="105">
        <v>0</v>
      </c>
      <c r="AC197" s="105">
        <v>0</v>
      </c>
      <c r="AD197" s="105">
        <v>0</v>
      </c>
      <c r="AE197" s="105">
        <v>0</v>
      </c>
      <c r="AF197" s="105">
        <v>0</v>
      </c>
      <c r="AG197" s="105">
        <v>0</v>
      </c>
      <c r="AH197" s="105">
        <v>0</v>
      </c>
      <c r="AI197" s="105">
        <v>0</v>
      </c>
      <c r="AJ197" s="105">
        <v>0</v>
      </c>
      <c r="AK197" s="105">
        <v>0</v>
      </c>
      <c r="AL197" s="105">
        <v>0</v>
      </c>
      <c r="AM197" s="105">
        <v>0</v>
      </c>
      <c r="AN197" s="105">
        <v>0</v>
      </c>
      <c r="AO197" s="105">
        <v>0</v>
      </c>
      <c r="AP197" s="105">
        <v>0</v>
      </c>
      <c r="AQ197" s="105">
        <v>0</v>
      </c>
      <c r="AR197" s="105">
        <v>0</v>
      </c>
      <c r="AS197" s="105">
        <v>0</v>
      </c>
      <c r="AT197" s="105">
        <v>0</v>
      </c>
      <c r="AU197" s="105">
        <v>0</v>
      </c>
      <c r="AV197" s="105">
        <v>0</v>
      </c>
      <c r="AW197" s="105">
        <v>0</v>
      </c>
      <c r="AX197" s="105">
        <v>0</v>
      </c>
      <c r="AY197" s="105">
        <v>0</v>
      </c>
    </row>
    <row r="198" spans="1:51">
      <c r="A198" s="108"/>
      <c r="B198" s="118">
        <v>2</v>
      </c>
      <c r="C198" s="105"/>
      <c r="D198" s="105">
        <v>0</v>
      </c>
      <c r="E198" s="105">
        <v>0</v>
      </c>
      <c r="F198" s="105">
        <v>0</v>
      </c>
      <c r="G198" s="105">
        <v>0</v>
      </c>
      <c r="H198" s="105">
        <v>51.889749501774133</v>
      </c>
      <c r="I198" s="105">
        <v>241</v>
      </c>
      <c r="J198" s="105">
        <v>8.4419951111914884</v>
      </c>
      <c r="K198" s="105">
        <v>0</v>
      </c>
      <c r="L198" s="105">
        <v>0</v>
      </c>
      <c r="M198" s="105">
        <v>0</v>
      </c>
      <c r="N198" s="105">
        <v>0</v>
      </c>
      <c r="O198" s="105">
        <v>0</v>
      </c>
      <c r="P198" s="105">
        <v>0</v>
      </c>
      <c r="Q198" s="105">
        <v>0</v>
      </c>
      <c r="R198" s="105">
        <v>0</v>
      </c>
      <c r="S198" s="105">
        <v>0</v>
      </c>
      <c r="T198" s="105">
        <v>0</v>
      </c>
      <c r="U198" s="105">
        <v>0</v>
      </c>
      <c r="V198" s="105">
        <v>0</v>
      </c>
      <c r="W198" s="105">
        <v>0</v>
      </c>
      <c r="X198" s="105">
        <v>0</v>
      </c>
      <c r="Y198" s="105">
        <v>0</v>
      </c>
      <c r="Z198" s="105">
        <v>0</v>
      </c>
      <c r="AA198" s="105">
        <v>0</v>
      </c>
      <c r="AB198" s="105">
        <v>0</v>
      </c>
      <c r="AC198" s="105">
        <v>0</v>
      </c>
      <c r="AD198" s="105">
        <v>0</v>
      </c>
      <c r="AE198" s="105">
        <v>0</v>
      </c>
      <c r="AF198" s="105">
        <v>0</v>
      </c>
      <c r="AG198" s="105">
        <v>0</v>
      </c>
      <c r="AH198" s="105">
        <v>0</v>
      </c>
      <c r="AI198" s="105">
        <v>0</v>
      </c>
      <c r="AJ198" s="105">
        <v>0</v>
      </c>
      <c r="AK198" s="105">
        <v>0</v>
      </c>
      <c r="AL198" s="105">
        <v>0</v>
      </c>
      <c r="AM198" s="105">
        <v>0</v>
      </c>
      <c r="AN198" s="105">
        <v>0</v>
      </c>
      <c r="AO198" s="105">
        <v>0</v>
      </c>
      <c r="AP198" s="105">
        <v>0</v>
      </c>
      <c r="AQ198" s="105">
        <v>0</v>
      </c>
      <c r="AR198" s="105">
        <v>0</v>
      </c>
      <c r="AS198" s="105">
        <v>0</v>
      </c>
      <c r="AT198" s="105">
        <v>0</v>
      </c>
      <c r="AU198" s="105">
        <v>0</v>
      </c>
      <c r="AV198" s="105">
        <v>0</v>
      </c>
      <c r="AW198" s="105">
        <v>0</v>
      </c>
      <c r="AX198" s="105">
        <v>0</v>
      </c>
      <c r="AY198" s="105">
        <v>0</v>
      </c>
    </row>
    <row r="199" spans="1:51">
      <c r="A199" s="108"/>
      <c r="B199" s="118">
        <v>3</v>
      </c>
      <c r="C199" s="105"/>
      <c r="D199" s="105">
        <v>0</v>
      </c>
      <c r="E199" s="105">
        <v>0</v>
      </c>
      <c r="F199" s="105">
        <v>0</v>
      </c>
      <c r="G199" s="105">
        <v>0</v>
      </c>
      <c r="H199" s="105">
        <v>0</v>
      </c>
      <c r="I199" s="105">
        <v>0</v>
      </c>
      <c r="J199" s="105">
        <v>217.55800488880851</v>
      </c>
      <c r="K199" s="105">
        <v>199</v>
      </c>
      <c r="L199" s="105">
        <v>0</v>
      </c>
      <c r="M199" s="105">
        <v>0</v>
      </c>
      <c r="N199" s="105">
        <v>0</v>
      </c>
      <c r="O199" s="105">
        <v>0</v>
      </c>
      <c r="P199" s="105">
        <v>0</v>
      </c>
      <c r="Q199" s="105">
        <v>0</v>
      </c>
      <c r="R199" s="105">
        <v>0</v>
      </c>
      <c r="S199" s="105">
        <v>0</v>
      </c>
      <c r="T199" s="105">
        <v>0</v>
      </c>
      <c r="U199" s="105">
        <v>0</v>
      </c>
      <c r="V199" s="105">
        <v>0</v>
      </c>
      <c r="W199" s="105">
        <v>0</v>
      </c>
      <c r="X199" s="105">
        <v>0</v>
      </c>
      <c r="Y199" s="105">
        <v>0</v>
      </c>
      <c r="Z199" s="105">
        <v>0</v>
      </c>
      <c r="AA199" s="105">
        <v>0</v>
      </c>
      <c r="AB199" s="105">
        <v>0</v>
      </c>
      <c r="AC199" s="105">
        <v>0</v>
      </c>
      <c r="AD199" s="105">
        <v>0</v>
      </c>
      <c r="AE199" s="105">
        <v>0</v>
      </c>
      <c r="AF199" s="105">
        <v>0</v>
      </c>
      <c r="AG199" s="105">
        <v>0</v>
      </c>
      <c r="AH199" s="105">
        <v>0</v>
      </c>
      <c r="AI199" s="105">
        <v>0</v>
      </c>
      <c r="AJ199" s="105">
        <v>0</v>
      </c>
      <c r="AK199" s="105">
        <v>0</v>
      </c>
      <c r="AL199" s="105">
        <v>0</v>
      </c>
      <c r="AM199" s="105">
        <v>0</v>
      </c>
      <c r="AN199" s="105">
        <v>0</v>
      </c>
      <c r="AO199" s="105">
        <v>0</v>
      </c>
      <c r="AP199" s="105">
        <v>0</v>
      </c>
      <c r="AQ199" s="105">
        <v>0</v>
      </c>
      <c r="AR199" s="105">
        <v>0</v>
      </c>
      <c r="AS199" s="105">
        <v>0</v>
      </c>
      <c r="AT199" s="105">
        <v>0</v>
      </c>
      <c r="AU199" s="105">
        <v>0</v>
      </c>
      <c r="AV199" s="105">
        <v>0</v>
      </c>
      <c r="AW199" s="105">
        <v>0</v>
      </c>
      <c r="AX199" s="105">
        <v>0</v>
      </c>
      <c r="AY199" s="105">
        <v>0</v>
      </c>
    </row>
    <row r="200" spans="1:51">
      <c r="A200" s="108"/>
      <c r="B200" s="119">
        <v>4</v>
      </c>
      <c r="C200" s="105"/>
      <c r="D200" s="105">
        <v>0</v>
      </c>
      <c r="E200" s="105">
        <v>0</v>
      </c>
      <c r="F200" s="105">
        <v>0</v>
      </c>
      <c r="G200" s="105">
        <v>0</v>
      </c>
      <c r="H200" s="105">
        <v>0</v>
      </c>
      <c r="I200" s="105">
        <v>0</v>
      </c>
      <c r="J200" s="105">
        <v>0</v>
      </c>
      <c r="K200" s="105">
        <v>0</v>
      </c>
      <c r="L200" s="105">
        <v>238</v>
      </c>
      <c r="M200" s="105">
        <v>0</v>
      </c>
      <c r="N200" s="105">
        <v>0</v>
      </c>
      <c r="O200" s="105">
        <v>0</v>
      </c>
      <c r="P200" s="105">
        <v>0</v>
      </c>
      <c r="Q200" s="105">
        <v>0</v>
      </c>
      <c r="R200" s="105">
        <v>0</v>
      </c>
      <c r="S200" s="105">
        <v>0</v>
      </c>
      <c r="T200" s="105">
        <v>0</v>
      </c>
      <c r="U200" s="105">
        <v>0</v>
      </c>
      <c r="V200" s="105">
        <v>0</v>
      </c>
      <c r="W200" s="105">
        <v>0</v>
      </c>
      <c r="X200" s="105">
        <v>0</v>
      </c>
      <c r="Y200" s="105">
        <v>0</v>
      </c>
      <c r="Z200" s="105">
        <v>0</v>
      </c>
      <c r="AA200" s="105">
        <v>0</v>
      </c>
      <c r="AB200" s="105">
        <v>0</v>
      </c>
      <c r="AC200" s="105">
        <v>0</v>
      </c>
      <c r="AD200" s="105">
        <v>0</v>
      </c>
      <c r="AE200" s="105">
        <v>0</v>
      </c>
      <c r="AF200" s="105">
        <v>0</v>
      </c>
      <c r="AG200" s="105">
        <v>0</v>
      </c>
      <c r="AH200" s="105">
        <v>0</v>
      </c>
      <c r="AI200" s="105">
        <v>0</v>
      </c>
      <c r="AJ200" s="105">
        <v>0</v>
      </c>
      <c r="AK200" s="105">
        <v>0</v>
      </c>
      <c r="AL200" s="105">
        <v>0</v>
      </c>
      <c r="AM200" s="105">
        <v>0</v>
      </c>
      <c r="AN200" s="105">
        <v>0</v>
      </c>
      <c r="AO200" s="105">
        <v>0</v>
      </c>
      <c r="AP200" s="105">
        <v>0</v>
      </c>
      <c r="AQ200" s="105">
        <v>0</v>
      </c>
      <c r="AR200" s="105">
        <v>0</v>
      </c>
      <c r="AS200" s="105">
        <v>0</v>
      </c>
      <c r="AT200" s="105">
        <v>0</v>
      </c>
      <c r="AU200" s="105">
        <v>0</v>
      </c>
      <c r="AV200" s="105">
        <v>0</v>
      </c>
      <c r="AW200" s="105">
        <v>0</v>
      </c>
      <c r="AX200" s="105">
        <v>0</v>
      </c>
      <c r="AY200" s="105">
        <v>0</v>
      </c>
    </row>
    <row r="201" spans="1:51">
      <c r="A201" s="108"/>
      <c r="B201" s="119">
        <v>5</v>
      </c>
      <c r="C201" s="105"/>
      <c r="D201" s="105">
        <v>0</v>
      </c>
      <c r="E201" s="105">
        <v>0</v>
      </c>
      <c r="F201" s="105">
        <v>0</v>
      </c>
      <c r="G201" s="105">
        <v>0</v>
      </c>
      <c r="H201" s="105">
        <v>0</v>
      </c>
      <c r="I201" s="105">
        <v>0</v>
      </c>
      <c r="J201" s="105">
        <v>0</v>
      </c>
      <c r="K201" s="105">
        <v>0</v>
      </c>
      <c r="L201" s="105">
        <v>0</v>
      </c>
      <c r="M201" s="105">
        <v>186</v>
      </c>
      <c r="N201" s="105">
        <v>0</v>
      </c>
      <c r="O201" s="105">
        <v>0</v>
      </c>
      <c r="P201" s="105">
        <v>0</v>
      </c>
      <c r="Q201" s="105">
        <v>0</v>
      </c>
      <c r="R201" s="105">
        <v>0</v>
      </c>
      <c r="S201" s="105">
        <v>0</v>
      </c>
      <c r="T201" s="105">
        <v>0</v>
      </c>
      <c r="U201" s="105">
        <v>0</v>
      </c>
      <c r="V201" s="105">
        <v>0</v>
      </c>
      <c r="W201" s="105">
        <v>0</v>
      </c>
      <c r="X201" s="105">
        <v>0</v>
      </c>
      <c r="Y201" s="105">
        <v>0</v>
      </c>
      <c r="Z201" s="105">
        <v>0</v>
      </c>
      <c r="AA201" s="105">
        <v>0</v>
      </c>
      <c r="AB201" s="105">
        <v>0</v>
      </c>
      <c r="AC201" s="105">
        <v>0</v>
      </c>
      <c r="AD201" s="105">
        <v>0</v>
      </c>
      <c r="AE201" s="105">
        <v>0</v>
      </c>
      <c r="AF201" s="105">
        <v>0</v>
      </c>
      <c r="AG201" s="105">
        <v>0</v>
      </c>
      <c r="AH201" s="105">
        <v>0</v>
      </c>
      <c r="AI201" s="105">
        <v>0</v>
      </c>
      <c r="AJ201" s="105">
        <v>0</v>
      </c>
      <c r="AK201" s="105">
        <v>0</v>
      </c>
      <c r="AL201" s="105">
        <v>0</v>
      </c>
      <c r="AM201" s="105">
        <v>0</v>
      </c>
      <c r="AN201" s="105">
        <v>0</v>
      </c>
      <c r="AO201" s="105">
        <v>0</v>
      </c>
      <c r="AP201" s="105">
        <v>0</v>
      </c>
      <c r="AQ201" s="105">
        <v>0</v>
      </c>
      <c r="AR201" s="105">
        <v>0</v>
      </c>
      <c r="AS201" s="105">
        <v>0</v>
      </c>
      <c r="AT201" s="105">
        <v>0</v>
      </c>
      <c r="AU201" s="105">
        <v>0</v>
      </c>
      <c r="AV201" s="105">
        <v>0</v>
      </c>
      <c r="AW201" s="105">
        <v>0</v>
      </c>
      <c r="AX201" s="105">
        <v>0</v>
      </c>
      <c r="AY201" s="105">
        <v>0</v>
      </c>
    </row>
    <row r="202" spans="1:51">
      <c r="A202" s="108"/>
      <c r="B202" s="119">
        <v>6</v>
      </c>
      <c r="C202" s="105"/>
      <c r="D202" s="105">
        <v>0</v>
      </c>
      <c r="E202" s="105">
        <v>0</v>
      </c>
      <c r="F202" s="105">
        <v>0</v>
      </c>
      <c r="G202" s="105">
        <v>0</v>
      </c>
      <c r="H202" s="105">
        <v>0</v>
      </c>
      <c r="I202" s="105">
        <v>0</v>
      </c>
      <c r="J202" s="105">
        <v>0</v>
      </c>
      <c r="K202" s="105">
        <v>0</v>
      </c>
      <c r="L202" s="105">
        <v>0</v>
      </c>
      <c r="M202" s="105">
        <v>0</v>
      </c>
      <c r="N202" s="105">
        <v>199</v>
      </c>
      <c r="O202" s="105">
        <v>0</v>
      </c>
      <c r="P202" s="105">
        <v>0</v>
      </c>
      <c r="Q202" s="105">
        <v>0</v>
      </c>
      <c r="R202" s="105">
        <v>0</v>
      </c>
      <c r="S202" s="105">
        <v>0</v>
      </c>
      <c r="T202" s="105">
        <v>0</v>
      </c>
      <c r="U202" s="105">
        <v>0</v>
      </c>
      <c r="V202" s="105">
        <v>0</v>
      </c>
      <c r="W202" s="105">
        <v>0</v>
      </c>
      <c r="X202" s="105">
        <v>0</v>
      </c>
      <c r="Y202" s="105">
        <v>0</v>
      </c>
      <c r="Z202" s="105">
        <v>0</v>
      </c>
      <c r="AA202" s="105">
        <v>0</v>
      </c>
      <c r="AB202" s="105">
        <v>0</v>
      </c>
      <c r="AC202" s="105">
        <v>0</v>
      </c>
      <c r="AD202" s="105">
        <v>0</v>
      </c>
      <c r="AE202" s="105">
        <v>0</v>
      </c>
      <c r="AF202" s="105">
        <v>0</v>
      </c>
      <c r="AG202" s="105">
        <v>0</v>
      </c>
      <c r="AH202" s="105">
        <v>0</v>
      </c>
      <c r="AI202" s="105">
        <v>0</v>
      </c>
      <c r="AJ202" s="105">
        <v>0</v>
      </c>
      <c r="AK202" s="105">
        <v>0</v>
      </c>
      <c r="AL202" s="105">
        <v>0</v>
      </c>
      <c r="AM202" s="105">
        <v>0</v>
      </c>
      <c r="AN202" s="105">
        <v>0</v>
      </c>
      <c r="AO202" s="105">
        <v>0</v>
      </c>
      <c r="AP202" s="105">
        <v>0</v>
      </c>
      <c r="AQ202" s="105">
        <v>0</v>
      </c>
      <c r="AR202" s="105">
        <v>0</v>
      </c>
      <c r="AS202" s="105">
        <v>0</v>
      </c>
      <c r="AT202" s="105">
        <v>0</v>
      </c>
      <c r="AU202" s="105">
        <v>0</v>
      </c>
      <c r="AV202" s="105">
        <v>0</v>
      </c>
      <c r="AW202" s="105">
        <v>0</v>
      </c>
      <c r="AX202" s="105">
        <v>0</v>
      </c>
      <c r="AY202" s="105">
        <v>0</v>
      </c>
    </row>
    <row r="203" spans="1:51">
      <c r="A203" s="108"/>
      <c r="B203" s="126">
        <v>7</v>
      </c>
      <c r="C203" s="105"/>
      <c r="D203" s="105">
        <v>0</v>
      </c>
      <c r="E203" s="105">
        <v>0</v>
      </c>
      <c r="F203" s="105">
        <v>0</v>
      </c>
      <c r="G203" s="105">
        <v>0</v>
      </c>
      <c r="H203" s="105">
        <v>0</v>
      </c>
      <c r="I203" s="105">
        <v>0</v>
      </c>
      <c r="J203" s="105">
        <v>0</v>
      </c>
      <c r="K203" s="105">
        <v>0</v>
      </c>
      <c r="L203" s="105">
        <v>0</v>
      </c>
      <c r="M203" s="105">
        <v>0</v>
      </c>
      <c r="N203" s="105">
        <v>0</v>
      </c>
      <c r="O203" s="105">
        <v>232</v>
      </c>
      <c r="P203" s="105">
        <v>0</v>
      </c>
      <c r="Q203" s="105">
        <v>0</v>
      </c>
      <c r="R203" s="105">
        <v>0</v>
      </c>
      <c r="S203" s="105">
        <v>0</v>
      </c>
      <c r="T203" s="105">
        <v>0</v>
      </c>
      <c r="U203" s="105">
        <v>0</v>
      </c>
      <c r="V203" s="105">
        <v>0</v>
      </c>
      <c r="W203" s="105">
        <v>0</v>
      </c>
      <c r="X203" s="105">
        <v>0</v>
      </c>
      <c r="Y203" s="105">
        <v>0</v>
      </c>
      <c r="Z203" s="105">
        <v>0</v>
      </c>
      <c r="AA203" s="105">
        <v>0</v>
      </c>
      <c r="AB203" s="105">
        <v>0</v>
      </c>
      <c r="AC203" s="105">
        <v>0</v>
      </c>
      <c r="AD203" s="105">
        <v>0</v>
      </c>
      <c r="AE203" s="105">
        <v>0</v>
      </c>
      <c r="AF203" s="105">
        <v>0</v>
      </c>
      <c r="AG203" s="105">
        <v>0</v>
      </c>
      <c r="AH203" s="105">
        <v>0</v>
      </c>
      <c r="AI203" s="105">
        <v>0</v>
      </c>
      <c r="AJ203" s="105">
        <v>0</v>
      </c>
      <c r="AK203" s="105">
        <v>0</v>
      </c>
      <c r="AL203" s="105">
        <v>0</v>
      </c>
      <c r="AM203" s="105">
        <v>0</v>
      </c>
      <c r="AN203" s="105">
        <v>0</v>
      </c>
      <c r="AO203" s="105">
        <v>0</v>
      </c>
      <c r="AP203" s="105">
        <v>0</v>
      </c>
      <c r="AQ203" s="105">
        <v>0</v>
      </c>
      <c r="AR203" s="105">
        <v>0</v>
      </c>
      <c r="AS203" s="105">
        <v>0</v>
      </c>
      <c r="AT203" s="105">
        <v>0</v>
      </c>
      <c r="AU203" s="105">
        <v>0</v>
      </c>
      <c r="AV203" s="105">
        <v>0</v>
      </c>
      <c r="AW203" s="105">
        <v>0</v>
      </c>
      <c r="AX203" s="105">
        <v>0</v>
      </c>
      <c r="AY203" s="105">
        <v>0</v>
      </c>
    </row>
    <row r="204" spans="1:51">
      <c r="A204" s="108"/>
      <c r="B204" s="126">
        <v>8</v>
      </c>
      <c r="C204" s="105"/>
      <c r="D204" s="105">
        <v>0</v>
      </c>
      <c r="E204" s="105">
        <v>0</v>
      </c>
      <c r="F204" s="105">
        <v>0</v>
      </c>
      <c r="G204" s="105">
        <v>0</v>
      </c>
      <c r="H204" s="105">
        <v>0</v>
      </c>
      <c r="I204" s="105">
        <v>0</v>
      </c>
      <c r="J204" s="105">
        <v>0</v>
      </c>
      <c r="K204" s="105">
        <v>0</v>
      </c>
      <c r="L204" s="105">
        <v>0</v>
      </c>
      <c r="M204" s="105">
        <v>0</v>
      </c>
      <c r="N204" s="105">
        <v>0</v>
      </c>
      <c r="O204" s="105">
        <v>0</v>
      </c>
      <c r="P204" s="105">
        <v>178</v>
      </c>
      <c r="Q204" s="105">
        <v>1.9270718156985822</v>
      </c>
      <c r="R204" s="105">
        <v>0</v>
      </c>
      <c r="S204" s="105">
        <v>0</v>
      </c>
      <c r="T204" s="105">
        <v>0</v>
      </c>
      <c r="U204" s="105">
        <v>0</v>
      </c>
      <c r="V204" s="105">
        <v>0</v>
      </c>
      <c r="W204" s="105">
        <v>0</v>
      </c>
      <c r="X204" s="105">
        <v>0</v>
      </c>
      <c r="Y204" s="105">
        <v>0</v>
      </c>
      <c r="Z204" s="105">
        <v>0</v>
      </c>
      <c r="AA204" s="105">
        <v>0</v>
      </c>
      <c r="AB204" s="105">
        <v>0</v>
      </c>
      <c r="AC204" s="105">
        <v>0</v>
      </c>
      <c r="AD204" s="105">
        <v>0</v>
      </c>
      <c r="AE204" s="105">
        <v>0</v>
      </c>
      <c r="AF204" s="105">
        <v>0</v>
      </c>
      <c r="AG204" s="105">
        <v>0</v>
      </c>
      <c r="AH204" s="105">
        <v>0</v>
      </c>
      <c r="AI204" s="105">
        <v>0</v>
      </c>
      <c r="AJ204" s="105">
        <v>0</v>
      </c>
      <c r="AK204" s="105">
        <v>0</v>
      </c>
      <c r="AL204" s="105">
        <v>0</v>
      </c>
      <c r="AM204" s="105">
        <v>0</v>
      </c>
      <c r="AN204" s="105">
        <v>0</v>
      </c>
      <c r="AO204" s="105">
        <v>0</v>
      </c>
      <c r="AP204" s="105">
        <v>0</v>
      </c>
      <c r="AQ204" s="105">
        <v>0</v>
      </c>
      <c r="AR204" s="105">
        <v>0</v>
      </c>
      <c r="AS204" s="105">
        <v>0</v>
      </c>
      <c r="AT204" s="105">
        <v>0</v>
      </c>
      <c r="AU204" s="105">
        <v>0</v>
      </c>
      <c r="AV204" s="105">
        <v>0</v>
      </c>
      <c r="AW204" s="105">
        <v>0</v>
      </c>
      <c r="AX204" s="105">
        <v>0</v>
      </c>
      <c r="AY204" s="105">
        <v>0</v>
      </c>
    </row>
    <row r="205" spans="1:51">
      <c r="A205" s="108"/>
      <c r="B205" s="126">
        <v>9</v>
      </c>
      <c r="C205" s="105"/>
      <c r="D205" s="105">
        <v>0</v>
      </c>
      <c r="E205" s="105">
        <v>0</v>
      </c>
      <c r="F205" s="105">
        <v>0</v>
      </c>
      <c r="G205" s="105">
        <v>0</v>
      </c>
      <c r="H205" s="105">
        <v>0</v>
      </c>
      <c r="I205" s="105">
        <v>0</v>
      </c>
      <c r="J205" s="105">
        <v>0</v>
      </c>
      <c r="K205" s="105">
        <v>0</v>
      </c>
      <c r="L205" s="105">
        <v>0</v>
      </c>
      <c r="M205" s="105">
        <v>0</v>
      </c>
      <c r="N205" s="105">
        <v>0</v>
      </c>
      <c r="O205" s="105">
        <v>0</v>
      </c>
      <c r="P205" s="105">
        <v>0</v>
      </c>
      <c r="Q205" s="105">
        <v>228.07292818430142</v>
      </c>
      <c r="R205" s="105">
        <v>232</v>
      </c>
      <c r="S205" s="105">
        <v>0</v>
      </c>
      <c r="T205" s="105">
        <v>0</v>
      </c>
      <c r="U205" s="105">
        <v>0</v>
      </c>
      <c r="V205" s="105">
        <v>0</v>
      </c>
      <c r="W205" s="105">
        <v>0</v>
      </c>
      <c r="X205" s="105">
        <v>0</v>
      </c>
      <c r="Y205" s="105">
        <v>0</v>
      </c>
      <c r="Z205" s="105">
        <v>0</v>
      </c>
      <c r="AA205" s="105">
        <v>0</v>
      </c>
      <c r="AB205" s="105">
        <v>0</v>
      </c>
      <c r="AC205" s="105">
        <v>0</v>
      </c>
      <c r="AD205" s="105">
        <v>0</v>
      </c>
      <c r="AE205" s="105">
        <v>0</v>
      </c>
      <c r="AF205" s="105">
        <v>0</v>
      </c>
      <c r="AG205" s="105">
        <v>0</v>
      </c>
      <c r="AH205" s="105">
        <v>0</v>
      </c>
      <c r="AI205" s="105">
        <v>0</v>
      </c>
      <c r="AJ205" s="105">
        <v>0</v>
      </c>
      <c r="AK205" s="105">
        <v>0</v>
      </c>
      <c r="AL205" s="105">
        <v>0</v>
      </c>
      <c r="AM205" s="105">
        <v>0</v>
      </c>
      <c r="AN205" s="105">
        <v>0</v>
      </c>
      <c r="AO205" s="105">
        <v>0</v>
      </c>
      <c r="AP205" s="105">
        <v>0</v>
      </c>
      <c r="AQ205" s="105">
        <v>0</v>
      </c>
      <c r="AR205" s="105">
        <v>0</v>
      </c>
      <c r="AS205" s="105">
        <v>0</v>
      </c>
      <c r="AT205" s="105">
        <v>0</v>
      </c>
      <c r="AU205" s="105">
        <v>0</v>
      </c>
      <c r="AV205" s="105">
        <v>0</v>
      </c>
      <c r="AW205" s="105">
        <v>0</v>
      </c>
      <c r="AX205" s="105">
        <v>0</v>
      </c>
      <c r="AY205" s="105">
        <v>0</v>
      </c>
    </row>
    <row r="206" spans="1:51">
      <c r="A206" s="108"/>
      <c r="B206" s="129">
        <v>10</v>
      </c>
      <c r="C206" s="105"/>
      <c r="D206" s="105">
        <v>0</v>
      </c>
      <c r="E206" s="105">
        <v>0</v>
      </c>
      <c r="F206" s="105">
        <v>0</v>
      </c>
      <c r="G206" s="105">
        <v>0</v>
      </c>
      <c r="H206" s="105">
        <v>0</v>
      </c>
      <c r="I206" s="105">
        <v>0</v>
      </c>
      <c r="J206" s="105">
        <v>0</v>
      </c>
      <c r="K206" s="105">
        <v>0</v>
      </c>
      <c r="L206" s="105">
        <v>0</v>
      </c>
      <c r="M206" s="105">
        <v>0</v>
      </c>
      <c r="N206" s="105">
        <v>0</v>
      </c>
      <c r="O206" s="105">
        <v>0</v>
      </c>
      <c r="P206" s="105">
        <v>0</v>
      </c>
      <c r="Q206" s="105">
        <v>0</v>
      </c>
      <c r="R206" s="105">
        <v>0</v>
      </c>
      <c r="S206" s="105">
        <v>205</v>
      </c>
      <c r="T206" s="105">
        <v>0</v>
      </c>
      <c r="U206" s="105">
        <v>0</v>
      </c>
      <c r="V206" s="105">
        <v>0</v>
      </c>
      <c r="W206" s="105">
        <v>0</v>
      </c>
      <c r="X206" s="105">
        <v>0</v>
      </c>
      <c r="Y206" s="105">
        <v>0</v>
      </c>
      <c r="Z206" s="105">
        <v>0</v>
      </c>
      <c r="AA206" s="105">
        <v>0</v>
      </c>
      <c r="AB206" s="105">
        <v>0</v>
      </c>
      <c r="AC206" s="105">
        <v>0</v>
      </c>
      <c r="AD206" s="105">
        <v>0</v>
      </c>
      <c r="AE206" s="105">
        <v>0</v>
      </c>
      <c r="AF206" s="105">
        <v>0</v>
      </c>
      <c r="AG206" s="105">
        <v>0</v>
      </c>
      <c r="AH206" s="105">
        <v>0</v>
      </c>
      <c r="AI206" s="105">
        <v>0</v>
      </c>
      <c r="AJ206" s="105">
        <v>0</v>
      </c>
      <c r="AK206" s="105">
        <v>0</v>
      </c>
      <c r="AL206" s="105">
        <v>0</v>
      </c>
      <c r="AM206" s="105">
        <v>0</v>
      </c>
      <c r="AN206" s="105">
        <v>0</v>
      </c>
      <c r="AO206" s="105">
        <v>0</v>
      </c>
      <c r="AP206" s="105">
        <v>0</v>
      </c>
      <c r="AQ206" s="105">
        <v>0</v>
      </c>
      <c r="AR206" s="105">
        <v>0</v>
      </c>
      <c r="AS206" s="105">
        <v>0</v>
      </c>
      <c r="AT206" s="105">
        <v>0</v>
      </c>
      <c r="AU206" s="105">
        <v>0</v>
      </c>
      <c r="AV206" s="105">
        <v>0</v>
      </c>
      <c r="AW206" s="105">
        <v>0</v>
      </c>
      <c r="AX206" s="105">
        <v>0</v>
      </c>
      <c r="AY206" s="105">
        <v>0</v>
      </c>
    </row>
    <row r="207" spans="1:51">
      <c r="A207" s="108"/>
      <c r="B207" s="129">
        <v>11</v>
      </c>
      <c r="C207" s="105"/>
      <c r="D207" s="105">
        <v>0</v>
      </c>
      <c r="E207" s="105">
        <v>0</v>
      </c>
      <c r="F207" s="105">
        <v>0</v>
      </c>
      <c r="G207" s="105">
        <v>0</v>
      </c>
      <c r="H207" s="105">
        <v>0</v>
      </c>
      <c r="I207" s="105">
        <v>0</v>
      </c>
      <c r="J207" s="105">
        <v>0</v>
      </c>
      <c r="K207" s="105">
        <v>0</v>
      </c>
      <c r="L207" s="105">
        <v>0</v>
      </c>
      <c r="M207" s="105">
        <v>0</v>
      </c>
      <c r="N207" s="105">
        <v>0</v>
      </c>
      <c r="O207" s="105">
        <v>0</v>
      </c>
      <c r="P207" s="105">
        <v>0</v>
      </c>
      <c r="Q207" s="105">
        <v>0</v>
      </c>
      <c r="R207" s="105">
        <v>0</v>
      </c>
      <c r="S207" s="105">
        <v>0</v>
      </c>
      <c r="T207" s="105">
        <v>209</v>
      </c>
      <c r="U207" s="105">
        <v>0</v>
      </c>
      <c r="V207" s="105">
        <v>0</v>
      </c>
      <c r="W207" s="105">
        <v>0</v>
      </c>
      <c r="X207" s="105">
        <v>0</v>
      </c>
      <c r="Y207" s="105">
        <v>0</v>
      </c>
      <c r="Z207" s="105">
        <v>0</v>
      </c>
      <c r="AA207" s="105">
        <v>0</v>
      </c>
      <c r="AB207" s="105">
        <v>0</v>
      </c>
      <c r="AC207" s="105">
        <v>0</v>
      </c>
      <c r="AD207" s="105">
        <v>0</v>
      </c>
      <c r="AE207" s="105">
        <v>0</v>
      </c>
      <c r="AF207" s="105">
        <v>0</v>
      </c>
      <c r="AG207" s="105">
        <v>0</v>
      </c>
      <c r="AH207" s="105">
        <v>0</v>
      </c>
      <c r="AI207" s="105">
        <v>0</v>
      </c>
      <c r="AJ207" s="105">
        <v>0</v>
      </c>
      <c r="AK207" s="105">
        <v>0</v>
      </c>
      <c r="AL207" s="105">
        <v>0</v>
      </c>
      <c r="AM207" s="105">
        <v>0</v>
      </c>
      <c r="AN207" s="105">
        <v>0</v>
      </c>
      <c r="AO207" s="105">
        <v>0</v>
      </c>
      <c r="AP207" s="105">
        <v>0</v>
      </c>
      <c r="AQ207" s="105">
        <v>0</v>
      </c>
      <c r="AR207" s="105">
        <v>0</v>
      </c>
      <c r="AS207" s="105">
        <v>0</v>
      </c>
      <c r="AT207" s="105">
        <v>0</v>
      </c>
      <c r="AU207" s="105">
        <v>0</v>
      </c>
      <c r="AV207" s="105">
        <v>0</v>
      </c>
      <c r="AW207" s="105">
        <v>0</v>
      </c>
      <c r="AX207" s="105">
        <v>0</v>
      </c>
      <c r="AY207" s="105">
        <v>0</v>
      </c>
    </row>
    <row r="208" spans="1:51">
      <c r="A208" s="108"/>
      <c r="B208" s="129">
        <v>12</v>
      </c>
      <c r="C208" s="105"/>
      <c r="D208" s="105">
        <v>0</v>
      </c>
      <c r="E208" s="105">
        <v>0</v>
      </c>
      <c r="F208" s="105">
        <v>0</v>
      </c>
      <c r="G208" s="105">
        <v>0</v>
      </c>
      <c r="H208" s="105">
        <v>0</v>
      </c>
      <c r="I208" s="105">
        <v>0</v>
      </c>
      <c r="J208" s="105">
        <v>0</v>
      </c>
      <c r="K208" s="105">
        <v>0</v>
      </c>
      <c r="L208" s="105">
        <v>0</v>
      </c>
      <c r="M208" s="105">
        <v>0</v>
      </c>
      <c r="N208" s="105">
        <v>0</v>
      </c>
      <c r="O208" s="105">
        <v>0</v>
      </c>
      <c r="P208" s="105">
        <v>0</v>
      </c>
      <c r="Q208" s="105">
        <v>0</v>
      </c>
      <c r="R208" s="105">
        <v>0</v>
      </c>
      <c r="S208" s="105">
        <v>0</v>
      </c>
      <c r="T208" s="105">
        <v>0</v>
      </c>
      <c r="U208" s="105">
        <v>189</v>
      </c>
      <c r="V208" s="105">
        <v>182</v>
      </c>
      <c r="W208" s="105">
        <v>234</v>
      </c>
      <c r="X208" s="105">
        <v>195</v>
      </c>
      <c r="Y208" s="105">
        <v>222</v>
      </c>
      <c r="Z208" s="105">
        <v>232</v>
      </c>
      <c r="AA208" s="105">
        <v>235</v>
      </c>
      <c r="AB208" s="105">
        <v>171</v>
      </c>
      <c r="AC208" s="105">
        <v>213</v>
      </c>
      <c r="AD208" s="105">
        <v>205</v>
      </c>
      <c r="AE208" s="105">
        <v>223</v>
      </c>
      <c r="AF208" s="105">
        <v>246</v>
      </c>
      <c r="AG208" s="105">
        <v>242</v>
      </c>
      <c r="AH208" s="105">
        <v>201</v>
      </c>
      <c r="AI208" s="105">
        <v>198</v>
      </c>
      <c r="AJ208" s="105">
        <v>200</v>
      </c>
      <c r="AK208" s="105">
        <v>244</v>
      </c>
      <c r="AL208" s="105">
        <v>215</v>
      </c>
      <c r="AM208" s="105">
        <v>176</v>
      </c>
      <c r="AN208" s="105">
        <v>236</v>
      </c>
      <c r="AO208" s="105">
        <v>227</v>
      </c>
      <c r="AP208" s="105">
        <v>241</v>
      </c>
      <c r="AQ208" s="105">
        <v>212</v>
      </c>
      <c r="AR208" s="105">
        <v>241</v>
      </c>
      <c r="AS208" s="105">
        <v>193</v>
      </c>
      <c r="AT208" s="105">
        <v>184</v>
      </c>
      <c r="AU208" s="105">
        <v>214</v>
      </c>
      <c r="AV208" s="105">
        <v>280</v>
      </c>
      <c r="AW208" s="105">
        <v>195</v>
      </c>
      <c r="AX208" s="105">
        <v>188</v>
      </c>
      <c r="AY208" s="105">
        <v>211</v>
      </c>
    </row>
    <row r="209" spans="1:51">
      <c r="A209" s="125" t="s">
        <v>123</v>
      </c>
      <c r="B209" s="122">
        <v>1</v>
      </c>
      <c r="C209" s="123"/>
      <c r="D209" s="123">
        <v>0</v>
      </c>
      <c r="E209" s="123">
        <v>0</v>
      </c>
      <c r="F209" s="123">
        <v>92.433787144970083</v>
      </c>
      <c r="G209" s="123">
        <v>0</v>
      </c>
      <c r="H209" s="123">
        <v>0</v>
      </c>
      <c r="I209" s="123">
        <v>9.7651094643151026</v>
      </c>
      <c r="J209" s="123">
        <v>52.58336760549679</v>
      </c>
      <c r="K209" s="123">
        <v>15.65470284227041</v>
      </c>
      <c r="L209" s="123">
        <v>0</v>
      </c>
      <c r="M209" s="123">
        <v>0</v>
      </c>
      <c r="N209" s="123">
        <v>0</v>
      </c>
      <c r="O209" s="123">
        <v>26.151138500071426</v>
      </c>
      <c r="P209" s="123">
        <v>49.519306401735761</v>
      </c>
      <c r="Q209" s="123">
        <v>0</v>
      </c>
      <c r="R209" s="123">
        <v>0</v>
      </c>
      <c r="S209" s="123">
        <v>0</v>
      </c>
      <c r="T209" s="123">
        <v>26.574226252331343</v>
      </c>
      <c r="U209" s="123">
        <v>67.38953306126362</v>
      </c>
      <c r="V209" s="123">
        <v>0</v>
      </c>
      <c r="W209" s="123">
        <v>0</v>
      </c>
      <c r="X209" s="123">
        <v>26.965710653620931</v>
      </c>
      <c r="Y209" s="123">
        <v>40.885542255478406</v>
      </c>
      <c r="Z209" s="123">
        <v>0</v>
      </c>
      <c r="AA209" s="123">
        <v>0</v>
      </c>
      <c r="AB209" s="123">
        <v>0</v>
      </c>
      <c r="AC209" s="123">
        <v>0</v>
      </c>
      <c r="AD209" s="123">
        <v>0</v>
      </c>
      <c r="AE209" s="123">
        <v>0</v>
      </c>
      <c r="AF209" s="123">
        <v>0</v>
      </c>
      <c r="AG209" s="123">
        <v>0</v>
      </c>
      <c r="AH209" s="123">
        <v>71.79681338650947</v>
      </c>
      <c r="AI209" s="123">
        <v>0</v>
      </c>
      <c r="AJ209" s="123">
        <v>0</v>
      </c>
      <c r="AK209" s="123">
        <v>10.202502056994902</v>
      </c>
      <c r="AL209" s="123">
        <v>34.439010092389026</v>
      </c>
      <c r="AM209" s="123">
        <v>0</v>
      </c>
      <c r="AN209" s="123">
        <v>54.115933173686074</v>
      </c>
      <c r="AO209" s="123">
        <v>11.002408768886937</v>
      </c>
      <c r="AP209" s="123">
        <v>46.643642227425246</v>
      </c>
      <c r="AQ209" s="123">
        <v>0</v>
      </c>
      <c r="AR209" s="123">
        <v>0</v>
      </c>
      <c r="AS209" s="123">
        <v>0</v>
      </c>
      <c r="AT209" s="123">
        <v>9.7924271485851193</v>
      </c>
      <c r="AU209" s="123">
        <v>68.306887046399979</v>
      </c>
      <c r="AV209" s="123">
        <v>99.865409779800004</v>
      </c>
      <c r="AW209" s="123">
        <v>0</v>
      </c>
      <c r="AX209" s="123">
        <v>0</v>
      </c>
      <c r="AY209" s="123">
        <v>0</v>
      </c>
    </row>
    <row r="210" spans="1:51">
      <c r="A210" s="108"/>
      <c r="B210" s="118">
        <v>2</v>
      </c>
      <c r="C210" s="105"/>
      <c r="D210" s="109">
        <v>0</v>
      </c>
      <c r="E210" s="109">
        <v>0</v>
      </c>
      <c r="F210" s="109">
        <v>0</v>
      </c>
      <c r="G210" s="109">
        <v>91</v>
      </c>
      <c r="H210" s="109">
        <v>100.31498359109968</v>
      </c>
      <c r="I210" s="109">
        <v>66.730792432911713</v>
      </c>
      <c r="J210" s="109">
        <v>68.41663239450321</v>
      </c>
      <c r="K210" s="109">
        <v>90.34529715772959</v>
      </c>
      <c r="L210" s="109">
        <v>96</v>
      </c>
      <c r="M210" s="109">
        <v>81.282827657234265</v>
      </c>
      <c r="N210" s="109">
        <v>113.24037985244686</v>
      </c>
      <c r="O210" s="109">
        <v>68.861090422511111</v>
      </c>
      <c r="P210" s="109">
        <v>65.480693598264239</v>
      </c>
      <c r="Q210" s="109">
        <v>100</v>
      </c>
      <c r="R210" s="109">
        <v>70.595869239294885</v>
      </c>
      <c r="S210" s="109">
        <v>63.89315806374811</v>
      </c>
      <c r="T210" s="109">
        <v>69.095030691927747</v>
      </c>
      <c r="U210" s="109">
        <v>34.61046693873638</v>
      </c>
      <c r="V210" s="109">
        <v>47.813873577758784</v>
      </c>
      <c r="W210" s="109">
        <v>107.50056766450268</v>
      </c>
      <c r="X210" s="109">
        <v>69.095030691927747</v>
      </c>
      <c r="Y210" s="109">
        <v>59.114457744521594</v>
      </c>
      <c r="Z210" s="109">
        <v>0</v>
      </c>
      <c r="AA210" s="109">
        <v>71.454481049863062</v>
      </c>
      <c r="AB210" s="109">
        <v>108.81678253475461</v>
      </c>
      <c r="AC210" s="109">
        <v>106.15291590613111</v>
      </c>
      <c r="AD210" s="109">
        <v>24.046602502241981</v>
      </c>
      <c r="AE210" s="109">
        <v>74.873383470348244</v>
      </c>
      <c r="AF210" s="109">
        <v>44.911283803224542</v>
      </c>
      <c r="AG210" s="109">
        <v>76.551127080495007</v>
      </c>
      <c r="AH210" s="109">
        <v>12.559630013025965</v>
      </c>
      <c r="AI210" s="109">
        <v>0</v>
      </c>
      <c r="AJ210" s="109">
        <v>92.45575231444181</v>
      </c>
      <c r="AK210" s="109">
        <v>72.170993983831423</v>
      </c>
      <c r="AL210" s="109">
        <v>69.560989907610974</v>
      </c>
      <c r="AM210" s="109">
        <v>112</v>
      </c>
      <c r="AN210" s="109">
        <v>30.215921480613186</v>
      </c>
      <c r="AO210" s="109">
        <v>94.863001010913067</v>
      </c>
      <c r="AP210" s="109">
        <v>69.356357772574754</v>
      </c>
      <c r="AQ210" s="109">
        <v>124</v>
      </c>
      <c r="AR210" s="109">
        <v>107.65259219192407</v>
      </c>
      <c r="AS210" s="109">
        <v>57.984519739407119</v>
      </c>
      <c r="AT210" s="109">
        <v>67.281372982210016</v>
      </c>
      <c r="AU210" s="109">
        <v>28.256893637593709</v>
      </c>
      <c r="AV210" s="109">
        <v>2.1345902201999998</v>
      </c>
      <c r="AW210" s="109">
        <v>60.192894862000031</v>
      </c>
      <c r="AX210" s="109">
        <v>89.706943433724092</v>
      </c>
      <c r="AY210" s="109">
        <v>52.128182212501727</v>
      </c>
    </row>
    <row r="211" spans="1:51">
      <c r="A211" s="108"/>
      <c r="B211" s="118">
        <v>3</v>
      </c>
      <c r="C211" s="105"/>
      <c r="D211" s="109">
        <v>0</v>
      </c>
      <c r="E211" s="109">
        <v>0</v>
      </c>
      <c r="F211" s="109">
        <v>0</v>
      </c>
      <c r="G211" s="109">
        <v>0</v>
      </c>
      <c r="H211" s="109">
        <v>12.685016408900326</v>
      </c>
      <c r="I211" s="109">
        <v>33.504098102773177</v>
      </c>
      <c r="J211" s="109">
        <v>0</v>
      </c>
      <c r="K211" s="109">
        <v>0</v>
      </c>
      <c r="L211" s="109">
        <v>0</v>
      </c>
      <c r="M211" s="109">
        <v>18.717172342765743</v>
      </c>
      <c r="N211" s="109">
        <v>5.7596201475531386</v>
      </c>
      <c r="O211" s="109">
        <v>19.987771077417463</v>
      </c>
      <c r="P211" s="109">
        <v>0</v>
      </c>
      <c r="Q211" s="109">
        <v>0</v>
      </c>
      <c r="R211" s="109">
        <v>16.404130760705112</v>
      </c>
      <c r="S211" s="109">
        <v>41.10684193625189</v>
      </c>
      <c r="T211" s="109">
        <v>1.3307430557409141</v>
      </c>
      <c r="U211" s="109">
        <v>0</v>
      </c>
      <c r="V211" s="109">
        <v>44.186126422241216</v>
      </c>
      <c r="W211" s="109">
        <v>1.4994323354973151</v>
      </c>
      <c r="X211" s="109">
        <v>16.939258654451329</v>
      </c>
      <c r="Y211" s="109">
        <v>0</v>
      </c>
      <c r="Z211" s="109">
        <v>115</v>
      </c>
      <c r="AA211" s="109">
        <v>15.000182541236617</v>
      </c>
      <c r="AB211" s="109">
        <v>0.18321746524539168</v>
      </c>
      <c r="AC211" s="109">
        <v>21.847084093868887</v>
      </c>
      <c r="AD211" s="109">
        <v>63.953397497758019</v>
      </c>
      <c r="AE211" s="109">
        <v>43.126616529651749</v>
      </c>
      <c r="AF211" s="109">
        <v>44.088716196775458</v>
      </c>
      <c r="AG211" s="109">
        <v>40.448872919504986</v>
      </c>
      <c r="AH211" s="109">
        <v>25.643556600464571</v>
      </c>
      <c r="AI211" s="109">
        <v>108</v>
      </c>
      <c r="AJ211" s="109">
        <v>13.764122186950413</v>
      </c>
      <c r="AK211" s="109">
        <v>25.626503959173679</v>
      </c>
      <c r="AL211" s="109">
        <v>0</v>
      </c>
      <c r="AM211" s="109">
        <v>0</v>
      </c>
      <c r="AN211" s="109">
        <v>23.668145345700744</v>
      </c>
      <c r="AO211" s="109">
        <v>2.1345902202000007</v>
      </c>
      <c r="AP211" s="109">
        <v>0</v>
      </c>
      <c r="AQ211" s="109">
        <v>0</v>
      </c>
      <c r="AR211" s="109">
        <v>6.3474078080759355</v>
      </c>
      <c r="AS211" s="109">
        <v>65.015480260592881</v>
      </c>
      <c r="AT211" s="109">
        <v>27.926199869204869</v>
      </c>
      <c r="AU211" s="109">
        <v>2.1345902201999998</v>
      </c>
      <c r="AV211" s="109">
        <v>0</v>
      </c>
      <c r="AW211" s="109">
        <v>49.807105137999969</v>
      </c>
      <c r="AX211" s="109">
        <v>23.293056566275911</v>
      </c>
      <c r="AY211" s="109">
        <v>74.871817787498273</v>
      </c>
    </row>
    <row r="212" spans="1:51">
      <c r="A212" s="108"/>
      <c r="B212" s="118">
        <v>4</v>
      </c>
      <c r="C212" s="105"/>
      <c r="D212" s="109">
        <v>0</v>
      </c>
      <c r="E212" s="109">
        <v>0</v>
      </c>
      <c r="F212" s="109">
        <v>0</v>
      </c>
      <c r="G212" s="109">
        <v>0</v>
      </c>
      <c r="H212" s="109">
        <v>0</v>
      </c>
      <c r="I212" s="109">
        <v>0</v>
      </c>
      <c r="J212" s="109">
        <v>0</v>
      </c>
      <c r="K212" s="109">
        <v>0</v>
      </c>
      <c r="L212" s="109">
        <v>0</v>
      </c>
      <c r="M212" s="109">
        <v>0</v>
      </c>
      <c r="N212" s="109">
        <v>0</v>
      </c>
      <c r="O212" s="109">
        <v>0</v>
      </c>
      <c r="P212" s="109">
        <v>0</v>
      </c>
      <c r="Q212" s="109">
        <v>0</v>
      </c>
      <c r="R212" s="109">
        <v>0</v>
      </c>
      <c r="S212" s="109">
        <v>0</v>
      </c>
      <c r="T212" s="109">
        <v>0</v>
      </c>
      <c r="U212" s="109">
        <v>0</v>
      </c>
      <c r="V212" s="109">
        <v>0</v>
      </c>
      <c r="W212" s="109">
        <v>0</v>
      </c>
      <c r="X212" s="109">
        <v>0</v>
      </c>
      <c r="Y212" s="109">
        <v>0</v>
      </c>
      <c r="Z212" s="109">
        <v>0</v>
      </c>
      <c r="AA212" s="109">
        <v>6.5453364089003268</v>
      </c>
      <c r="AB212" s="109">
        <v>0</v>
      </c>
      <c r="AC212" s="109">
        <v>0</v>
      </c>
      <c r="AD212" s="109">
        <v>0</v>
      </c>
      <c r="AE212" s="109">
        <v>0</v>
      </c>
      <c r="AF212" s="109">
        <v>0</v>
      </c>
      <c r="AG212" s="109">
        <v>0</v>
      </c>
      <c r="AH212" s="109">
        <v>0</v>
      </c>
      <c r="AI212" s="109">
        <v>0</v>
      </c>
      <c r="AJ212" s="109">
        <v>13.780125498607779</v>
      </c>
      <c r="AK212" s="109">
        <v>0</v>
      </c>
      <c r="AL212" s="109">
        <v>0</v>
      </c>
      <c r="AM212" s="109">
        <v>0</v>
      </c>
      <c r="AN212" s="109">
        <v>0</v>
      </c>
      <c r="AO212" s="109">
        <v>0</v>
      </c>
      <c r="AP212" s="109">
        <v>0</v>
      </c>
      <c r="AQ212" s="109">
        <v>0</v>
      </c>
      <c r="AR212" s="109">
        <v>0</v>
      </c>
      <c r="AS212" s="109">
        <v>0</v>
      </c>
      <c r="AT212" s="109">
        <v>0</v>
      </c>
      <c r="AU212" s="109">
        <v>0</v>
      </c>
      <c r="AV212" s="109">
        <v>0</v>
      </c>
      <c r="AW212" s="109">
        <v>0</v>
      </c>
      <c r="AX212" s="109">
        <v>0</v>
      </c>
      <c r="AY212" s="109">
        <v>0</v>
      </c>
    </row>
    <row r="213" spans="1:51">
      <c r="A213" s="108"/>
      <c r="B213" s="118">
        <v>5</v>
      </c>
      <c r="C213" s="105"/>
      <c r="D213" s="109">
        <v>0</v>
      </c>
      <c r="E213" s="109">
        <v>0</v>
      </c>
      <c r="F213" s="109">
        <v>0</v>
      </c>
      <c r="G213" s="109">
        <v>0</v>
      </c>
      <c r="H213" s="109">
        <v>0</v>
      </c>
      <c r="I213" s="109">
        <v>0</v>
      </c>
      <c r="J213" s="109">
        <v>0</v>
      </c>
      <c r="K213" s="109">
        <v>0</v>
      </c>
      <c r="L213" s="109">
        <v>0</v>
      </c>
      <c r="M213" s="109">
        <v>0</v>
      </c>
      <c r="N213" s="109">
        <v>0</v>
      </c>
      <c r="O213" s="109">
        <v>0</v>
      </c>
      <c r="P213" s="109">
        <v>0</v>
      </c>
      <c r="Q213" s="109">
        <v>0</v>
      </c>
      <c r="R213" s="109">
        <v>0</v>
      </c>
      <c r="S213" s="109">
        <v>0</v>
      </c>
      <c r="T213" s="109">
        <v>0</v>
      </c>
      <c r="U213" s="109">
        <v>0</v>
      </c>
      <c r="V213" s="109">
        <v>0</v>
      </c>
      <c r="W213" s="109">
        <v>0</v>
      </c>
      <c r="X213" s="109">
        <v>0</v>
      </c>
      <c r="Y213" s="109">
        <v>0</v>
      </c>
      <c r="Z213" s="109">
        <v>0</v>
      </c>
      <c r="AA213" s="109">
        <v>0</v>
      </c>
      <c r="AB213" s="109">
        <v>0</v>
      </c>
      <c r="AC213" s="109">
        <v>0</v>
      </c>
      <c r="AD213" s="109">
        <v>0</v>
      </c>
      <c r="AE213" s="109">
        <v>0</v>
      </c>
      <c r="AF213" s="109">
        <v>0</v>
      </c>
      <c r="AG213" s="109">
        <v>0</v>
      </c>
      <c r="AH213" s="109">
        <v>0</v>
      </c>
      <c r="AI213" s="109">
        <v>0</v>
      </c>
      <c r="AJ213" s="109">
        <v>0</v>
      </c>
      <c r="AK213" s="109">
        <v>0</v>
      </c>
      <c r="AL213" s="109">
        <v>0</v>
      </c>
      <c r="AM213" s="109">
        <v>0</v>
      </c>
      <c r="AN213" s="109">
        <v>0</v>
      </c>
      <c r="AO213" s="109">
        <v>0</v>
      </c>
      <c r="AP213" s="109">
        <v>0</v>
      </c>
      <c r="AQ213" s="109">
        <v>0</v>
      </c>
      <c r="AR213" s="109">
        <v>0</v>
      </c>
      <c r="AS213" s="109">
        <v>0</v>
      </c>
      <c r="AT213" s="109">
        <v>0</v>
      </c>
      <c r="AU213" s="109">
        <v>0</v>
      </c>
      <c r="AV213" s="109">
        <v>0</v>
      </c>
      <c r="AW213" s="109">
        <v>0</v>
      </c>
      <c r="AX213" s="109">
        <v>0</v>
      </c>
      <c r="AY213" s="109">
        <v>0</v>
      </c>
    </row>
    <row r="214" spans="1:51">
      <c r="A214" s="108"/>
      <c r="B214" s="118">
        <v>6</v>
      </c>
      <c r="C214" s="105"/>
      <c r="D214" s="109">
        <v>0</v>
      </c>
      <c r="E214" s="109">
        <v>0</v>
      </c>
      <c r="F214" s="109">
        <v>0</v>
      </c>
      <c r="G214" s="109">
        <v>0</v>
      </c>
      <c r="H214" s="109">
        <v>0</v>
      </c>
      <c r="I214" s="109">
        <v>0</v>
      </c>
      <c r="J214" s="109">
        <v>0</v>
      </c>
      <c r="K214" s="109">
        <v>0</v>
      </c>
      <c r="L214" s="109">
        <v>0</v>
      </c>
      <c r="M214" s="109">
        <v>0</v>
      </c>
      <c r="N214" s="109">
        <v>0</v>
      </c>
      <c r="O214" s="109">
        <v>0</v>
      </c>
      <c r="P214" s="109">
        <v>0</v>
      </c>
      <c r="Q214" s="109">
        <v>0</v>
      </c>
      <c r="R214" s="109">
        <v>0</v>
      </c>
      <c r="S214" s="109">
        <v>0</v>
      </c>
      <c r="T214" s="109">
        <v>0</v>
      </c>
      <c r="U214" s="109">
        <v>0</v>
      </c>
      <c r="V214" s="109">
        <v>0</v>
      </c>
      <c r="W214" s="109">
        <v>0</v>
      </c>
      <c r="X214" s="109">
        <v>0</v>
      </c>
      <c r="Y214" s="109">
        <v>0</v>
      </c>
      <c r="Z214" s="109">
        <v>0</v>
      </c>
      <c r="AA214" s="109">
        <v>0</v>
      </c>
      <c r="AB214" s="109">
        <v>0</v>
      </c>
      <c r="AC214" s="109">
        <v>0</v>
      </c>
      <c r="AD214" s="109">
        <v>0</v>
      </c>
      <c r="AE214" s="109">
        <v>0</v>
      </c>
      <c r="AF214" s="109">
        <v>0</v>
      </c>
      <c r="AG214" s="109">
        <v>0</v>
      </c>
      <c r="AH214" s="109">
        <v>0</v>
      </c>
      <c r="AI214" s="109">
        <v>0</v>
      </c>
      <c r="AJ214" s="109">
        <v>0</v>
      </c>
      <c r="AK214" s="109">
        <v>0</v>
      </c>
      <c r="AL214" s="109">
        <v>0</v>
      </c>
      <c r="AM214" s="109">
        <v>0</v>
      </c>
      <c r="AN214" s="109">
        <v>0</v>
      </c>
      <c r="AO214" s="109">
        <v>0</v>
      </c>
      <c r="AP214" s="109">
        <v>0</v>
      </c>
      <c r="AQ214" s="109">
        <v>0</v>
      </c>
      <c r="AR214" s="109">
        <v>0</v>
      </c>
      <c r="AS214" s="109">
        <v>0</v>
      </c>
      <c r="AT214" s="109">
        <v>0</v>
      </c>
      <c r="AU214" s="109">
        <v>0</v>
      </c>
      <c r="AV214" s="109">
        <v>0</v>
      </c>
      <c r="AW214" s="109">
        <v>0</v>
      </c>
      <c r="AX214" s="109">
        <v>0</v>
      </c>
      <c r="AY214" s="109">
        <v>0</v>
      </c>
    </row>
    <row r="215" spans="1:51">
      <c r="A215" s="108"/>
      <c r="B215" s="118">
        <v>7</v>
      </c>
      <c r="C215" s="105"/>
      <c r="D215" s="109">
        <v>0</v>
      </c>
      <c r="E215" s="109">
        <v>0</v>
      </c>
      <c r="F215" s="109">
        <v>0</v>
      </c>
      <c r="G215" s="109">
        <v>0</v>
      </c>
      <c r="H215" s="109">
        <v>0</v>
      </c>
      <c r="I215" s="109">
        <v>0</v>
      </c>
      <c r="J215" s="109">
        <v>0</v>
      </c>
      <c r="K215" s="109">
        <v>0</v>
      </c>
      <c r="L215" s="109">
        <v>0</v>
      </c>
      <c r="M215" s="109">
        <v>0</v>
      </c>
      <c r="N215" s="109">
        <v>0</v>
      </c>
      <c r="O215" s="109">
        <v>0</v>
      </c>
      <c r="P215" s="109">
        <v>0</v>
      </c>
      <c r="Q215" s="109">
        <v>0</v>
      </c>
      <c r="R215" s="109">
        <v>0</v>
      </c>
      <c r="S215" s="109">
        <v>0</v>
      </c>
      <c r="T215" s="109">
        <v>0</v>
      </c>
      <c r="U215" s="109">
        <v>0</v>
      </c>
      <c r="V215" s="109">
        <v>0</v>
      </c>
      <c r="W215" s="109">
        <v>0</v>
      </c>
      <c r="X215" s="109">
        <v>0</v>
      </c>
      <c r="Y215" s="109">
        <v>0</v>
      </c>
      <c r="Z215" s="109">
        <v>0</v>
      </c>
      <c r="AA215" s="109">
        <v>0</v>
      </c>
      <c r="AB215" s="109">
        <v>0</v>
      </c>
      <c r="AC215" s="109">
        <v>0</v>
      </c>
      <c r="AD215" s="109">
        <v>0</v>
      </c>
      <c r="AE215" s="109">
        <v>0</v>
      </c>
      <c r="AF215" s="109">
        <v>0</v>
      </c>
      <c r="AG215" s="109">
        <v>0</v>
      </c>
      <c r="AH215" s="109">
        <v>0</v>
      </c>
      <c r="AI215" s="109">
        <v>0</v>
      </c>
      <c r="AJ215" s="109">
        <v>0</v>
      </c>
      <c r="AK215" s="109">
        <v>0</v>
      </c>
      <c r="AL215" s="109">
        <v>0</v>
      </c>
      <c r="AM215" s="109">
        <v>0</v>
      </c>
      <c r="AN215" s="109">
        <v>0</v>
      </c>
      <c r="AO215" s="109">
        <v>0</v>
      </c>
      <c r="AP215" s="109">
        <v>0</v>
      </c>
      <c r="AQ215" s="109">
        <v>0</v>
      </c>
      <c r="AR215" s="109">
        <v>0</v>
      </c>
      <c r="AS215" s="109">
        <v>0</v>
      </c>
      <c r="AT215" s="109">
        <v>0</v>
      </c>
      <c r="AU215" s="109">
        <v>0</v>
      </c>
      <c r="AV215" s="109">
        <v>0</v>
      </c>
      <c r="AW215" s="109">
        <v>0</v>
      </c>
      <c r="AX215" s="109">
        <v>0</v>
      </c>
      <c r="AY215" s="109">
        <v>0</v>
      </c>
    </row>
    <row r="216" spans="1:51">
      <c r="A216" s="108"/>
      <c r="B216" s="118">
        <v>8</v>
      </c>
      <c r="C216" s="105"/>
      <c r="D216" s="109">
        <v>0</v>
      </c>
      <c r="E216" s="109">
        <v>0</v>
      </c>
      <c r="F216" s="109">
        <v>0</v>
      </c>
      <c r="G216" s="109">
        <v>0</v>
      </c>
      <c r="H216" s="109">
        <v>0</v>
      </c>
      <c r="I216" s="109">
        <v>0</v>
      </c>
      <c r="J216" s="109">
        <v>0</v>
      </c>
      <c r="K216" s="109">
        <v>0</v>
      </c>
      <c r="L216" s="109">
        <v>0</v>
      </c>
      <c r="M216" s="109">
        <v>0</v>
      </c>
      <c r="N216" s="109">
        <v>0</v>
      </c>
      <c r="O216" s="109">
        <v>0</v>
      </c>
      <c r="P216" s="109">
        <v>0</v>
      </c>
      <c r="Q216" s="109">
        <v>0</v>
      </c>
      <c r="R216" s="109">
        <v>0</v>
      </c>
      <c r="S216" s="109">
        <v>0</v>
      </c>
      <c r="T216" s="109">
        <v>0</v>
      </c>
      <c r="U216" s="109">
        <v>0</v>
      </c>
      <c r="V216" s="109">
        <v>0</v>
      </c>
      <c r="W216" s="109">
        <v>0</v>
      </c>
      <c r="X216" s="109">
        <v>0</v>
      </c>
      <c r="Y216" s="109">
        <v>0</v>
      </c>
      <c r="Z216" s="109">
        <v>0</v>
      </c>
      <c r="AA216" s="109">
        <v>0</v>
      </c>
      <c r="AB216" s="109">
        <v>0</v>
      </c>
      <c r="AC216" s="109">
        <v>0</v>
      </c>
      <c r="AD216" s="109">
        <v>0</v>
      </c>
      <c r="AE216" s="109">
        <v>0</v>
      </c>
      <c r="AF216" s="109">
        <v>0</v>
      </c>
      <c r="AG216" s="109">
        <v>0</v>
      </c>
      <c r="AH216" s="109">
        <v>0</v>
      </c>
      <c r="AI216" s="109">
        <v>0</v>
      </c>
      <c r="AJ216" s="109">
        <v>0</v>
      </c>
      <c r="AK216" s="109">
        <v>0</v>
      </c>
      <c r="AL216" s="109">
        <v>0</v>
      </c>
      <c r="AM216" s="109">
        <v>0</v>
      </c>
      <c r="AN216" s="109">
        <v>0</v>
      </c>
      <c r="AO216" s="109">
        <v>0</v>
      </c>
      <c r="AP216" s="109">
        <v>0</v>
      </c>
      <c r="AQ216" s="109">
        <v>0</v>
      </c>
      <c r="AR216" s="109">
        <v>0</v>
      </c>
      <c r="AS216" s="109">
        <v>0</v>
      </c>
      <c r="AT216" s="109">
        <v>0</v>
      </c>
      <c r="AU216" s="109">
        <v>0</v>
      </c>
      <c r="AV216" s="109">
        <v>0</v>
      </c>
      <c r="AW216" s="109">
        <v>0</v>
      </c>
      <c r="AX216" s="109">
        <v>0</v>
      </c>
      <c r="AY216" s="109">
        <v>0</v>
      </c>
    </row>
    <row r="217" spans="1:51">
      <c r="A217" s="108"/>
      <c r="B217" s="118">
        <v>9</v>
      </c>
      <c r="C217" s="105"/>
      <c r="D217" s="109">
        <v>0</v>
      </c>
      <c r="E217" s="109">
        <v>0</v>
      </c>
      <c r="F217" s="109">
        <v>0</v>
      </c>
      <c r="G217" s="109">
        <v>0</v>
      </c>
      <c r="H217" s="109">
        <v>0</v>
      </c>
      <c r="I217" s="109">
        <v>0</v>
      </c>
      <c r="J217" s="109">
        <v>0</v>
      </c>
      <c r="K217" s="109">
        <v>0</v>
      </c>
      <c r="L217" s="109">
        <v>0</v>
      </c>
      <c r="M217" s="109">
        <v>0</v>
      </c>
      <c r="N217" s="109">
        <v>0</v>
      </c>
      <c r="O217" s="109">
        <v>0</v>
      </c>
      <c r="P217" s="109">
        <v>0</v>
      </c>
      <c r="Q217" s="109">
        <v>0</v>
      </c>
      <c r="R217" s="109">
        <v>0</v>
      </c>
      <c r="S217" s="109">
        <v>0</v>
      </c>
      <c r="T217" s="109">
        <v>0</v>
      </c>
      <c r="U217" s="109">
        <v>0</v>
      </c>
      <c r="V217" s="109">
        <v>0</v>
      </c>
      <c r="W217" s="109">
        <v>0</v>
      </c>
      <c r="X217" s="109">
        <v>0</v>
      </c>
      <c r="Y217" s="109">
        <v>0</v>
      </c>
      <c r="Z217" s="109">
        <v>0</v>
      </c>
      <c r="AA217" s="109">
        <v>0</v>
      </c>
      <c r="AB217" s="109">
        <v>0</v>
      </c>
      <c r="AC217" s="109">
        <v>0</v>
      </c>
      <c r="AD217" s="109">
        <v>0</v>
      </c>
      <c r="AE217" s="109">
        <v>0</v>
      </c>
      <c r="AF217" s="109">
        <v>0</v>
      </c>
      <c r="AG217" s="109">
        <v>0</v>
      </c>
      <c r="AH217" s="109">
        <v>0</v>
      </c>
      <c r="AI217" s="109">
        <v>0</v>
      </c>
      <c r="AJ217" s="109">
        <v>0</v>
      </c>
      <c r="AK217" s="109">
        <v>0</v>
      </c>
      <c r="AL217" s="109">
        <v>0</v>
      </c>
      <c r="AM217" s="109">
        <v>0</v>
      </c>
      <c r="AN217" s="109">
        <v>0</v>
      </c>
      <c r="AO217" s="109">
        <v>0</v>
      </c>
      <c r="AP217" s="109">
        <v>0</v>
      </c>
      <c r="AQ217" s="109">
        <v>0</v>
      </c>
      <c r="AR217" s="109">
        <v>0</v>
      </c>
      <c r="AS217" s="109">
        <v>0</v>
      </c>
      <c r="AT217" s="109">
        <v>0</v>
      </c>
      <c r="AU217" s="109">
        <v>0</v>
      </c>
      <c r="AV217" s="109">
        <v>0</v>
      </c>
      <c r="AW217" s="109">
        <v>0</v>
      </c>
      <c r="AX217" s="109">
        <v>0</v>
      </c>
      <c r="AY217" s="109">
        <v>0</v>
      </c>
    </row>
    <row r="218" spans="1:51">
      <c r="A218" s="108"/>
      <c r="B218" s="118">
        <v>10</v>
      </c>
      <c r="C218" s="105"/>
      <c r="D218" s="109">
        <v>0</v>
      </c>
      <c r="E218" s="109">
        <v>0</v>
      </c>
      <c r="F218" s="109">
        <v>0</v>
      </c>
      <c r="G218" s="109">
        <v>0</v>
      </c>
      <c r="H218" s="109">
        <v>0</v>
      </c>
      <c r="I218" s="109">
        <v>0</v>
      </c>
      <c r="J218" s="109">
        <v>0</v>
      </c>
      <c r="K218" s="109">
        <v>0</v>
      </c>
      <c r="L218" s="109">
        <v>0</v>
      </c>
      <c r="M218" s="109">
        <v>0</v>
      </c>
      <c r="N218" s="109">
        <v>0</v>
      </c>
      <c r="O218" s="109">
        <v>0</v>
      </c>
      <c r="P218" s="109">
        <v>0</v>
      </c>
      <c r="Q218" s="109">
        <v>0</v>
      </c>
      <c r="R218" s="109">
        <v>0</v>
      </c>
      <c r="S218" s="109">
        <v>0</v>
      </c>
      <c r="T218" s="109">
        <v>0</v>
      </c>
      <c r="U218" s="109">
        <v>0</v>
      </c>
      <c r="V218" s="109">
        <v>0</v>
      </c>
      <c r="W218" s="109">
        <v>0</v>
      </c>
      <c r="X218" s="109">
        <v>0</v>
      </c>
      <c r="Y218" s="109">
        <v>0</v>
      </c>
      <c r="Z218" s="109">
        <v>0</v>
      </c>
      <c r="AA218" s="109">
        <v>0</v>
      </c>
      <c r="AB218" s="109">
        <v>0</v>
      </c>
      <c r="AC218" s="109">
        <v>0</v>
      </c>
      <c r="AD218" s="109">
        <v>0</v>
      </c>
      <c r="AE218" s="109">
        <v>0</v>
      </c>
      <c r="AF218" s="109">
        <v>0</v>
      </c>
      <c r="AG218" s="109">
        <v>0</v>
      </c>
      <c r="AH218" s="109">
        <v>0</v>
      </c>
      <c r="AI218" s="109">
        <v>0</v>
      </c>
      <c r="AJ218" s="109">
        <v>0</v>
      </c>
      <c r="AK218" s="109">
        <v>0</v>
      </c>
      <c r="AL218" s="109">
        <v>0</v>
      </c>
      <c r="AM218" s="109">
        <v>0</v>
      </c>
      <c r="AN218" s="109">
        <v>0</v>
      </c>
      <c r="AO218" s="109">
        <v>0</v>
      </c>
      <c r="AP218" s="109">
        <v>0</v>
      </c>
      <c r="AQ218" s="109">
        <v>0</v>
      </c>
      <c r="AR218" s="109">
        <v>0</v>
      </c>
      <c r="AS218" s="109">
        <v>0</v>
      </c>
      <c r="AT218" s="109">
        <v>0</v>
      </c>
      <c r="AU218" s="109">
        <v>0</v>
      </c>
      <c r="AV218" s="109">
        <v>0</v>
      </c>
      <c r="AW218" s="109">
        <v>0</v>
      </c>
      <c r="AX218" s="109">
        <v>0</v>
      </c>
      <c r="AY218" s="109">
        <v>0</v>
      </c>
    </row>
    <row r="219" spans="1:51">
      <c r="A219" s="108"/>
      <c r="B219" s="118">
        <v>11</v>
      </c>
      <c r="C219" s="105"/>
      <c r="D219" s="109">
        <v>0</v>
      </c>
      <c r="E219" s="109">
        <v>0</v>
      </c>
      <c r="F219" s="109">
        <v>0</v>
      </c>
      <c r="G219" s="109">
        <v>0</v>
      </c>
      <c r="H219" s="109">
        <v>0</v>
      </c>
      <c r="I219" s="109">
        <v>0</v>
      </c>
      <c r="J219" s="109">
        <v>0</v>
      </c>
      <c r="K219" s="109">
        <v>0</v>
      </c>
      <c r="L219" s="109">
        <v>0</v>
      </c>
      <c r="M219" s="109">
        <v>0</v>
      </c>
      <c r="N219" s="109">
        <v>0</v>
      </c>
      <c r="O219" s="109">
        <v>0</v>
      </c>
      <c r="P219" s="109">
        <v>0</v>
      </c>
      <c r="Q219" s="109">
        <v>0</v>
      </c>
      <c r="R219" s="109">
        <v>0</v>
      </c>
      <c r="S219" s="109">
        <v>0</v>
      </c>
      <c r="T219" s="109">
        <v>0</v>
      </c>
      <c r="U219" s="109">
        <v>0</v>
      </c>
      <c r="V219" s="109">
        <v>0</v>
      </c>
      <c r="W219" s="109">
        <v>0</v>
      </c>
      <c r="X219" s="109">
        <v>0</v>
      </c>
      <c r="Y219" s="109">
        <v>0</v>
      </c>
      <c r="Z219" s="109">
        <v>0</v>
      </c>
      <c r="AA219" s="109">
        <v>0</v>
      </c>
      <c r="AB219" s="109">
        <v>0</v>
      </c>
      <c r="AC219" s="109">
        <v>0</v>
      </c>
      <c r="AD219" s="109">
        <v>0</v>
      </c>
      <c r="AE219" s="109">
        <v>0</v>
      </c>
      <c r="AF219" s="109">
        <v>0</v>
      </c>
      <c r="AG219" s="109">
        <v>0</v>
      </c>
      <c r="AH219" s="109">
        <v>0</v>
      </c>
      <c r="AI219" s="109">
        <v>0</v>
      </c>
      <c r="AJ219" s="109">
        <v>0</v>
      </c>
      <c r="AK219" s="109">
        <v>0</v>
      </c>
      <c r="AL219" s="109">
        <v>0</v>
      </c>
      <c r="AM219" s="109">
        <v>0</v>
      </c>
      <c r="AN219" s="109">
        <v>0</v>
      </c>
      <c r="AO219" s="109">
        <v>0</v>
      </c>
      <c r="AP219" s="109">
        <v>0</v>
      </c>
      <c r="AQ219" s="109">
        <v>0</v>
      </c>
      <c r="AR219" s="109">
        <v>0</v>
      </c>
      <c r="AS219" s="109">
        <v>0</v>
      </c>
      <c r="AT219" s="109">
        <v>0</v>
      </c>
      <c r="AU219" s="109">
        <v>0</v>
      </c>
      <c r="AV219" s="109">
        <v>0</v>
      </c>
      <c r="AW219" s="109">
        <v>0</v>
      </c>
      <c r="AX219" s="109">
        <v>0</v>
      </c>
      <c r="AY219" s="109">
        <v>0</v>
      </c>
    </row>
    <row r="220" spans="1:51">
      <c r="A220" s="108"/>
      <c r="B220" s="118">
        <v>12</v>
      </c>
      <c r="C220" s="105"/>
      <c r="D220" s="109">
        <v>0</v>
      </c>
      <c r="E220" s="109">
        <v>0</v>
      </c>
      <c r="F220" s="109">
        <v>0</v>
      </c>
      <c r="G220" s="109">
        <v>0</v>
      </c>
      <c r="H220" s="109">
        <v>0</v>
      </c>
      <c r="I220" s="109">
        <v>0</v>
      </c>
      <c r="J220" s="109">
        <v>0</v>
      </c>
      <c r="K220" s="109">
        <v>0</v>
      </c>
      <c r="L220" s="109">
        <v>0</v>
      </c>
      <c r="M220" s="109">
        <v>0</v>
      </c>
      <c r="N220" s="109">
        <v>0</v>
      </c>
      <c r="O220" s="109">
        <v>0</v>
      </c>
      <c r="P220" s="109">
        <v>0</v>
      </c>
      <c r="Q220" s="109">
        <v>0</v>
      </c>
      <c r="R220" s="109">
        <v>0</v>
      </c>
      <c r="S220" s="109">
        <v>0</v>
      </c>
      <c r="T220" s="109">
        <v>0</v>
      </c>
      <c r="U220" s="109">
        <v>0</v>
      </c>
      <c r="V220" s="109">
        <v>0</v>
      </c>
      <c r="W220" s="109">
        <v>0</v>
      </c>
      <c r="X220" s="109">
        <v>0</v>
      </c>
      <c r="Y220" s="109">
        <v>0</v>
      </c>
      <c r="Z220" s="109">
        <v>0</v>
      </c>
      <c r="AA220" s="109">
        <v>0</v>
      </c>
      <c r="AB220" s="109">
        <v>0</v>
      </c>
      <c r="AC220" s="109">
        <v>0</v>
      </c>
      <c r="AD220" s="109">
        <v>0</v>
      </c>
      <c r="AE220" s="109">
        <v>0</v>
      </c>
      <c r="AF220" s="109">
        <v>0</v>
      </c>
      <c r="AG220" s="109">
        <v>0</v>
      </c>
      <c r="AH220" s="109">
        <v>0</v>
      </c>
      <c r="AI220" s="109">
        <v>0</v>
      </c>
      <c r="AJ220" s="109">
        <v>0</v>
      </c>
      <c r="AK220" s="109">
        <v>0</v>
      </c>
      <c r="AL220" s="109">
        <v>0</v>
      </c>
      <c r="AM220" s="109">
        <v>0</v>
      </c>
      <c r="AN220" s="109">
        <v>0</v>
      </c>
      <c r="AO220" s="109">
        <v>0</v>
      </c>
      <c r="AP220" s="109">
        <v>0</v>
      </c>
      <c r="AQ220" s="109">
        <v>0</v>
      </c>
      <c r="AR220" s="109">
        <v>0</v>
      </c>
      <c r="AS220" s="109">
        <v>0</v>
      </c>
      <c r="AT220" s="109">
        <v>0</v>
      </c>
      <c r="AU220" s="109">
        <v>0</v>
      </c>
      <c r="AV220" s="109">
        <v>0</v>
      </c>
      <c r="AW220" s="109">
        <v>0</v>
      </c>
      <c r="AX220" s="109">
        <v>0</v>
      </c>
      <c r="AY220" s="109">
        <v>0</v>
      </c>
    </row>
    <row r="221" spans="1:51">
      <c r="A221" s="108"/>
      <c r="B221" s="119">
        <v>13</v>
      </c>
      <c r="C221" s="105"/>
      <c r="D221" s="109">
        <v>0</v>
      </c>
      <c r="E221" s="109">
        <v>0</v>
      </c>
      <c r="F221" s="109">
        <v>0</v>
      </c>
      <c r="G221" s="109">
        <v>0</v>
      </c>
      <c r="H221" s="109">
        <v>0</v>
      </c>
      <c r="I221" s="109">
        <v>0</v>
      </c>
      <c r="J221" s="109">
        <v>0</v>
      </c>
      <c r="K221" s="109">
        <v>0</v>
      </c>
      <c r="L221" s="109">
        <v>0</v>
      </c>
      <c r="M221" s="109">
        <v>0</v>
      </c>
      <c r="N221" s="109">
        <v>0</v>
      </c>
      <c r="O221" s="109">
        <v>0</v>
      </c>
      <c r="P221" s="109">
        <v>0</v>
      </c>
      <c r="Q221" s="109">
        <v>0</v>
      </c>
      <c r="R221" s="109">
        <v>0</v>
      </c>
      <c r="S221" s="109">
        <v>0</v>
      </c>
      <c r="T221" s="109">
        <v>0</v>
      </c>
      <c r="U221" s="109">
        <v>0</v>
      </c>
      <c r="V221" s="109">
        <v>0</v>
      </c>
      <c r="W221" s="109">
        <v>0</v>
      </c>
      <c r="X221" s="109">
        <v>0</v>
      </c>
      <c r="Y221" s="109">
        <v>0</v>
      </c>
      <c r="Z221" s="109">
        <v>0</v>
      </c>
      <c r="AA221" s="109">
        <v>0</v>
      </c>
      <c r="AB221" s="109">
        <v>0</v>
      </c>
      <c r="AC221" s="109">
        <v>0</v>
      </c>
      <c r="AD221" s="109">
        <v>0</v>
      </c>
      <c r="AE221" s="109">
        <v>0</v>
      </c>
      <c r="AF221" s="109">
        <v>0</v>
      </c>
      <c r="AG221" s="109">
        <v>0</v>
      </c>
      <c r="AH221" s="109">
        <v>0</v>
      </c>
      <c r="AI221" s="109">
        <v>0</v>
      </c>
      <c r="AJ221" s="109">
        <v>0</v>
      </c>
      <c r="AK221" s="109">
        <v>0</v>
      </c>
      <c r="AL221" s="109">
        <v>0</v>
      </c>
      <c r="AM221" s="109">
        <v>0</v>
      </c>
      <c r="AN221" s="109">
        <v>0</v>
      </c>
      <c r="AO221" s="109">
        <v>0</v>
      </c>
      <c r="AP221" s="109">
        <v>0</v>
      </c>
      <c r="AQ221" s="109">
        <v>0</v>
      </c>
      <c r="AR221" s="109">
        <v>0</v>
      </c>
      <c r="AS221" s="109">
        <v>0</v>
      </c>
      <c r="AT221" s="109">
        <v>0</v>
      </c>
      <c r="AU221" s="109">
        <v>0</v>
      </c>
      <c r="AV221" s="109">
        <v>0</v>
      </c>
      <c r="AW221" s="109">
        <v>0</v>
      </c>
      <c r="AX221" s="109">
        <v>0</v>
      </c>
      <c r="AY221" s="109">
        <v>0</v>
      </c>
    </row>
    <row r="222" spans="1:51">
      <c r="A222" s="108"/>
      <c r="B222" s="119">
        <v>14</v>
      </c>
      <c r="C222" s="105"/>
      <c r="D222" s="109">
        <v>0</v>
      </c>
      <c r="E222" s="109">
        <v>0</v>
      </c>
      <c r="F222" s="109">
        <v>0</v>
      </c>
      <c r="G222" s="109">
        <v>0</v>
      </c>
      <c r="H222" s="109">
        <v>0</v>
      </c>
      <c r="I222" s="109">
        <v>0</v>
      </c>
      <c r="J222" s="109">
        <v>0</v>
      </c>
      <c r="K222" s="109">
        <v>0</v>
      </c>
      <c r="L222" s="109">
        <v>0</v>
      </c>
      <c r="M222" s="109">
        <v>0</v>
      </c>
      <c r="N222" s="109">
        <v>0</v>
      </c>
      <c r="O222" s="109">
        <v>0</v>
      </c>
      <c r="P222" s="109">
        <v>0</v>
      </c>
      <c r="Q222" s="109">
        <v>0</v>
      </c>
      <c r="R222" s="109">
        <v>0</v>
      </c>
      <c r="S222" s="109">
        <v>0</v>
      </c>
      <c r="T222" s="109">
        <v>0</v>
      </c>
      <c r="U222" s="109">
        <v>0</v>
      </c>
      <c r="V222" s="109">
        <v>0</v>
      </c>
      <c r="W222" s="109">
        <v>0</v>
      </c>
      <c r="X222" s="109">
        <v>0</v>
      </c>
      <c r="Y222" s="109">
        <v>0</v>
      </c>
      <c r="Z222" s="109">
        <v>0</v>
      </c>
      <c r="AA222" s="109">
        <v>0</v>
      </c>
      <c r="AB222" s="109">
        <v>0</v>
      </c>
      <c r="AC222" s="109">
        <v>0</v>
      </c>
      <c r="AD222" s="109">
        <v>0</v>
      </c>
      <c r="AE222" s="109">
        <v>0</v>
      </c>
      <c r="AF222" s="109">
        <v>0</v>
      </c>
      <c r="AG222" s="109">
        <v>0</v>
      </c>
      <c r="AH222" s="109">
        <v>0</v>
      </c>
      <c r="AI222" s="109">
        <v>0</v>
      </c>
      <c r="AJ222" s="109">
        <v>0</v>
      </c>
      <c r="AK222" s="109">
        <v>0</v>
      </c>
      <c r="AL222" s="109">
        <v>0</v>
      </c>
      <c r="AM222" s="109">
        <v>0</v>
      </c>
      <c r="AN222" s="109">
        <v>0</v>
      </c>
      <c r="AO222" s="109">
        <v>0</v>
      </c>
      <c r="AP222" s="109">
        <v>0</v>
      </c>
      <c r="AQ222" s="109">
        <v>0</v>
      </c>
      <c r="AR222" s="109">
        <v>0</v>
      </c>
      <c r="AS222" s="109">
        <v>0</v>
      </c>
      <c r="AT222" s="109">
        <v>0</v>
      </c>
      <c r="AU222" s="109">
        <v>0</v>
      </c>
      <c r="AV222" s="109">
        <v>0</v>
      </c>
      <c r="AW222" s="109">
        <v>0</v>
      </c>
      <c r="AX222" s="109">
        <v>0</v>
      </c>
      <c r="AY222" s="109">
        <v>0</v>
      </c>
    </row>
    <row r="223" spans="1:51">
      <c r="A223" s="108"/>
      <c r="B223" s="119">
        <v>15</v>
      </c>
      <c r="C223" s="105"/>
      <c r="D223" s="109">
        <v>0</v>
      </c>
      <c r="E223" s="109">
        <v>0</v>
      </c>
      <c r="F223" s="109">
        <v>0</v>
      </c>
      <c r="G223" s="109">
        <v>0</v>
      </c>
      <c r="H223" s="109">
        <v>0</v>
      </c>
      <c r="I223" s="109">
        <v>0</v>
      </c>
      <c r="J223" s="109">
        <v>0</v>
      </c>
      <c r="K223" s="109">
        <v>0</v>
      </c>
      <c r="L223" s="109">
        <v>0</v>
      </c>
      <c r="M223" s="109">
        <v>0</v>
      </c>
      <c r="N223" s="109">
        <v>0</v>
      </c>
      <c r="O223" s="109">
        <v>0</v>
      </c>
      <c r="P223" s="109">
        <v>0</v>
      </c>
      <c r="Q223" s="109">
        <v>0</v>
      </c>
      <c r="R223" s="109">
        <v>0</v>
      </c>
      <c r="S223" s="109">
        <v>0</v>
      </c>
      <c r="T223" s="109">
        <v>0</v>
      </c>
      <c r="U223" s="109">
        <v>0</v>
      </c>
      <c r="V223" s="109">
        <v>0</v>
      </c>
      <c r="W223" s="109">
        <v>0</v>
      </c>
      <c r="X223" s="109">
        <v>0</v>
      </c>
      <c r="Y223" s="109">
        <v>0</v>
      </c>
      <c r="Z223" s="109">
        <v>0</v>
      </c>
      <c r="AA223" s="109">
        <v>0</v>
      </c>
      <c r="AB223" s="109">
        <v>0</v>
      </c>
      <c r="AC223" s="109">
        <v>0</v>
      </c>
      <c r="AD223" s="109">
        <v>0</v>
      </c>
      <c r="AE223" s="109">
        <v>0</v>
      </c>
      <c r="AF223" s="109">
        <v>0</v>
      </c>
      <c r="AG223" s="109">
        <v>0</v>
      </c>
      <c r="AH223" s="109">
        <v>0</v>
      </c>
      <c r="AI223" s="109">
        <v>0</v>
      </c>
      <c r="AJ223" s="109">
        <v>0</v>
      </c>
      <c r="AK223" s="109">
        <v>0</v>
      </c>
      <c r="AL223" s="109">
        <v>0</v>
      </c>
      <c r="AM223" s="109">
        <v>0</v>
      </c>
      <c r="AN223" s="109">
        <v>0</v>
      </c>
      <c r="AO223" s="109">
        <v>0</v>
      </c>
      <c r="AP223" s="109">
        <v>0</v>
      </c>
      <c r="AQ223" s="109">
        <v>0</v>
      </c>
      <c r="AR223" s="109">
        <v>0</v>
      </c>
      <c r="AS223" s="109">
        <v>0</v>
      </c>
      <c r="AT223" s="109">
        <v>0</v>
      </c>
      <c r="AU223" s="109">
        <v>0</v>
      </c>
      <c r="AV223" s="109">
        <v>0</v>
      </c>
      <c r="AW223" s="109">
        <v>0</v>
      </c>
      <c r="AX223" s="109">
        <v>0</v>
      </c>
      <c r="AY223" s="109">
        <v>0</v>
      </c>
    </row>
    <row r="224" spans="1:51">
      <c r="A224" s="108"/>
      <c r="B224" s="119">
        <v>16</v>
      </c>
      <c r="C224" s="105"/>
      <c r="D224" s="109">
        <v>0</v>
      </c>
      <c r="E224" s="109">
        <v>0</v>
      </c>
      <c r="F224" s="109">
        <v>0</v>
      </c>
      <c r="G224" s="109">
        <v>0</v>
      </c>
      <c r="H224" s="109">
        <v>0</v>
      </c>
      <c r="I224" s="109">
        <v>0</v>
      </c>
      <c r="J224" s="109">
        <v>0</v>
      </c>
      <c r="K224" s="109">
        <v>0</v>
      </c>
      <c r="L224" s="109">
        <v>0</v>
      </c>
      <c r="M224" s="109">
        <v>0</v>
      </c>
      <c r="N224" s="109">
        <v>0</v>
      </c>
      <c r="O224" s="109">
        <v>0</v>
      </c>
      <c r="P224" s="109">
        <v>0</v>
      </c>
      <c r="Q224" s="109">
        <v>0</v>
      </c>
      <c r="R224" s="109">
        <v>0</v>
      </c>
      <c r="S224" s="109">
        <v>0</v>
      </c>
      <c r="T224" s="109">
        <v>0</v>
      </c>
      <c r="U224" s="109">
        <v>0</v>
      </c>
      <c r="V224" s="109">
        <v>0</v>
      </c>
      <c r="W224" s="109">
        <v>0</v>
      </c>
      <c r="X224" s="109">
        <v>0</v>
      </c>
      <c r="Y224" s="109">
        <v>0</v>
      </c>
      <c r="Z224" s="109">
        <v>0</v>
      </c>
      <c r="AA224" s="109">
        <v>0</v>
      </c>
      <c r="AB224" s="109">
        <v>0</v>
      </c>
      <c r="AC224" s="109">
        <v>0</v>
      </c>
      <c r="AD224" s="109">
        <v>0</v>
      </c>
      <c r="AE224" s="109">
        <v>0</v>
      </c>
      <c r="AF224" s="109">
        <v>0</v>
      </c>
      <c r="AG224" s="109">
        <v>0</v>
      </c>
      <c r="AH224" s="109">
        <v>0</v>
      </c>
      <c r="AI224" s="109">
        <v>0</v>
      </c>
      <c r="AJ224" s="109">
        <v>0</v>
      </c>
      <c r="AK224" s="109">
        <v>0</v>
      </c>
      <c r="AL224" s="109">
        <v>0</v>
      </c>
      <c r="AM224" s="109">
        <v>0</v>
      </c>
      <c r="AN224" s="109">
        <v>0</v>
      </c>
      <c r="AO224" s="109">
        <v>0</v>
      </c>
      <c r="AP224" s="109">
        <v>0</v>
      </c>
      <c r="AQ224" s="109">
        <v>0</v>
      </c>
      <c r="AR224" s="109">
        <v>0</v>
      </c>
      <c r="AS224" s="109">
        <v>0</v>
      </c>
      <c r="AT224" s="109">
        <v>0</v>
      </c>
      <c r="AU224" s="109">
        <v>0</v>
      </c>
      <c r="AV224" s="109">
        <v>0</v>
      </c>
      <c r="AW224" s="109">
        <v>0</v>
      </c>
      <c r="AX224" s="109">
        <v>0</v>
      </c>
      <c r="AY224" s="109">
        <v>0</v>
      </c>
    </row>
    <row r="225" spans="1:51">
      <c r="A225" s="108"/>
      <c r="B225" s="119">
        <v>17</v>
      </c>
      <c r="C225" s="105"/>
      <c r="D225" s="109">
        <v>0</v>
      </c>
      <c r="E225" s="109">
        <v>0</v>
      </c>
      <c r="F225" s="109">
        <v>0</v>
      </c>
      <c r="G225" s="109">
        <v>0</v>
      </c>
      <c r="H225" s="109">
        <v>0</v>
      </c>
      <c r="I225" s="109">
        <v>0</v>
      </c>
      <c r="J225" s="109">
        <v>0</v>
      </c>
      <c r="K225" s="109">
        <v>0</v>
      </c>
      <c r="L225" s="109">
        <v>0</v>
      </c>
      <c r="M225" s="109">
        <v>0</v>
      </c>
      <c r="N225" s="109">
        <v>0</v>
      </c>
      <c r="O225" s="109">
        <v>0</v>
      </c>
      <c r="P225" s="109">
        <v>0</v>
      </c>
      <c r="Q225" s="109">
        <v>0</v>
      </c>
      <c r="R225" s="109">
        <v>0</v>
      </c>
      <c r="S225" s="109">
        <v>0</v>
      </c>
      <c r="T225" s="109">
        <v>0</v>
      </c>
      <c r="U225" s="109">
        <v>0</v>
      </c>
      <c r="V225" s="109">
        <v>0</v>
      </c>
      <c r="W225" s="109">
        <v>0</v>
      </c>
      <c r="X225" s="109">
        <v>0</v>
      </c>
      <c r="Y225" s="109">
        <v>0</v>
      </c>
      <c r="Z225" s="109">
        <v>0</v>
      </c>
      <c r="AA225" s="109">
        <v>0</v>
      </c>
      <c r="AB225" s="109">
        <v>0</v>
      </c>
      <c r="AC225" s="109">
        <v>0</v>
      </c>
      <c r="AD225" s="109">
        <v>0</v>
      </c>
      <c r="AE225" s="109">
        <v>0</v>
      </c>
      <c r="AF225" s="109">
        <v>0</v>
      </c>
      <c r="AG225" s="109">
        <v>0</v>
      </c>
      <c r="AH225" s="109">
        <v>0</v>
      </c>
      <c r="AI225" s="109">
        <v>0</v>
      </c>
      <c r="AJ225" s="109">
        <v>0</v>
      </c>
      <c r="AK225" s="109">
        <v>0</v>
      </c>
      <c r="AL225" s="109">
        <v>0</v>
      </c>
      <c r="AM225" s="109">
        <v>0</v>
      </c>
      <c r="AN225" s="109">
        <v>0</v>
      </c>
      <c r="AO225" s="109">
        <v>0</v>
      </c>
      <c r="AP225" s="109">
        <v>0</v>
      </c>
      <c r="AQ225" s="109">
        <v>0</v>
      </c>
      <c r="AR225" s="109">
        <v>0</v>
      </c>
      <c r="AS225" s="109">
        <v>0</v>
      </c>
      <c r="AT225" s="109">
        <v>0</v>
      </c>
      <c r="AU225" s="109">
        <v>0</v>
      </c>
      <c r="AV225" s="109">
        <v>0</v>
      </c>
      <c r="AW225" s="109">
        <v>0</v>
      </c>
      <c r="AX225" s="109">
        <v>0</v>
      </c>
      <c r="AY225" s="109">
        <v>0</v>
      </c>
    </row>
    <row r="226" spans="1:51">
      <c r="A226" s="108"/>
      <c r="B226" s="119">
        <v>18</v>
      </c>
      <c r="C226" s="105"/>
      <c r="D226" s="109">
        <v>0</v>
      </c>
      <c r="E226" s="109">
        <v>0</v>
      </c>
      <c r="F226" s="109">
        <v>0</v>
      </c>
      <c r="G226" s="109">
        <v>0</v>
      </c>
      <c r="H226" s="109">
        <v>0</v>
      </c>
      <c r="I226" s="109">
        <v>0</v>
      </c>
      <c r="J226" s="109">
        <v>0</v>
      </c>
      <c r="K226" s="109">
        <v>0</v>
      </c>
      <c r="L226" s="109">
        <v>0</v>
      </c>
      <c r="M226" s="109">
        <v>0</v>
      </c>
      <c r="N226" s="109">
        <v>0</v>
      </c>
      <c r="O226" s="109">
        <v>0</v>
      </c>
      <c r="P226" s="109">
        <v>0</v>
      </c>
      <c r="Q226" s="109">
        <v>0</v>
      </c>
      <c r="R226" s="109">
        <v>0</v>
      </c>
      <c r="S226" s="109">
        <v>0</v>
      </c>
      <c r="T226" s="109">
        <v>0</v>
      </c>
      <c r="U226" s="109">
        <v>0</v>
      </c>
      <c r="V226" s="109">
        <v>0</v>
      </c>
      <c r="W226" s="109">
        <v>0</v>
      </c>
      <c r="X226" s="109">
        <v>0</v>
      </c>
      <c r="Y226" s="109">
        <v>0</v>
      </c>
      <c r="Z226" s="109">
        <v>0</v>
      </c>
      <c r="AA226" s="109">
        <v>0</v>
      </c>
      <c r="AB226" s="109">
        <v>0</v>
      </c>
      <c r="AC226" s="109">
        <v>0</v>
      </c>
      <c r="AD226" s="109">
        <v>0</v>
      </c>
      <c r="AE226" s="109">
        <v>0</v>
      </c>
      <c r="AF226" s="109">
        <v>0</v>
      </c>
      <c r="AG226" s="109">
        <v>0</v>
      </c>
      <c r="AH226" s="109">
        <v>0</v>
      </c>
      <c r="AI226" s="109">
        <v>0</v>
      </c>
      <c r="AJ226" s="109">
        <v>0</v>
      </c>
      <c r="AK226" s="109">
        <v>0</v>
      </c>
      <c r="AL226" s="109">
        <v>0</v>
      </c>
      <c r="AM226" s="109">
        <v>0</v>
      </c>
      <c r="AN226" s="109">
        <v>0</v>
      </c>
      <c r="AO226" s="109">
        <v>0</v>
      </c>
      <c r="AP226" s="109">
        <v>0</v>
      </c>
      <c r="AQ226" s="109">
        <v>0</v>
      </c>
      <c r="AR226" s="109">
        <v>0</v>
      </c>
      <c r="AS226" s="109">
        <v>0</v>
      </c>
      <c r="AT226" s="109">
        <v>0</v>
      </c>
      <c r="AU226" s="109">
        <v>0</v>
      </c>
      <c r="AV226" s="109">
        <v>0</v>
      </c>
      <c r="AW226" s="109">
        <v>0</v>
      </c>
      <c r="AX226" s="109">
        <v>0</v>
      </c>
      <c r="AY226" s="109">
        <v>0</v>
      </c>
    </row>
    <row r="227" spans="1:51">
      <c r="A227" s="108"/>
      <c r="B227" s="119">
        <v>19</v>
      </c>
      <c r="C227" s="105"/>
      <c r="D227" s="109">
        <v>0</v>
      </c>
      <c r="E227" s="109">
        <v>0</v>
      </c>
      <c r="F227" s="109">
        <v>0</v>
      </c>
      <c r="G227" s="109">
        <v>0</v>
      </c>
      <c r="H227" s="109">
        <v>0</v>
      </c>
      <c r="I227" s="109">
        <v>0</v>
      </c>
      <c r="J227" s="109">
        <v>0</v>
      </c>
      <c r="K227" s="109">
        <v>0</v>
      </c>
      <c r="L227" s="109">
        <v>0</v>
      </c>
      <c r="M227" s="109">
        <v>0</v>
      </c>
      <c r="N227" s="109">
        <v>0</v>
      </c>
      <c r="O227" s="109">
        <v>0</v>
      </c>
      <c r="P227" s="109">
        <v>0</v>
      </c>
      <c r="Q227" s="109">
        <v>0</v>
      </c>
      <c r="R227" s="109">
        <v>0</v>
      </c>
      <c r="S227" s="109">
        <v>0</v>
      </c>
      <c r="T227" s="109">
        <v>0</v>
      </c>
      <c r="U227" s="109">
        <v>0</v>
      </c>
      <c r="V227" s="109">
        <v>0</v>
      </c>
      <c r="W227" s="109">
        <v>0</v>
      </c>
      <c r="X227" s="109">
        <v>0</v>
      </c>
      <c r="Y227" s="109">
        <v>0</v>
      </c>
      <c r="Z227" s="109">
        <v>0</v>
      </c>
      <c r="AA227" s="109">
        <v>0</v>
      </c>
      <c r="AB227" s="109">
        <v>0</v>
      </c>
      <c r="AC227" s="109">
        <v>0</v>
      </c>
      <c r="AD227" s="109">
        <v>0</v>
      </c>
      <c r="AE227" s="109">
        <v>0</v>
      </c>
      <c r="AF227" s="109">
        <v>0</v>
      </c>
      <c r="AG227" s="109">
        <v>0</v>
      </c>
      <c r="AH227" s="109">
        <v>0</v>
      </c>
      <c r="AI227" s="109">
        <v>0</v>
      </c>
      <c r="AJ227" s="109">
        <v>0</v>
      </c>
      <c r="AK227" s="109">
        <v>0</v>
      </c>
      <c r="AL227" s="109">
        <v>0</v>
      </c>
      <c r="AM227" s="109">
        <v>0</v>
      </c>
      <c r="AN227" s="109">
        <v>0</v>
      </c>
      <c r="AO227" s="109">
        <v>0</v>
      </c>
      <c r="AP227" s="109">
        <v>0</v>
      </c>
      <c r="AQ227" s="109">
        <v>0</v>
      </c>
      <c r="AR227" s="109">
        <v>0</v>
      </c>
      <c r="AS227" s="109">
        <v>0</v>
      </c>
      <c r="AT227" s="109">
        <v>0</v>
      </c>
      <c r="AU227" s="109">
        <v>0</v>
      </c>
      <c r="AV227" s="109">
        <v>0</v>
      </c>
      <c r="AW227" s="109">
        <v>0</v>
      </c>
      <c r="AX227" s="109">
        <v>0</v>
      </c>
      <c r="AY227" s="109">
        <v>0</v>
      </c>
    </row>
    <row r="228" spans="1:51">
      <c r="A228" s="108"/>
      <c r="B228" s="119">
        <v>20</v>
      </c>
      <c r="C228" s="105"/>
      <c r="D228" s="109">
        <v>0</v>
      </c>
      <c r="E228" s="109">
        <v>0</v>
      </c>
      <c r="F228" s="109">
        <v>0</v>
      </c>
      <c r="G228" s="109">
        <v>0</v>
      </c>
      <c r="H228" s="109">
        <v>0</v>
      </c>
      <c r="I228" s="109">
        <v>0</v>
      </c>
      <c r="J228" s="109">
        <v>0</v>
      </c>
      <c r="K228" s="109">
        <v>0</v>
      </c>
      <c r="L228" s="109">
        <v>0</v>
      </c>
      <c r="M228" s="109">
        <v>0</v>
      </c>
      <c r="N228" s="109">
        <v>0</v>
      </c>
      <c r="O228" s="109">
        <v>0</v>
      </c>
      <c r="P228" s="109">
        <v>0</v>
      </c>
      <c r="Q228" s="109">
        <v>0</v>
      </c>
      <c r="R228" s="109">
        <v>0</v>
      </c>
      <c r="S228" s="109">
        <v>0</v>
      </c>
      <c r="T228" s="109">
        <v>0</v>
      </c>
      <c r="U228" s="109">
        <v>0</v>
      </c>
      <c r="V228" s="109">
        <v>0</v>
      </c>
      <c r="W228" s="109">
        <v>0</v>
      </c>
      <c r="X228" s="109">
        <v>0</v>
      </c>
      <c r="Y228" s="109">
        <v>0</v>
      </c>
      <c r="Z228" s="109">
        <v>0</v>
      </c>
      <c r="AA228" s="109">
        <v>0</v>
      </c>
      <c r="AB228" s="109">
        <v>0</v>
      </c>
      <c r="AC228" s="109">
        <v>0</v>
      </c>
      <c r="AD228" s="109">
        <v>0</v>
      </c>
      <c r="AE228" s="109">
        <v>0</v>
      </c>
      <c r="AF228" s="109">
        <v>0</v>
      </c>
      <c r="AG228" s="109">
        <v>0</v>
      </c>
      <c r="AH228" s="109">
        <v>0</v>
      </c>
      <c r="AI228" s="109">
        <v>0</v>
      </c>
      <c r="AJ228" s="109">
        <v>0</v>
      </c>
      <c r="AK228" s="109">
        <v>0</v>
      </c>
      <c r="AL228" s="109">
        <v>0</v>
      </c>
      <c r="AM228" s="109">
        <v>0</v>
      </c>
      <c r="AN228" s="109">
        <v>0</v>
      </c>
      <c r="AO228" s="109">
        <v>0</v>
      </c>
      <c r="AP228" s="109">
        <v>0</v>
      </c>
      <c r="AQ228" s="109">
        <v>0</v>
      </c>
      <c r="AR228" s="109">
        <v>0</v>
      </c>
      <c r="AS228" s="109">
        <v>0</v>
      </c>
      <c r="AT228" s="109">
        <v>0</v>
      </c>
      <c r="AU228" s="109">
        <v>0</v>
      </c>
      <c r="AV228" s="109">
        <v>0</v>
      </c>
      <c r="AW228" s="109">
        <v>0</v>
      </c>
      <c r="AX228" s="109">
        <v>0</v>
      </c>
      <c r="AY228" s="109">
        <v>0</v>
      </c>
    </row>
    <row r="229" spans="1:51">
      <c r="A229" s="108"/>
      <c r="B229" s="119">
        <v>21</v>
      </c>
      <c r="C229" s="105"/>
      <c r="D229" s="109">
        <v>0</v>
      </c>
      <c r="E229" s="109">
        <v>0</v>
      </c>
      <c r="F229" s="109">
        <v>0</v>
      </c>
      <c r="G229" s="109">
        <v>0</v>
      </c>
      <c r="H229" s="109">
        <v>0</v>
      </c>
      <c r="I229" s="109">
        <v>0</v>
      </c>
      <c r="J229" s="109">
        <v>0</v>
      </c>
      <c r="K229" s="109">
        <v>0</v>
      </c>
      <c r="L229" s="109">
        <v>0</v>
      </c>
      <c r="M229" s="109">
        <v>0</v>
      </c>
      <c r="N229" s="109">
        <v>0</v>
      </c>
      <c r="O229" s="109">
        <v>0</v>
      </c>
      <c r="P229" s="109">
        <v>0</v>
      </c>
      <c r="Q229" s="109">
        <v>0</v>
      </c>
      <c r="R229" s="109">
        <v>0</v>
      </c>
      <c r="S229" s="109">
        <v>0</v>
      </c>
      <c r="T229" s="109">
        <v>0</v>
      </c>
      <c r="U229" s="109">
        <v>0</v>
      </c>
      <c r="V229" s="109">
        <v>0</v>
      </c>
      <c r="W229" s="109">
        <v>0</v>
      </c>
      <c r="X229" s="109">
        <v>0</v>
      </c>
      <c r="Y229" s="109">
        <v>0</v>
      </c>
      <c r="Z229" s="109">
        <v>0</v>
      </c>
      <c r="AA229" s="109">
        <v>0</v>
      </c>
      <c r="AB229" s="109">
        <v>0</v>
      </c>
      <c r="AC229" s="109">
        <v>0</v>
      </c>
      <c r="AD229" s="109">
        <v>0</v>
      </c>
      <c r="AE229" s="109">
        <v>0</v>
      </c>
      <c r="AF229" s="109">
        <v>0</v>
      </c>
      <c r="AG229" s="109">
        <v>0</v>
      </c>
      <c r="AH229" s="109">
        <v>0</v>
      </c>
      <c r="AI229" s="109">
        <v>0</v>
      </c>
      <c r="AJ229" s="109">
        <v>0</v>
      </c>
      <c r="AK229" s="109">
        <v>0</v>
      </c>
      <c r="AL229" s="109">
        <v>0</v>
      </c>
      <c r="AM229" s="109">
        <v>0</v>
      </c>
      <c r="AN229" s="109">
        <v>0</v>
      </c>
      <c r="AO229" s="109">
        <v>0</v>
      </c>
      <c r="AP229" s="109">
        <v>0</v>
      </c>
      <c r="AQ229" s="109">
        <v>0</v>
      </c>
      <c r="AR229" s="109">
        <v>0</v>
      </c>
      <c r="AS229" s="109">
        <v>0</v>
      </c>
      <c r="AT229" s="109">
        <v>0</v>
      </c>
      <c r="AU229" s="109">
        <v>0</v>
      </c>
      <c r="AV229" s="109">
        <v>0</v>
      </c>
      <c r="AW229" s="109">
        <v>0</v>
      </c>
      <c r="AX229" s="109">
        <v>0</v>
      </c>
      <c r="AY229" s="109">
        <v>0</v>
      </c>
    </row>
    <row r="230" spans="1:51">
      <c r="A230" s="108"/>
      <c r="B230" s="119">
        <v>22</v>
      </c>
      <c r="C230" s="105"/>
      <c r="D230" s="109">
        <v>0</v>
      </c>
      <c r="E230" s="109">
        <v>0</v>
      </c>
      <c r="F230" s="109">
        <v>0</v>
      </c>
      <c r="G230" s="109">
        <v>0</v>
      </c>
      <c r="H230" s="109">
        <v>0</v>
      </c>
      <c r="I230" s="109">
        <v>0</v>
      </c>
      <c r="J230" s="109">
        <v>0</v>
      </c>
      <c r="K230" s="109">
        <v>0</v>
      </c>
      <c r="L230" s="109">
        <v>0</v>
      </c>
      <c r="M230" s="109">
        <v>0</v>
      </c>
      <c r="N230" s="109">
        <v>0</v>
      </c>
      <c r="O230" s="109">
        <v>0</v>
      </c>
      <c r="P230" s="109">
        <v>0</v>
      </c>
      <c r="Q230" s="109">
        <v>0</v>
      </c>
      <c r="R230" s="109">
        <v>0</v>
      </c>
      <c r="S230" s="109">
        <v>0</v>
      </c>
      <c r="T230" s="109">
        <v>0</v>
      </c>
      <c r="U230" s="109">
        <v>0</v>
      </c>
      <c r="V230" s="109">
        <v>0</v>
      </c>
      <c r="W230" s="109">
        <v>0</v>
      </c>
      <c r="X230" s="109">
        <v>0</v>
      </c>
      <c r="Y230" s="109">
        <v>0</v>
      </c>
      <c r="Z230" s="109">
        <v>0</v>
      </c>
      <c r="AA230" s="109">
        <v>0</v>
      </c>
      <c r="AB230" s="109">
        <v>0</v>
      </c>
      <c r="AC230" s="109">
        <v>0</v>
      </c>
      <c r="AD230" s="109">
        <v>0</v>
      </c>
      <c r="AE230" s="109">
        <v>0</v>
      </c>
      <c r="AF230" s="109">
        <v>0</v>
      </c>
      <c r="AG230" s="109">
        <v>0</v>
      </c>
      <c r="AH230" s="109">
        <v>0</v>
      </c>
      <c r="AI230" s="109">
        <v>0</v>
      </c>
      <c r="AJ230" s="109">
        <v>0</v>
      </c>
      <c r="AK230" s="109">
        <v>0</v>
      </c>
      <c r="AL230" s="109">
        <v>0</v>
      </c>
      <c r="AM230" s="109">
        <v>0</v>
      </c>
      <c r="AN230" s="109">
        <v>0</v>
      </c>
      <c r="AO230" s="109">
        <v>0</v>
      </c>
      <c r="AP230" s="109">
        <v>0</v>
      </c>
      <c r="AQ230" s="109">
        <v>0</v>
      </c>
      <c r="AR230" s="109">
        <v>0</v>
      </c>
      <c r="AS230" s="109">
        <v>0</v>
      </c>
      <c r="AT230" s="109">
        <v>0</v>
      </c>
      <c r="AU230" s="109">
        <v>0</v>
      </c>
      <c r="AV230" s="109">
        <v>0</v>
      </c>
      <c r="AW230" s="109">
        <v>0</v>
      </c>
      <c r="AX230" s="109">
        <v>0</v>
      </c>
      <c r="AY230" s="109">
        <v>0</v>
      </c>
    </row>
    <row r="231" spans="1:51">
      <c r="A231" s="108"/>
      <c r="B231" s="119">
        <v>23</v>
      </c>
      <c r="C231" s="105"/>
      <c r="D231" s="109">
        <v>0</v>
      </c>
      <c r="E231" s="109">
        <v>0</v>
      </c>
      <c r="F231" s="109">
        <v>0</v>
      </c>
      <c r="G231" s="109">
        <v>0</v>
      </c>
      <c r="H231" s="109">
        <v>0</v>
      </c>
      <c r="I231" s="109">
        <v>0</v>
      </c>
      <c r="J231" s="109">
        <v>0</v>
      </c>
      <c r="K231" s="109">
        <v>0</v>
      </c>
      <c r="L231" s="109">
        <v>0</v>
      </c>
      <c r="M231" s="109">
        <v>0</v>
      </c>
      <c r="N231" s="109">
        <v>0</v>
      </c>
      <c r="O231" s="109">
        <v>0</v>
      </c>
      <c r="P231" s="109">
        <v>0</v>
      </c>
      <c r="Q231" s="109">
        <v>0</v>
      </c>
      <c r="R231" s="109">
        <v>0</v>
      </c>
      <c r="S231" s="109">
        <v>0</v>
      </c>
      <c r="T231" s="109">
        <v>0</v>
      </c>
      <c r="U231" s="109">
        <v>0</v>
      </c>
      <c r="V231" s="109">
        <v>0</v>
      </c>
      <c r="W231" s="109">
        <v>0</v>
      </c>
      <c r="X231" s="109">
        <v>0</v>
      </c>
      <c r="Y231" s="109">
        <v>0</v>
      </c>
      <c r="Z231" s="109">
        <v>0</v>
      </c>
      <c r="AA231" s="109">
        <v>0</v>
      </c>
      <c r="AB231" s="109">
        <v>0</v>
      </c>
      <c r="AC231" s="109">
        <v>0</v>
      </c>
      <c r="AD231" s="109">
        <v>0</v>
      </c>
      <c r="AE231" s="109">
        <v>0</v>
      </c>
      <c r="AF231" s="109">
        <v>0</v>
      </c>
      <c r="AG231" s="109">
        <v>0</v>
      </c>
      <c r="AH231" s="109">
        <v>0</v>
      </c>
      <c r="AI231" s="109">
        <v>0</v>
      </c>
      <c r="AJ231" s="109">
        <v>0</v>
      </c>
      <c r="AK231" s="109">
        <v>0</v>
      </c>
      <c r="AL231" s="109">
        <v>0</v>
      </c>
      <c r="AM231" s="109">
        <v>0</v>
      </c>
      <c r="AN231" s="109">
        <v>0</v>
      </c>
      <c r="AO231" s="109">
        <v>0</v>
      </c>
      <c r="AP231" s="109">
        <v>0</v>
      </c>
      <c r="AQ231" s="109">
        <v>0</v>
      </c>
      <c r="AR231" s="109">
        <v>0</v>
      </c>
      <c r="AS231" s="109">
        <v>0</v>
      </c>
      <c r="AT231" s="109">
        <v>0</v>
      </c>
      <c r="AU231" s="109">
        <v>0</v>
      </c>
      <c r="AV231" s="109">
        <v>0</v>
      </c>
      <c r="AW231" s="109">
        <v>0</v>
      </c>
      <c r="AX231" s="109">
        <v>0</v>
      </c>
      <c r="AY231" s="109">
        <v>0</v>
      </c>
    </row>
    <row r="232" spans="1:51">
      <c r="A232" s="108"/>
      <c r="B232" s="119">
        <v>24</v>
      </c>
      <c r="C232" s="105"/>
      <c r="D232" s="109">
        <v>0</v>
      </c>
      <c r="E232" s="109">
        <v>0</v>
      </c>
      <c r="F232" s="109">
        <v>0</v>
      </c>
      <c r="G232" s="109">
        <v>0</v>
      </c>
      <c r="H232" s="109">
        <v>0</v>
      </c>
      <c r="I232" s="109">
        <v>0</v>
      </c>
      <c r="J232" s="109">
        <v>0</v>
      </c>
      <c r="K232" s="109">
        <v>0</v>
      </c>
      <c r="L232" s="109">
        <v>0</v>
      </c>
      <c r="M232" s="109">
        <v>0</v>
      </c>
      <c r="N232" s="109">
        <v>0</v>
      </c>
      <c r="O232" s="109">
        <v>0</v>
      </c>
      <c r="P232" s="109">
        <v>0</v>
      </c>
      <c r="Q232" s="109">
        <v>0</v>
      </c>
      <c r="R232" s="109">
        <v>0</v>
      </c>
      <c r="S232" s="109">
        <v>0</v>
      </c>
      <c r="T232" s="109">
        <v>0</v>
      </c>
      <c r="U232" s="109">
        <v>0</v>
      </c>
      <c r="V232" s="109">
        <v>0</v>
      </c>
      <c r="W232" s="109">
        <v>0</v>
      </c>
      <c r="X232" s="109">
        <v>0</v>
      </c>
      <c r="Y232" s="109">
        <v>0</v>
      </c>
      <c r="Z232" s="109">
        <v>0</v>
      </c>
      <c r="AA232" s="109">
        <v>0</v>
      </c>
      <c r="AB232" s="109">
        <v>0</v>
      </c>
      <c r="AC232" s="109">
        <v>0</v>
      </c>
      <c r="AD232" s="109">
        <v>0</v>
      </c>
      <c r="AE232" s="109">
        <v>0</v>
      </c>
      <c r="AF232" s="109">
        <v>0</v>
      </c>
      <c r="AG232" s="109">
        <v>0</v>
      </c>
      <c r="AH232" s="109">
        <v>0</v>
      </c>
      <c r="AI232" s="109">
        <v>0</v>
      </c>
      <c r="AJ232" s="109">
        <v>0</v>
      </c>
      <c r="AK232" s="109">
        <v>0</v>
      </c>
      <c r="AL232" s="109">
        <v>0</v>
      </c>
      <c r="AM232" s="109">
        <v>0</v>
      </c>
      <c r="AN232" s="109">
        <v>0</v>
      </c>
      <c r="AO232" s="109">
        <v>0</v>
      </c>
      <c r="AP232" s="109">
        <v>0</v>
      </c>
      <c r="AQ232" s="109">
        <v>0</v>
      </c>
      <c r="AR232" s="109">
        <v>0</v>
      </c>
      <c r="AS232" s="109">
        <v>0</v>
      </c>
      <c r="AT232" s="109">
        <v>0</v>
      </c>
      <c r="AU232" s="109">
        <v>0</v>
      </c>
      <c r="AV232" s="109">
        <v>0</v>
      </c>
      <c r="AW232" s="109">
        <v>0</v>
      </c>
      <c r="AX232" s="109">
        <v>0</v>
      </c>
      <c r="AY232" s="109">
        <v>0</v>
      </c>
    </row>
    <row r="233" spans="1:51">
      <c r="A233" s="108"/>
      <c r="B233" s="126">
        <v>25</v>
      </c>
      <c r="C233" s="105"/>
      <c r="D233" s="109">
        <v>0</v>
      </c>
      <c r="E233" s="109">
        <v>0</v>
      </c>
      <c r="F233" s="109">
        <v>0</v>
      </c>
      <c r="G233" s="109">
        <v>0</v>
      </c>
      <c r="H233" s="109">
        <v>0</v>
      </c>
      <c r="I233" s="109">
        <v>0</v>
      </c>
      <c r="J233" s="109">
        <v>0</v>
      </c>
      <c r="K233" s="109">
        <v>0</v>
      </c>
      <c r="L233" s="109">
        <v>0</v>
      </c>
      <c r="M233" s="109">
        <v>0</v>
      </c>
      <c r="N233" s="109">
        <v>0</v>
      </c>
      <c r="O233" s="109">
        <v>0</v>
      </c>
      <c r="P233" s="109">
        <v>0</v>
      </c>
      <c r="Q233" s="109">
        <v>0</v>
      </c>
      <c r="R233" s="109">
        <v>0</v>
      </c>
      <c r="S233" s="109">
        <v>0</v>
      </c>
      <c r="T233" s="109">
        <v>0</v>
      </c>
      <c r="U233" s="109">
        <v>0</v>
      </c>
      <c r="V233" s="109">
        <v>0</v>
      </c>
      <c r="W233" s="109">
        <v>0</v>
      </c>
      <c r="X233" s="109">
        <v>0</v>
      </c>
      <c r="Y233" s="109">
        <v>0</v>
      </c>
      <c r="Z233" s="109">
        <v>0</v>
      </c>
      <c r="AA233" s="109">
        <v>0</v>
      </c>
      <c r="AB233" s="109">
        <v>0</v>
      </c>
      <c r="AC233" s="109">
        <v>0</v>
      </c>
      <c r="AD233" s="109">
        <v>0</v>
      </c>
      <c r="AE233" s="109">
        <v>0</v>
      </c>
      <c r="AF233" s="109">
        <v>0</v>
      </c>
      <c r="AG233" s="109">
        <v>0</v>
      </c>
      <c r="AH233" s="109">
        <v>0</v>
      </c>
      <c r="AI233" s="109">
        <v>0</v>
      </c>
      <c r="AJ233" s="109">
        <v>0</v>
      </c>
      <c r="AK233" s="109">
        <v>0</v>
      </c>
      <c r="AL233" s="109">
        <v>0</v>
      </c>
      <c r="AM233" s="109">
        <v>0</v>
      </c>
      <c r="AN233" s="109">
        <v>0</v>
      </c>
      <c r="AO233" s="109">
        <v>0</v>
      </c>
      <c r="AP233" s="109">
        <v>0</v>
      </c>
      <c r="AQ233" s="109">
        <v>0</v>
      </c>
      <c r="AR233" s="109">
        <v>0</v>
      </c>
      <c r="AS233" s="109">
        <v>0</v>
      </c>
      <c r="AT233" s="109">
        <v>0</v>
      </c>
      <c r="AU233" s="109">
        <v>0</v>
      </c>
      <c r="AV233" s="109">
        <v>0</v>
      </c>
      <c r="AW233" s="109">
        <v>0</v>
      </c>
      <c r="AX233" s="109">
        <v>0</v>
      </c>
      <c r="AY233" s="109">
        <v>0</v>
      </c>
    </row>
    <row r="234" spans="1:51">
      <c r="A234" s="108"/>
      <c r="B234" s="126">
        <v>26</v>
      </c>
      <c r="C234" s="105"/>
      <c r="D234" s="109">
        <v>0</v>
      </c>
      <c r="E234" s="109">
        <v>0</v>
      </c>
      <c r="F234" s="109">
        <v>0</v>
      </c>
      <c r="G234" s="109">
        <v>0</v>
      </c>
      <c r="H234" s="109">
        <v>0</v>
      </c>
      <c r="I234" s="109">
        <v>0</v>
      </c>
      <c r="J234" s="109">
        <v>0</v>
      </c>
      <c r="K234" s="109">
        <v>0</v>
      </c>
      <c r="L234" s="109">
        <v>0</v>
      </c>
      <c r="M234" s="109">
        <v>0</v>
      </c>
      <c r="N234" s="109">
        <v>0</v>
      </c>
      <c r="O234" s="109">
        <v>0</v>
      </c>
      <c r="P234" s="109">
        <v>0</v>
      </c>
      <c r="Q234" s="109">
        <v>0</v>
      </c>
      <c r="R234" s="109">
        <v>0</v>
      </c>
      <c r="S234" s="109">
        <v>0</v>
      </c>
      <c r="T234" s="109">
        <v>0</v>
      </c>
      <c r="U234" s="109">
        <v>0</v>
      </c>
      <c r="V234" s="109">
        <v>0</v>
      </c>
      <c r="W234" s="109">
        <v>0</v>
      </c>
      <c r="X234" s="109">
        <v>0</v>
      </c>
      <c r="Y234" s="109">
        <v>0</v>
      </c>
      <c r="Z234" s="109">
        <v>0</v>
      </c>
      <c r="AA234" s="109">
        <v>0</v>
      </c>
      <c r="AB234" s="109">
        <v>0</v>
      </c>
      <c r="AC234" s="109">
        <v>0</v>
      </c>
      <c r="AD234" s="109">
        <v>0</v>
      </c>
      <c r="AE234" s="109">
        <v>0</v>
      </c>
      <c r="AF234" s="109">
        <v>0</v>
      </c>
      <c r="AG234" s="109">
        <v>0</v>
      </c>
      <c r="AH234" s="109">
        <v>0</v>
      </c>
      <c r="AI234" s="109">
        <v>0</v>
      </c>
      <c r="AJ234" s="109">
        <v>0</v>
      </c>
      <c r="AK234" s="109">
        <v>0</v>
      </c>
      <c r="AL234" s="109">
        <v>0</v>
      </c>
      <c r="AM234" s="109">
        <v>0</v>
      </c>
      <c r="AN234" s="109">
        <v>0</v>
      </c>
      <c r="AO234" s="109">
        <v>0</v>
      </c>
      <c r="AP234" s="109">
        <v>0</v>
      </c>
      <c r="AQ234" s="109">
        <v>0</v>
      </c>
      <c r="AR234" s="109">
        <v>0</v>
      </c>
      <c r="AS234" s="109">
        <v>0</v>
      </c>
      <c r="AT234" s="109">
        <v>0</v>
      </c>
      <c r="AU234" s="109">
        <v>0</v>
      </c>
      <c r="AV234" s="109">
        <v>0</v>
      </c>
      <c r="AW234" s="109">
        <v>0</v>
      </c>
      <c r="AX234" s="109">
        <v>0</v>
      </c>
      <c r="AY234" s="109">
        <v>0</v>
      </c>
    </row>
    <row r="235" spans="1:51">
      <c r="A235" s="108"/>
      <c r="B235" s="126">
        <v>27</v>
      </c>
      <c r="C235" s="105"/>
      <c r="D235" s="109">
        <v>0</v>
      </c>
      <c r="E235" s="109">
        <v>0</v>
      </c>
      <c r="F235" s="109">
        <v>0</v>
      </c>
      <c r="G235" s="109">
        <v>0</v>
      </c>
      <c r="H235" s="109">
        <v>0</v>
      </c>
      <c r="I235" s="109">
        <v>0</v>
      </c>
      <c r="J235" s="109">
        <v>0</v>
      </c>
      <c r="K235" s="109">
        <v>0</v>
      </c>
      <c r="L235" s="109">
        <v>0</v>
      </c>
      <c r="M235" s="109">
        <v>0</v>
      </c>
      <c r="N235" s="109">
        <v>0</v>
      </c>
      <c r="O235" s="109">
        <v>0</v>
      </c>
      <c r="P235" s="109">
        <v>0</v>
      </c>
      <c r="Q235" s="109">
        <v>0</v>
      </c>
      <c r="R235" s="109">
        <v>0</v>
      </c>
      <c r="S235" s="109">
        <v>0</v>
      </c>
      <c r="T235" s="109">
        <v>0</v>
      </c>
      <c r="U235" s="109">
        <v>0</v>
      </c>
      <c r="V235" s="109">
        <v>0</v>
      </c>
      <c r="W235" s="109">
        <v>0</v>
      </c>
      <c r="X235" s="109">
        <v>0</v>
      </c>
      <c r="Y235" s="109">
        <v>0</v>
      </c>
      <c r="Z235" s="109">
        <v>0</v>
      </c>
      <c r="AA235" s="109">
        <v>0</v>
      </c>
      <c r="AB235" s="109">
        <v>0</v>
      </c>
      <c r="AC235" s="109">
        <v>0</v>
      </c>
      <c r="AD235" s="109">
        <v>0</v>
      </c>
      <c r="AE235" s="109">
        <v>0</v>
      </c>
      <c r="AF235" s="109">
        <v>0</v>
      </c>
      <c r="AG235" s="109">
        <v>0</v>
      </c>
      <c r="AH235" s="109">
        <v>0</v>
      </c>
      <c r="AI235" s="109">
        <v>0</v>
      </c>
      <c r="AJ235" s="109">
        <v>0</v>
      </c>
      <c r="AK235" s="109">
        <v>0</v>
      </c>
      <c r="AL235" s="109">
        <v>0</v>
      </c>
      <c r="AM235" s="109">
        <v>0</v>
      </c>
      <c r="AN235" s="109">
        <v>0</v>
      </c>
      <c r="AO235" s="109">
        <v>0</v>
      </c>
      <c r="AP235" s="109">
        <v>0</v>
      </c>
      <c r="AQ235" s="109">
        <v>0</v>
      </c>
      <c r="AR235" s="109">
        <v>0</v>
      </c>
      <c r="AS235" s="109">
        <v>0</v>
      </c>
      <c r="AT235" s="109">
        <v>0</v>
      </c>
      <c r="AU235" s="109">
        <v>0</v>
      </c>
      <c r="AV235" s="109">
        <v>0</v>
      </c>
      <c r="AW235" s="109">
        <v>0</v>
      </c>
      <c r="AX235" s="109">
        <v>0</v>
      </c>
      <c r="AY235" s="109">
        <v>0</v>
      </c>
    </row>
    <row r="236" spans="1:51">
      <c r="A236" s="108"/>
      <c r="B236" s="126">
        <v>28</v>
      </c>
      <c r="C236" s="105"/>
      <c r="D236" s="109">
        <v>0</v>
      </c>
      <c r="E236" s="109">
        <v>0</v>
      </c>
      <c r="F236" s="109">
        <v>0</v>
      </c>
      <c r="G236" s="109">
        <v>0</v>
      </c>
      <c r="H236" s="109">
        <v>0</v>
      </c>
      <c r="I236" s="109">
        <v>0</v>
      </c>
      <c r="J236" s="109">
        <v>0</v>
      </c>
      <c r="K236" s="109">
        <v>0</v>
      </c>
      <c r="L236" s="109">
        <v>0</v>
      </c>
      <c r="M236" s="109">
        <v>0</v>
      </c>
      <c r="N236" s="109">
        <v>0</v>
      </c>
      <c r="O236" s="109">
        <v>0</v>
      </c>
      <c r="P236" s="109">
        <v>0</v>
      </c>
      <c r="Q236" s="109">
        <v>0</v>
      </c>
      <c r="R236" s="109">
        <v>0</v>
      </c>
      <c r="S236" s="109">
        <v>0</v>
      </c>
      <c r="T236" s="109">
        <v>0</v>
      </c>
      <c r="U236" s="109">
        <v>0</v>
      </c>
      <c r="V236" s="109">
        <v>0</v>
      </c>
      <c r="W236" s="109">
        <v>0</v>
      </c>
      <c r="X236" s="109">
        <v>0</v>
      </c>
      <c r="Y236" s="109">
        <v>0</v>
      </c>
      <c r="Z236" s="109">
        <v>0</v>
      </c>
      <c r="AA236" s="109">
        <v>0</v>
      </c>
      <c r="AB236" s="109">
        <v>0</v>
      </c>
      <c r="AC236" s="109">
        <v>0</v>
      </c>
      <c r="AD236" s="109">
        <v>0</v>
      </c>
      <c r="AE236" s="109">
        <v>0</v>
      </c>
      <c r="AF236" s="109">
        <v>0</v>
      </c>
      <c r="AG236" s="109">
        <v>0</v>
      </c>
      <c r="AH236" s="109">
        <v>0</v>
      </c>
      <c r="AI236" s="109">
        <v>0</v>
      </c>
      <c r="AJ236" s="109">
        <v>0</v>
      </c>
      <c r="AK236" s="109">
        <v>0</v>
      </c>
      <c r="AL236" s="109">
        <v>0</v>
      </c>
      <c r="AM236" s="109">
        <v>0</v>
      </c>
      <c r="AN236" s="109">
        <v>0</v>
      </c>
      <c r="AO236" s="109">
        <v>0</v>
      </c>
      <c r="AP236" s="109">
        <v>0</v>
      </c>
      <c r="AQ236" s="109">
        <v>0</v>
      </c>
      <c r="AR236" s="109">
        <v>0</v>
      </c>
      <c r="AS236" s="109">
        <v>0</v>
      </c>
      <c r="AT236" s="109">
        <v>0</v>
      </c>
      <c r="AU236" s="109">
        <v>0</v>
      </c>
      <c r="AV236" s="109">
        <v>0</v>
      </c>
      <c r="AW236" s="109">
        <v>0</v>
      </c>
      <c r="AX236" s="109">
        <v>0</v>
      </c>
      <c r="AY236" s="109">
        <v>0</v>
      </c>
    </row>
    <row r="237" spans="1:51">
      <c r="A237" s="108"/>
      <c r="B237" s="126">
        <v>29</v>
      </c>
      <c r="C237" s="105"/>
      <c r="D237" s="109">
        <v>0</v>
      </c>
      <c r="E237" s="109">
        <v>0</v>
      </c>
      <c r="F237" s="109">
        <v>0</v>
      </c>
      <c r="G237" s="109">
        <v>0</v>
      </c>
      <c r="H237" s="109">
        <v>0</v>
      </c>
      <c r="I237" s="109">
        <v>0</v>
      </c>
      <c r="J237" s="109">
        <v>0</v>
      </c>
      <c r="K237" s="109">
        <v>0</v>
      </c>
      <c r="L237" s="109">
        <v>0</v>
      </c>
      <c r="M237" s="109">
        <v>0</v>
      </c>
      <c r="N237" s="109">
        <v>0</v>
      </c>
      <c r="O237" s="109">
        <v>0</v>
      </c>
      <c r="P237" s="109">
        <v>0</v>
      </c>
      <c r="Q237" s="109">
        <v>0</v>
      </c>
      <c r="R237" s="109">
        <v>0</v>
      </c>
      <c r="S237" s="109">
        <v>0</v>
      </c>
      <c r="T237" s="109">
        <v>0</v>
      </c>
      <c r="U237" s="109">
        <v>0</v>
      </c>
      <c r="V237" s="109">
        <v>0</v>
      </c>
      <c r="W237" s="109">
        <v>0</v>
      </c>
      <c r="X237" s="109">
        <v>0</v>
      </c>
      <c r="Y237" s="109">
        <v>0</v>
      </c>
      <c r="Z237" s="109">
        <v>0</v>
      </c>
      <c r="AA237" s="109">
        <v>0</v>
      </c>
      <c r="AB237" s="109">
        <v>0</v>
      </c>
      <c r="AC237" s="109">
        <v>0</v>
      </c>
      <c r="AD237" s="109">
        <v>0</v>
      </c>
      <c r="AE237" s="109">
        <v>0</v>
      </c>
      <c r="AF237" s="109">
        <v>0</v>
      </c>
      <c r="AG237" s="109">
        <v>0</v>
      </c>
      <c r="AH237" s="109">
        <v>0</v>
      </c>
      <c r="AI237" s="109">
        <v>0</v>
      </c>
      <c r="AJ237" s="109">
        <v>0</v>
      </c>
      <c r="AK237" s="109">
        <v>0</v>
      </c>
      <c r="AL237" s="109">
        <v>0</v>
      </c>
      <c r="AM237" s="109">
        <v>0</v>
      </c>
      <c r="AN237" s="109">
        <v>0</v>
      </c>
      <c r="AO237" s="109">
        <v>0</v>
      </c>
      <c r="AP237" s="109">
        <v>0</v>
      </c>
      <c r="AQ237" s="109">
        <v>0</v>
      </c>
      <c r="AR237" s="109">
        <v>0</v>
      </c>
      <c r="AS237" s="109">
        <v>0</v>
      </c>
      <c r="AT237" s="109">
        <v>0</v>
      </c>
      <c r="AU237" s="109">
        <v>0</v>
      </c>
      <c r="AV237" s="109">
        <v>0</v>
      </c>
      <c r="AW237" s="109">
        <v>0</v>
      </c>
      <c r="AX237" s="109">
        <v>0</v>
      </c>
      <c r="AY237" s="109">
        <v>0</v>
      </c>
    </row>
    <row r="238" spans="1:51">
      <c r="A238" s="108"/>
      <c r="B238" s="126">
        <v>30</v>
      </c>
      <c r="C238" s="105"/>
      <c r="D238" s="109">
        <v>0</v>
      </c>
      <c r="E238" s="109">
        <v>0</v>
      </c>
      <c r="F238" s="109">
        <v>0</v>
      </c>
      <c r="G238" s="109">
        <v>0</v>
      </c>
      <c r="H238" s="109">
        <v>0</v>
      </c>
      <c r="I238" s="109">
        <v>0</v>
      </c>
      <c r="J238" s="109">
        <v>0</v>
      </c>
      <c r="K238" s="109">
        <v>0</v>
      </c>
      <c r="L238" s="109">
        <v>0</v>
      </c>
      <c r="M238" s="109">
        <v>0</v>
      </c>
      <c r="N238" s="109">
        <v>0</v>
      </c>
      <c r="O238" s="109">
        <v>0</v>
      </c>
      <c r="P238" s="109">
        <v>0</v>
      </c>
      <c r="Q238" s="109">
        <v>0</v>
      </c>
      <c r="R238" s="109">
        <v>0</v>
      </c>
      <c r="S238" s="109">
        <v>0</v>
      </c>
      <c r="T238" s="109">
        <v>0</v>
      </c>
      <c r="U238" s="109">
        <v>0</v>
      </c>
      <c r="V238" s="109">
        <v>0</v>
      </c>
      <c r="W238" s="109">
        <v>0</v>
      </c>
      <c r="X238" s="109">
        <v>0</v>
      </c>
      <c r="Y238" s="109">
        <v>0</v>
      </c>
      <c r="Z238" s="109">
        <v>0</v>
      </c>
      <c r="AA238" s="109">
        <v>0</v>
      </c>
      <c r="AB238" s="109">
        <v>0</v>
      </c>
      <c r="AC238" s="109">
        <v>0</v>
      </c>
      <c r="AD238" s="109">
        <v>0</v>
      </c>
      <c r="AE238" s="109">
        <v>0</v>
      </c>
      <c r="AF238" s="109">
        <v>0</v>
      </c>
      <c r="AG238" s="109">
        <v>0</v>
      </c>
      <c r="AH238" s="109">
        <v>0</v>
      </c>
      <c r="AI238" s="109">
        <v>0</v>
      </c>
      <c r="AJ238" s="109">
        <v>0</v>
      </c>
      <c r="AK238" s="109">
        <v>0</v>
      </c>
      <c r="AL238" s="109">
        <v>0</v>
      </c>
      <c r="AM238" s="109">
        <v>0</v>
      </c>
      <c r="AN238" s="109">
        <v>0</v>
      </c>
      <c r="AO238" s="109">
        <v>0</v>
      </c>
      <c r="AP238" s="109">
        <v>0</v>
      </c>
      <c r="AQ238" s="109">
        <v>0</v>
      </c>
      <c r="AR238" s="109">
        <v>0</v>
      </c>
      <c r="AS238" s="109">
        <v>0</v>
      </c>
      <c r="AT238" s="109">
        <v>0</v>
      </c>
      <c r="AU238" s="109">
        <v>0</v>
      </c>
      <c r="AV238" s="109">
        <v>0</v>
      </c>
      <c r="AW238" s="109">
        <v>0</v>
      </c>
      <c r="AX238" s="109">
        <v>0</v>
      </c>
      <c r="AY238" s="109">
        <v>0</v>
      </c>
    </row>
    <row r="239" spans="1:51">
      <c r="A239" s="108"/>
      <c r="B239" s="126">
        <v>31</v>
      </c>
      <c r="C239" s="105"/>
      <c r="D239" s="109">
        <v>0</v>
      </c>
      <c r="E239" s="109">
        <v>0</v>
      </c>
      <c r="F239" s="109">
        <v>0</v>
      </c>
      <c r="G239" s="109">
        <v>0</v>
      </c>
      <c r="H239" s="109">
        <v>0</v>
      </c>
      <c r="I239" s="109">
        <v>0</v>
      </c>
      <c r="J239" s="109">
        <v>0</v>
      </c>
      <c r="K239" s="109">
        <v>0</v>
      </c>
      <c r="L239" s="109">
        <v>0</v>
      </c>
      <c r="M239" s="109">
        <v>0</v>
      </c>
      <c r="N239" s="109">
        <v>0</v>
      </c>
      <c r="O239" s="109">
        <v>0</v>
      </c>
      <c r="P239" s="109">
        <v>0</v>
      </c>
      <c r="Q239" s="109">
        <v>0</v>
      </c>
      <c r="R239" s="109">
        <v>0</v>
      </c>
      <c r="S239" s="109">
        <v>0</v>
      </c>
      <c r="T239" s="109">
        <v>0</v>
      </c>
      <c r="U239" s="109">
        <v>0</v>
      </c>
      <c r="V239" s="109">
        <v>0</v>
      </c>
      <c r="W239" s="109">
        <v>0</v>
      </c>
      <c r="X239" s="109">
        <v>0</v>
      </c>
      <c r="Y239" s="109">
        <v>0</v>
      </c>
      <c r="Z239" s="109">
        <v>0</v>
      </c>
      <c r="AA239" s="109">
        <v>0</v>
      </c>
      <c r="AB239" s="109">
        <v>0</v>
      </c>
      <c r="AC239" s="109">
        <v>0</v>
      </c>
      <c r="AD239" s="109">
        <v>0</v>
      </c>
      <c r="AE239" s="109">
        <v>0</v>
      </c>
      <c r="AF239" s="109">
        <v>0</v>
      </c>
      <c r="AG239" s="109">
        <v>0</v>
      </c>
      <c r="AH239" s="109">
        <v>0</v>
      </c>
      <c r="AI239" s="109">
        <v>0</v>
      </c>
      <c r="AJ239" s="109">
        <v>0</v>
      </c>
      <c r="AK239" s="109">
        <v>0</v>
      </c>
      <c r="AL239" s="109">
        <v>0</v>
      </c>
      <c r="AM239" s="109">
        <v>0</v>
      </c>
      <c r="AN239" s="109">
        <v>0</v>
      </c>
      <c r="AO239" s="109">
        <v>0</v>
      </c>
      <c r="AP239" s="109">
        <v>0</v>
      </c>
      <c r="AQ239" s="109">
        <v>0</v>
      </c>
      <c r="AR239" s="109">
        <v>0</v>
      </c>
      <c r="AS239" s="109">
        <v>0</v>
      </c>
      <c r="AT239" s="109">
        <v>0</v>
      </c>
      <c r="AU239" s="109">
        <v>0</v>
      </c>
      <c r="AV239" s="109">
        <v>0</v>
      </c>
      <c r="AW239" s="109">
        <v>0</v>
      </c>
      <c r="AX239" s="109">
        <v>0</v>
      </c>
      <c r="AY239" s="109">
        <v>0</v>
      </c>
    </row>
    <row r="240" spans="1:51">
      <c r="A240" s="108"/>
      <c r="B240" s="126">
        <v>32</v>
      </c>
      <c r="C240" s="105"/>
      <c r="D240" s="109">
        <v>0</v>
      </c>
      <c r="E240" s="109">
        <v>0</v>
      </c>
      <c r="F240" s="109">
        <v>0</v>
      </c>
      <c r="G240" s="109">
        <v>0</v>
      </c>
      <c r="H240" s="109">
        <v>0</v>
      </c>
      <c r="I240" s="109">
        <v>0</v>
      </c>
      <c r="J240" s="109">
        <v>0</v>
      </c>
      <c r="K240" s="109">
        <v>0</v>
      </c>
      <c r="L240" s="109">
        <v>0</v>
      </c>
      <c r="M240" s="109">
        <v>0</v>
      </c>
      <c r="N240" s="109">
        <v>0</v>
      </c>
      <c r="O240" s="109">
        <v>0</v>
      </c>
      <c r="P240" s="109">
        <v>0</v>
      </c>
      <c r="Q240" s="109">
        <v>0</v>
      </c>
      <c r="R240" s="109">
        <v>0</v>
      </c>
      <c r="S240" s="109">
        <v>0</v>
      </c>
      <c r="T240" s="109">
        <v>0</v>
      </c>
      <c r="U240" s="109">
        <v>0</v>
      </c>
      <c r="V240" s="109">
        <v>0</v>
      </c>
      <c r="W240" s="109">
        <v>0</v>
      </c>
      <c r="X240" s="109">
        <v>0</v>
      </c>
      <c r="Y240" s="109">
        <v>0</v>
      </c>
      <c r="Z240" s="109">
        <v>0</v>
      </c>
      <c r="AA240" s="109">
        <v>0</v>
      </c>
      <c r="AB240" s="109">
        <v>0</v>
      </c>
      <c r="AC240" s="109">
        <v>0</v>
      </c>
      <c r="AD240" s="109">
        <v>0</v>
      </c>
      <c r="AE240" s="109">
        <v>0</v>
      </c>
      <c r="AF240" s="109">
        <v>0</v>
      </c>
      <c r="AG240" s="109">
        <v>0</v>
      </c>
      <c r="AH240" s="109">
        <v>0</v>
      </c>
      <c r="AI240" s="109">
        <v>0</v>
      </c>
      <c r="AJ240" s="109">
        <v>0</v>
      </c>
      <c r="AK240" s="109">
        <v>0</v>
      </c>
      <c r="AL240" s="109">
        <v>0</v>
      </c>
      <c r="AM240" s="109">
        <v>0</v>
      </c>
      <c r="AN240" s="109">
        <v>0</v>
      </c>
      <c r="AO240" s="109">
        <v>0</v>
      </c>
      <c r="AP240" s="109">
        <v>0</v>
      </c>
      <c r="AQ240" s="109">
        <v>0</v>
      </c>
      <c r="AR240" s="109">
        <v>0</v>
      </c>
      <c r="AS240" s="109">
        <v>0</v>
      </c>
      <c r="AT240" s="109">
        <v>0</v>
      </c>
      <c r="AU240" s="109">
        <v>0</v>
      </c>
      <c r="AV240" s="109">
        <v>0</v>
      </c>
      <c r="AW240" s="109">
        <v>0</v>
      </c>
      <c r="AX240" s="109">
        <v>0</v>
      </c>
      <c r="AY240" s="109">
        <v>0</v>
      </c>
    </row>
    <row r="241" spans="1:51">
      <c r="A241" s="108"/>
      <c r="B241" s="126">
        <v>33</v>
      </c>
      <c r="C241" s="105"/>
      <c r="D241" s="109">
        <v>0</v>
      </c>
      <c r="E241" s="109">
        <v>0</v>
      </c>
      <c r="F241" s="109">
        <v>0</v>
      </c>
      <c r="G241" s="109">
        <v>0</v>
      </c>
      <c r="H241" s="109">
        <v>0</v>
      </c>
      <c r="I241" s="109">
        <v>0</v>
      </c>
      <c r="J241" s="109">
        <v>0</v>
      </c>
      <c r="K241" s="109">
        <v>0</v>
      </c>
      <c r="L241" s="109">
        <v>0</v>
      </c>
      <c r="M241" s="109">
        <v>0</v>
      </c>
      <c r="N241" s="109">
        <v>0</v>
      </c>
      <c r="O241" s="109">
        <v>0</v>
      </c>
      <c r="P241" s="109">
        <v>0</v>
      </c>
      <c r="Q241" s="109">
        <v>0</v>
      </c>
      <c r="R241" s="109">
        <v>0</v>
      </c>
      <c r="S241" s="109">
        <v>0</v>
      </c>
      <c r="T241" s="109">
        <v>0</v>
      </c>
      <c r="U241" s="109">
        <v>0</v>
      </c>
      <c r="V241" s="109">
        <v>0</v>
      </c>
      <c r="W241" s="109">
        <v>0</v>
      </c>
      <c r="X241" s="109">
        <v>0</v>
      </c>
      <c r="Y241" s="109">
        <v>0</v>
      </c>
      <c r="Z241" s="109">
        <v>0</v>
      </c>
      <c r="AA241" s="109">
        <v>0</v>
      </c>
      <c r="AB241" s="109">
        <v>0</v>
      </c>
      <c r="AC241" s="109">
        <v>0</v>
      </c>
      <c r="AD241" s="109">
        <v>0</v>
      </c>
      <c r="AE241" s="109">
        <v>0</v>
      </c>
      <c r="AF241" s="109">
        <v>0</v>
      </c>
      <c r="AG241" s="109">
        <v>0</v>
      </c>
      <c r="AH241" s="109">
        <v>0</v>
      </c>
      <c r="AI241" s="109">
        <v>0</v>
      </c>
      <c r="AJ241" s="109">
        <v>0</v>
      </c>
      <c r="AK241" s="109">
        <v>0</v>
      </c>
      <c r="AL241" s="109">
        <v>0</v>
      </c>
      <c r="AM241" s="109">
        <v>0</v>
      </c>
      <c r="AN241" s="109">
        <v>0</v>
      </c>
      <c r="AO241" s="109">
        <v>0</v>
      </c>
      <c r="AP241" s="109">
        <v>0</v>
      </c>
      <c r="AQ241" s="109">
        <v>0</v>
      </c>
      <c r="AR241" s="109">
        <v>0</v>
      </c>
      <c r="AS241" s="109">
        <v>0</v>
      </c>
      <c r="AT241" s="109">
        <v>0</v>
      </c>
      <c r="AU241" s="109">
        <v>0</v>
      </c>
      <c r="AV241" s="109">
        <v>0</v>
      </c>
      <c r="AW241" s="109">
        <v>0</v>
      </c>
      <c r="AX241" s="109">
        <v>0</v>
      </c>
      <c r="AY241" s="109">
        <v>0</v>
      </c>
    </row>
    <row r="242" spans="1:51">
      <c r="A242" s="108"/>
      <c r="B242" s="126">
        <v>34</v>
      </c>
      <c r="C242" s="105"/>
      <c r="D242" s="109">
        <v>0</v>
      </c>
      <c r="E242" s="109">
        <v>0</v>
      </c>
      <c r="F242" s="109">
        <v>0</v>
      </c>
      <c r="G242" s="109">
        <v>0</v>
      </c>
      <c r="H242" s="109">
        <v>0</v>
      </c>
      <c r="I242" s="109">
        <v>0</v>
      </c>
      <c r="J242" s="109">
        <v>0</v>
      </c>
      <c r="K242" s="109">
        <v>0</v>
      </c>
      <c r="L242" s="109">
        <v>0</v>
      </c>
      <c r="M242" s="109">
        <v>0</v>
      </c>
      <c r="N242" s="109">
        <v>0</v>
      </c>
      <c r="O242" s="109">
        <v>0</v>
      </c>
      <c r="P242" s="109">
        <v>0</v>
      </c>
      <c r="Q242" s="109">
        <v>0</v>
      </c>
      <c r="R242" s="109">
        <v>0</v>
      </c>
      <c r="S242" s="109">
        <v>0</v>
      </c>
      <c r="T242" s="109">
        <v>0</v>
      </c>
      <c r="U242" s="109">
        <v>0</v>
      </c>
      <c r="V242" s="109">
        <v>0</v>
      </c>
      <c r="W242" s="109">
        <v>0</v>
      </c>
      <c r="X242" s="109">
        <v>0</v>
      </c>
      <c r="Y242" s="109">
        <v>0</v>
      </c>
      <c r="Z242" s="109">
        <v>0</v>
      </c>
      <c r="AA242" s="109">
        <v>0</v>
      </c>
      <c r="AB242" s="109">
        <v>0</v>
      </c>
      <c r="AC242" s="109">
        <v>0</v>
      </c>
      <c r="AD242" s="109">
        <v>0</v>
      </c>
      <c r="AE242" s="109">
        <v>0</v>
      </c>
      <c r="AF242" s="109">
        <v>0</v>
      </c>
      <c r="AG242" s="109">
        <v>0</v>
      </c>
      <c r="AH242" s="109">
        <v>0</v>
      </c>
      <c r="AI242" s="109">
        <v>0</v>
      </c>
      <c r="AJ242" s="109">
        <v>0</v>
      </c>
      <c r="AK242" s="109">
        <v>0</v>
      </c>
      <c r="AL242" s="109">
        <v>0</v>
      </c>
      <c r="AM242" s="109">
        <v>0</v>
      </c>
      <c r="AN242" s="109">
        <v>0</v>
      </c>
      <c r="AO242" s="109">
        <v>0</v>
      </c>
      <c r="AP242" s="109">
        <v>0</v>
      </c>
      <c r="AQ242" s="109">
        <v>0</v>
      </c>
      <c r="AR242" s="109">
        <v>0</v>
      </c>
      <c r="AS242" s="109">
        <v>0</v>
      </c>
      <c r="AT242" s="109">
        <v>0</v>
      </c>
      <c r="AU242" s="109">
        <v>0</v>
      </c>
      <c r="AV242" s="109">
        <v>0</v>
      </c>
      <c r="AW242" s="109">
        <v>0</v>
      </c>
      <c r="AX242" s="109">
        <v>0</v>
      </c>
      <c r="AY242" s="109">
        <v>0</v>
      </c>
    </row>
    <row r="243" spans="1:51">
      <c r="A243" s="108"/>
      <c r="B243" s="126">
        <v>35</v>
      </c>
      <c r="C243" s="105"/>
      <c r="D243" s="109">
        <v>0</v>
      </c>
      <c r="E243" s="109">
        <v>0</v>
      </c>
      <c r="F243" s="109">
        <v>0</v>
      </c>
      <c r="G243" s="109">
        <v>0</v>
      </c>
      <c r="H243" s="109">
        <v>0</v>
      </c>
      <c r="I243" s="109">
        <v>0</v>
      </c>
      <c r="J243" s="109">
        <v>0</v>
      </c>
      <c r="K243" s="109">
        <v>0</v>
      </c>
      <c r="L243" s="109">
        <v>0</v>
      </c>
      <c r="M243" s="109">
        <v>0</v>
      </c>
      <c r="N243" s="109">
        <v>0</v>
      </c>
      <c r="O243" s="109">
        <v>0</v>
      </c>
      <c r="P243" s="109">
        <v>0</v>
      </c>
      <c r="Q243" s="109">
        <v>0</v>
      </c>
      <c r="R243" s="109">
        <v>0</v>
      </c>
      <c r="S243" s="109">
        <v>0</v>
      </c>
      <c r="T243" s="109">
        <v>0</v>
      </c>
      <c r="U243" s="109">
        <v>0</v>
      </c>
      <c r="V243" s="109">
        <v>0</v>
      </c>
      <c r="W243" s="109">
        <v>0</v>
      </c>
      <c r="X243" s="109">
        <v>0</v>
      </c>
      <c r="Y243" s="109">
        <v>0</v>
      </c>
      <c r="Z243" s="109">
        <v>0</v>
      </c>
      <c r="AA243" s="109">
        <v>0</v>
      </c>
      <c r="AB243" s="109">
        <v>0</v>
      </c>
      <c r="AC243" s="109">
        <v>0</v>
      </c>
      <c r="AD243" s="109">
        <v>0</v>
      </c>
      <c r="AE243" s="109">
        <v>0</v>
      </c>
      <c r="AF243" s="109">
        <v>0</v>
      </c>
      <c r="AG243" s="109">
        <v>0</v>
      </c>
      <c r="AH243" s="109">
        <v>0</v>
      </c>
      <c r="AI243" s="109">
        <v>0</v>
      </c>
      <c r="AJ243" s="109">
        <v>0</v>
      </c>
      <c r="AK243" s="109">
        <v>0</v>
      </c>
      <c r="AL243" s="109">
        <v>0</v>
      </c>
      <c r="AM243" s="109">
        <v>0</v>
      </c>
      <c r="AN243" s="109">
        <v>0</v>
      </c>
      <c r="AO243" s="109">
        <v>0</v>
      </c>
      <c r="AP243" s="109">
        <v>0</v>
      </c>
      <c r="AQ243" s="109">
        <v>0</v>
      </c>
      <c r="AR243" s="109">
        <v>0</v>
      </c>
      <c r="AS243" s="109">
        <v>0</v>
      </c>
      <c r="AT243" s="109">
        <v>0</v>
      </c>
      <c r="AU243" s="109">
        <v>0</v>
      </c>
      <c r="AV243" s="109">
        <v>0</v>
      </c>
      <c r="AW243" s="109">
        <v>0</v>
      </c>
      <c r="AX243" s="109">
        <v>0</v>
      </c>
      <c r="AY243" s="109">
        <v>0</v>
      </c>
    </row>
    <row r="244" spans="1:51">
      <c r="A244" s="108"/>
      <c r="B244" s="126">
        <v>36</v>
      </c>
      <c r="C244" s="105"/>
      <c r="D244" s="109">
        <v>0</v>
      </c>
      <c r="E244" s="109">
        <v>0</v>
      </c>
      <c r="F244" s="109">
        <v>0</v>
      </c>
      <c r="G244" s="109">
        <v>0</v>
      </c>
      <c r="H244" s="109">
        <v>0</v>
      </c>
      <c r="I244" s="109">
        <v>0</v>
      </c>
      <c r="J244" s="109">
        <v>0</v>
      </c>
      <c r="K244" s="109">
        <v>0</v>
      </c>
      <c r="L244" s="109">
        <v>0</v>
      </c>
      <c r="M244" s="109">
        <v>0</v>
      </c>
      <c r="N244" s="109">
        <v>0</v>
      </c>
      <c r="O244" s="109">
        <v>0</v>
      </c>
      <c r="P244" s="109">
        <v>0</v>
      </c>
      <c r="Q244" s="109">
        <v>0</v>
      </c>
      <c r="R244" s="109">
        <v>0</v>
      </c>
      <c r="S244" s="109">
        <v>0</v>
      </c>
      <c r="T244" s="109">
        <v>0</v>
      </c>
      <c r="U244" s="109">
        <v>0</v>
      </c>
      <c r="V244" s="109">
        <v>0</v>
      </c>
      <c r="W244" s="109">
        <v>0</v>
      </c>
      <c r="X244" s="109">
        <v>0</v>
      </c>
      <c r="Y244" s="109">
        <v>0</v>
      </c>
      <c r="Z244" s="109">
        <v>0</v>
      </c>
      <c r="AA244" s="109">
        <v>0</v>
      </c>
      <c r="AB244" s="109">
        <v>0</v>
      </c>
      <c r="AC244" s="109">
        <v>0</v>
      </c>
      <c r="AD244" s="109">
        <v>0</v>
      </c>
      <c r="AE244" s="109">
        <v>0</v>
      </c>
      <c r="AF244" s="109">
        <v>0</v>
      </c>
      <c r="AG244" s="109">
        <v>0</v>
      </c>
      <c r="AH244" s="109">
        <v>0</v>
      </c>
      <c r="AI244" s="109">
        <v>0</v>
      </c>
      <c r="AJ244" s="109">
        <v>0</v>
      </c>
      <c r="AK244" s="109">
        <v>0</v>
      </c>
      <c r="AL244" s="109">
        <v>0</v>
      </c>
      <c r="AM244" s="109">
        <v>0</v>
      </c>
      <c r="AN244" s="109">
        <v>0</v>
      </c>
      <c r="AO244" s="109">
        <v>0</v>
      </c>
      <c r="AP244" s="109">
        <v>0</v>
      </c>
      <c r="AQ244" s="109">
        <v>0</v>
      </c>
      <c r="AR244" s="109">
        <v>0</v>
      </c>
      <c r="AS244" s="109">
        <v>0</v>
      </c>
      <c r="AT244" s="109">
        <v>0</v>
      </c>
      <c r="AU244" s="109">
        <v>0</v>
      </c>
      <c r="AV244" s="109">
        <v>0</v>
      </c>
      <c r="AW244" s="109">
        <v>0</v>
      </c>
      <c r="AX244" s="109">
        <v>0</v>
      </c>
      <c r="AY244" s="109">
        <v>0</v>
      </c>
    </row>
    <row r="245" spans="1:51">
      <c r="A245" s="108"/>
      <c r="B245" s="129">
        <v>37</v>
      </c>
      <c r="C245" s="105"/>
      <c r="D245" s="109">
        <v>0</v>
      </c>
      <c r="E245" s="109">
        <v>0</v>
      </c>
      <c r="F245" s="109">
        <v>0</v>
      </c>
      <c r="G245" s="109">
        <v>0</v>
      </c>
      <c r="H245" s="109">
        <v>0</v>
      </c>
      <c r="I245" s="109">
        <v>0</v>
      </c>
      <c r="J245" s="109">
        <v>0</v>
      </c>
      <c r="K245" s="109">
        <v>0</v>
      </c>
      <c r="L245" s="109">
        <v>0</v>
      </c>
      <c r="M245" s="109">
        <v>0</v>
      </c>
      <c r="N245" s="109">
        <v>0</v>
      </c>
      <c r="O245" s="109">
        <v>0</v>
      </c>
      <c r="P245" s="109">
        <v>0</v>
      </c>
      <c r="Q245" s="109">
        <v>0</v>
      </c>
      <c r="R245" s="109">
        <v>0</v>
      </c>
      <c r="S245" s="109">
        <v>0</v>
      </c>
      <c r="T245" s="109">
        <v>0</v>
      </c>
      <c r="U245" s="109">
        <v>0</v>
      </c>
      <c r="V245" s="109">
        <v>0</v>
      </c>
      <c r="W245" s="109">
        <v>0</v>
      </c>
      <c r="X245" s="109">
        <v>0</v>
      </c>
      <c r="Y245" s="109">
        <v>0</v>
      </c>
      <c r="Z245" s="109">
        <v>0</v>
      </c>
      <c r="AA245" s="109">
        <v>0</v>
      </c>
      <c r="AB245" s="109">
        <v>0</v>
      </c>
      <c r="AC245" s="109">
        <v>0</v>
      </c>
      <c r="AD245" s="109">
        <v>0</v>
      </c>
      <c r="AE245" s="109">
        <v>0</v>
      </c>
      <c r="AF245" s="109">
        <v>0</v>
      </c>
      <c r="AG245" s="109">
        <v>0</v>
      </c>
      <c r="AH245" s="109">
        <v>0</v>
      </c>
      <c r="AI245" s="109">
        <v>0</v>
      </c>
      <c r="AJ245" s="109">
        <v>0</v>
      </c>
      <c r="AK245" s="109">
        <v>0</v>
      </c>
      <c r="AL245" s="109">
        <v>0</v>
      </c>
      <c r="AM245" s="109">
        <v>0</v>
      </c>
      <c r="AN245" s="109">
        <v>0</v>
      </c>
      <c r="AO245" s="109">
        <v>0</v>
      </c>
      <c r="AP245" s="109">
        <v>0</v>
      </c>
      <c r="AQ245" s="109">
        <v>0</v>
      </c>
      <c r="AR245" s="109">
        <v>0</v>
      </c>
      <c r="AS245" s="109">
        <v>0</v>
      </c>
      <c r="AT245" s="109">
        <v>0</v>
      </c>
      <c r="AU245" s="109">
        <v>0</v>
      </c>
      <c r="AV245" s="109">
        <v>0</v>
      </c>
      <c r="AW245" s="109">
        <v>0</v>
      </c>
      <c r="AX245" s="109">
        <v>0</v>
      </c>
      <c r="AY245" s="109">
        <v>0</v>
      </c>
    </row>
    <row r="246" spans="1:51">
      <c r="A246" s="108"/>
      <c r="B246" s="129">
        <v>38</v>
      </c>
      <c r="C246" s="105"/>
      <c r="D246" s="109">
        <v>0</v>
      </c>
      <c r="E246" s="109">
        <v>0</v>
      </c>
      <c r="F246" s="109">
        <v>0</v>
      </c>
      <c r="G246" s="109">
        <v>0</v>
      </c>
      <c r="H246" s="109">
        <v>0</v>
      </c>
      <c r="I246" s="109">
        <v>0</v>
      </c>
      <c r="J246" s="109">
        <v>0</v>
      </c>
      <c r="K246" s="109">
        <v>0</v>
      </c>
      <c r="L246" s="109">
        <v>0</v>
      </c>
      <c r="M246" s="109">
        <v>0</v>
      </c>
      <c r="N246" s="109">
        <v>0</v>
      </c>
      <c r="O246" s="109">
        <v>0</v>
      </c>
      <c r="P246" s="109">
        <v>0</v>
      </c>
      <c r="Q246" s="109">
        <v>0</v>
      </c>
      <c r="R246" s="109">
        <v>0</v>
      </c>
      <c r="S246" s="109">
        <v>0</v>
      </c>
      <c r="T246" s="109">
        <v>0</v>
      </c>
      <c r="U246" s="109">
        <v>0</v>
      </c>
      <c r="V246" s="109">
        <v>0</v>
      </c>
      <c r="W246" s="109">
        <v>0</v>
      </c>
      <c r="X246" s="109">
        <v>0</v>
      </c>
      <c r="Y246" s="109">
        <v>0</v>
      </c>
      <c r="Z246" s="109">
        <v>0</v>
      </c>
      <c r="AA246" s="109">
        <v>0</v>
      </c>
      <c r="AB246" s="109">
        <v>0</v>
      </c>
      <c r="AC246" s="109">
        <v>0</v>
      </c>
      <c r="AD246" s="109">
        <v>0</v>
      </c>
      <c r="AE246" s="109">
        <v>0</v>
      </c>
      <c r="AF246" s="109">
        <v>0</v>
      </c>
      <c r="AG246" s="109">
        <v>0</v>
      </c>
      <c r="AH246" s="109">
        <v>0</v>
      </c>
      <c r="AI246" s="109">
        <v>0</v>
      </c>
      <c r="AJ246" s="109">
        <v>0</v>
      </c>
      <c r="AK246" s="109">
        <v>0</v>
      </c>
      <c r="AL246" s="109">
        <v>0</v>
      </c>
      <c r="AM246" s="109">
        <v>0</v>
      </c>
      <c r="AN246" s="109">
        <v>0</v>
      </c>
      <c r="AO246" s="109">
        <v>0</v>
      </c>
      <c r="AP246" s="109">
        <v>0</v>
      </c>
      <c r="AQ246" s="109">
        <v>0</v>
      </c>
      <c r="AR246" s="109">
        <v>0</v>
      </c>
      <c r="AS246" s="109">
        <v>0</v>
      </c>
      <c r="AT246" s="109">
        <v>0</v>
      </c>
      <c r="AU246" s="109">
        <v>0</v>
      </c>
      <c r="AV246" s="109">
        <v>0</v>
      </c>
      <c r="AW246" s="109">
        <v>0</v>
      </c>
      <c r="AX246" s="109">
        <v>0</v>
      </c>
      <c r="AY246" s="109">
        <v>0</v>
      </c>
    </row>
    <row r="247" spans="1:51">
      <c r="A247" s="108"/>
      <c r="B247" s="129">
        <v>39</v>
      </c>
      <c r="C247" s="105"/>
      <c r="D247" s="109">
        <v>0</v>
      </c>
      <c r="E247" s="109">
        <v>0</v>
      </c>
      <c r="F247" s="109">
        <v>0</v>
      </c>
      <c r="G247" s="109">
        <v>0</v>
      </c>
      <c r="H247" s="109">
        <v>0</v>
      </c>
      <c r="I247" s="109">
        <v>0</v>
      </c>
      <c r="J247" s="109">
        <v>0</v>
      </c>
      <c r="K247" s="109">
        <v>0</v>
      </c>
      <c r="L247" s="109">
        <v>0</v>
      </c>
      <c r="M247" s="109">
        <v>0</v>
      </c>
      <c r="N247" s="109">
        <v>0</v>
      </c>
      <c r="O247" s="109">
        <v>0</v>
      </c>
      <c r="P247" s="109">
        <v>0</v>
      </c>
      <c r="Q247" s="109">
        <v>0</v>
      </c>
      <c r="R247" s="109">
        <v>0</v>
      </c>
      <c r="S247" s="109">
        <v>0</v>
      </c>
      <c r="T247" s="109">
        <v>0</v>
      </c>
      <c r="U247" s="109">
        <v>0</v>
      </c>
      <c r="V247" s="109">
        <v>0</v>
      </c>
      <c r="W247" s="109">
        <v>0</v>
      </c>
      <c r="X247" s="109">
        <v>0</v>
      </c>
      <c r="Y247" s="109">
        <v>0</v>
      </c>
      <c r="Z247" s="109">
        <v>0</v>
      </c>
      <c r="AA247" s="109">
        <v>0</v>
      </c>
      <c r="AB247" s="109">
        <v>0</v>
      </c>
      <c r="AC247" s="109">
        <v>0</v>
      </c>
      <c r="AD247" s="109">
        <v>0</v>
      </c>
      <c r="AE247" s="109">
        <v>0</v>
      </c>
      <c r="AF247" s="109">
        <v>0</v>
      </c>
      <c r="AG247" s="109">
        <v>0</v>
      </c>
      <c r="AH247" s="109">
        <v>0</v>
      </c>
      <c r="AI247" s="109">
        <v>0</v>
      </c>
      <c r="AJ247" s="109">
        <v>0</v>
      </c>
      <c r="AK247" s="109">
        <v>0</v>
      </c>
      <c r="AL247" s="109">
        <v>0</v>
      </c>
      <c r="AM247" s="109">
        <v>0</v>
      </c>
      <c r="AN247" s="109">
        <v>0</v>
      </c>
      <c r="AO247" s="109">
        <v>0</v>
      </c>
      <c r="AP247" s="109">
        <v>0</v>
      </c>
      <c r="AQ247" s="109">
        <v>0</v>
      </c>
      <c r="AR247" s="109">
        <v>0</v>
      </c>
      <c r="AS247" s="109">
        <v>0</v>
      </c>
      <c r="AT247" s="109">
        <v>0</v>
      </c>
      <c r="AU247" s="109">
        <v>0</v>
      </c>
      <c r="AV247" s="109">
        <v>0</v>
      </c>
      <c r="AW247" s="109">
        <v>0</v>
      </c>
      <c r="AX247" s="109">
        <v>0</v>
      </c>
      <c r="AY247" s="109">
        <v>0</v>
      </c>
    </row>
    <row r="248" spans="1:51">
      <c r="A248" s="108"/>
      <c r="B248" s="129">
        <v>40</v>
      </c>
      <c r="C248" s="105"/>
      <c r="D248" s="109">
        <v>0</v>
      </c>
      <c r="E248" s="109">
        <v>0</v>
      </c>
      <c r="F248" s="109">
        <v>0</v>
      </c>
      <c r="G248" s="109">
        <v>0</v>
      </c>
      <c r="H248" s="109">
        <v>0</v>
      </c>
      <c r="I248" s="109">
        <v>0</v>
      </c>
      <c r="J248" s="109">
        <v>0</v>
      </c>
      <c r="K248" s="109">
        <v>0</v>
      </c>
      <c r="L248" s="109">
        <v>0</v>
      </c>
      <c r="M248" s="109">
        <v>0</v>
      </c>
      <c r="N248" s="109">
        <v>0</v>
      </c>
      <c r="O248" s="109">
        <v>0</v>
      </c>
      <c r="P248" s="109">
        <v>0</v>
      </c>
      <c r="Q248" s="109">
        <v>0</v>
      </c>
      <c r="R248" s="109">
        <v>0</v>
      </c>
      <c r="S248" s="109">
        <v>0</v>
      </c>
      <c r="T248" s="109">
        <v>0</v>
      </c>
      <c r="U248" s="109">
        <v>0</v>
      </c>
      <c r="V248" s="109">
        <v>0</v>
      </c>
      <c r="W248" s="109">
        <v>0</v>
      </c>
      <c r="X248" s="109">
        <v>0</v>
      </c>
      <c r="Y248" s="109">
        <v>0</v>
      </c>
      <c r="Z248" s="109">
        <v>0</v>
      </c>
      <c r="AA248" s="109">
        <v>0</v>
      </c>
      <c r="AB248" s="109">
        <v>0</v>
      </c>
      <c r="AC248" s="109">
        <v>0</v>
      </c>
      <c r="AD248" s="109">
        <v>0</v>
      </c>
      <c r="AE248" s="109">
        <v>0</v>
      </c>
      <c r="AF248" s="109">
        <v>0</v>
      </c>
      <c r="AG248" s="109">
        <v>0</v>
      </c>
      <c r="AH248" s="109">
        <v>0</v>
      </c>
      <c r="AI248" s="109">
        <v>0</v>
      </c>
      <c r="AJ248" s="109">
        <v>0</v>
      </c>
      <c r="AK248" s="109">
        <v>0</v>
      </c>
      <c r="AL248" s="109">
        <v>0</v>
      </c>
      <c r="AM248" s="109">
        <v>0</v>
      </c>
      <c r="AN248" s="109">
        <v>0</v>
      </c>
      <c r="AO248" s="109">
        <v>0</v>
      </c>
      <c r="AP248" s="109">
        <v>0</v>
      </c>
      <c r="AQ248" s="109">
        <v>0</v>
      </c>
      <c r="AR248" s="109">
        <v>0</v>
      </c>
      <c r="AS248" s="109">
        <v>0</v>
      </c>
      <c r="AT248" s="109">
        <v>0</v>
      </c>
      <c r="AU248" s="109">
        <v>0</v>
      </c>
      <c r="AV248" s="109">
        <v>0</v>
      </c>
      <c r="AW248" s="109">
        <v>0</v>
      </c>
      <c r="AX248" s="109">
        <v>0</v>
      </c>
      <c r="AY248" s="109">
        <v>0</v>
      </c>
    </row>
    <row r="249" spans="1:51">
      <c r="A249" s="108"/>
      <c r="B249" s="129">
        <v>41</v>
      </c>
      <c r="C249" s="105"/>
      <c r="D249" s="109">
        <v>0</v>
      </c>
      <c r="E249" s="109">
        <v>0</v>
      </c>
      <c r="F249" s="109">
        <v>0</v>
      </c>
      <c r="G249" s="109">
        <v>0</v>
      </c>
      <c r="H249" s="109">
        <v>0</v>
      </c>
      <c r="I249" s="109">
        <v>0</v>
      </c>
      <c r="J249" s="109">
        <v>0</v>
      </c>
      <c r="K249" s="109">
        <v>0</v>
      </c>
      <c r="L249" s="109">
        <v>0</v>
      </c>
      <c r="M249" s="109">
        <v>0</v>
      </c>
      <c r="N249" s="109">
        <v>0</v>
      </c>
      <c r="O249" s="109">
        <v>0</v>
      </c>
      <c r="P249" s="109">
        <v>0</v>
      </c>
      <c r="Q249" s="109">
        <v>0</v>
      </c>
      <c r="R249" s="109">
        <v>0</v>
      </c>
      <c r="S249" s="109">
        <v>0</v>
      </c>
      <c r="T249" s="109">
        <v>0</v>
      </c>
      <c r="U249" s="109">
        <v>0</v>
      </c>
      <c r="V249" s="109">
        <v>0</v>
      </c>
      <c r="W249" s="109">
        <v>0</v>
      </c>
      <c r="X249" s="109">
        <v>0</v>
      </c>
      <c r="Y249" s="109">
        <v>0</v>
      </c>
      <c r="Z249" s="109">
        <v>0</v>
      </c>
      <c r="AA249" s="109">
        <v>0</v>
      </c>
      <c r="AB249" s="109">
        <v>0</v>
      </c>
      <c r="AC249" s="109">
        <v>0</v>
      </c>
      <c r="AD249" s="109">
        <v>0</v>
      </c>
      <c r="AE249" s="109">
        <v>0</v>
      </c>
      <c r="AF249" s="109">
        <v>0</v>
      </c>
      <c r="AG249" s="109">
        <v>0</v>
      </c>
      <c r="AH249" s="109">
        <v>0</v>
      </c>
      <c r="AI249" s="109">
        <v>0</v>
      </c>
      <c r="AJ249" s="109">
        <v>0</v>
      </c>
      <c r="AK249" s="109">
        <v>0</v>
      </c>
      <c r="AL249" s="109">
        <v>0</v>
      </c>
      <c r="AM249" s="109">
        <v>0</v>
      </c>
      <c r="AN249" s="109">
        <v>0</v>
      </c>
      <c r="AO249" s="109">
        <v>0</v>
      </c>
      <c r="AP249" s="109">
        <v>0</v>
      </c>
      <c r="AQ249" s="109">
        <v>0</v>
      </c>
      <c r="AR249" s="109">
        <v>0</v>
      </c>
      <c r="AS249" s="109">
        <v>0</v>
      </c>
      <c r="AT249" s="109">
        <v>0</v>
      </c>
      <c r="AU249" s="109">
        <v>0</v>
      </c>
      <c r="AV249" s="109">
        <v>0</v>
      </c>
      <c r="AW249" s="109">
        <v>0</v>
      </c>
      <c r="AX249" s="109">
        <v>0</v>
      </c>
      <c r="AY249" s="109">
        <v>0</v>
      </c>
    </row>
    <row r="250" spans="1:51">
      <c r="A250" s="108"/>
      <c r="B250" s="129">
        <v>42</v>
      </c>
      <c r="C250" s="105"/>
      <c r="D250" s="109">
        <v>0</v>
      </c>
      <c r="E250" s="109">
        <v>0</v>
      </c>
      <c r="F250" s="109">
        <v>0</v>
      </c>
      <c r="G250" s="109">
        <v>0</v>
      </c>
      <c r="H250" s="109">
        <v>0</v>
      </c>
      <c r="I250" s="109">
        <v>0</v>
      </c>
      <c r="J250" s="109">
        <v>0</v>
      </c>
      <c r="K250" s="109">
        <v>0</v>
      </c>
      <c r="L250" s="109">
        <v>0</v>
      </c>
      <c r="M250" s="109">
        <v>0</v>
      </c>
      <c r="N250" s="109">
        <v>0</v>
      </c>
      <c r="O250" s="109">
        <v>0</v>
      </c>
      <c r="P250" s="109">
        <v>0</v>
      </c>
      <c r="Q250" s="109">
        <v>0</v>
      </c>
      <c r="R250" s="109">
        <v>0</v>
      </c>
      <c r="S250" s="109">
        <v>0</v>
      </c>
      <c r="T250" s="109">
        <v>0</v>
      </c>
      <c r="U250" s="109">
        <v>0</v>
      </c>
      <c r="V250" s="109">
        <v>0</v>
      </c>
      <c r="W250" s="109">
        <v>0</v>
      </c>
      <c r="X250" s="109">
        <v>0</v>
      </c>
      <c r="Y250" s="109">
        <v>0</v>
      </c>
      <c r="Z250" s="109">
        <v>0</v>
      </c>
      <c r="AA250" s="109">
        <v>0</v>
      </c>
      <c r="AB250" s="109">
        <v>0</v>
      </c>
      <c r="AC250" s="109">
        <v>0</v>
      </c>
      <c r="AD250" s="109">
        <v>0</v>
      </c>
      <c r="AE250" s="109">
        <v>0</v>
      </c>
      <c r="AF250" s="109">
        <v>0</v>
      </c>
      <c r="AG250" s="109">
        <v>0</v>
      </c>
      <c r="AH250" s="109">
        <v>0</v>
      </c>
      <c r="AI250" s="109">
        <v>0</v>
      </c>
      <c r="AJ250" s="109">
        <v>0</v>
      </c>
      <c r="AK250" s="109">
        <v>0</v>
      </c>
      <c r="AL250" s="109">
        <v>0</v>
      </c>
      <c r="AM250" s="109">
        <v>0</v>
      </c>
      <c r="AN250" s="109">
        <v>0</v>
      </c>
      <c r="AO250" s="109">
        <v>0</v>
      </c>
      <c r="AP250" s="109">
        <v>0</v>
      </c>
      <c r="AQ250" s="109">
        <v>0</v>
      </c>
      <c r="AR250" s="109">
        <v>0</v>
      </c>
      <c r="AS250" s="109">
        <v>0</v>
      </c>
      <c r="AT250" s="109">
        <v>0</v>
      </c>
      <c r="AU250" s="109">
        <v>0</v>
      </c>
      <c r="AV250" s="109">
        <v>0</v>
      </c>
      <c r="AW250" s="109">
        <v>0</v>
      </c>
      <c r="AX250" s="109">
        <v>0</v>
      </c>
      <c r="AY250" s="109">
        <v>0</v>
      </c>
    </row>
    <row r="251" spans="1:51">
      <c r="A251" s="108"/>
      <c r="B251" s="129">
        <v>43</v>
      </c>
      <c r="C251" s="105"/>
      <c r="D251" s="109">
        <v>0</v>
      </c>
      <c r="E251" s="109">
        <v>0</v>
      </c>
      <c r="F251" s="109">
        <v>0</v>
      </c>
      <c r="G251" s="109">
        <v>0</v>
      </c>
      <c r="H251" s="109">
        <v>0</v>
      </c>
      <c r="I251" s="109">
        <v>0</v>
      </c>
      <c r="J251" s="109">
        <v>0</v>
      </c>
      <c r="K251" s="109">
        <v>0</v>
      </c>
      <c r="L251" s="109">
        <v>0</v>
      </c>
      <c r="M251" s="109">
        <v>0</v>
      </c>
      <c r="N251" s="109">
        <v>0</v>
      </c>
      <c r="O251" s="109">
        <v>0</v>
      </c>
      <c r="P251" s="109">
        <v>0</v>
      </c>
      <c r="Q251" s="109">
        <v>0</v>
      </c>
      <c r="R251" s="109">
        <v>0</v>
      </c>
      <c r="S251" s="109">
        <v>0</v>
      </c>
      <c r="T251" s="109">
        <v>0</v>
      </c>
      <c r="U251" s="109">
        <v>0</v>
      </c>
      <c r="V251" s="109">
        <v>0</v>
      </c>
      <c r="W251" s="109">
        <v>0</v>
      </c>
      <c r="X251" s="109">
        <v>0</v>
      </c>
      <c r="Y251" s="109">
        <v>0</v>
      </c>
      <c r="Z251" s="109">
        <v>0</v>
      </c>
      <c r="AA251" s="109">
        <v>0</v>
      </c>
      <c r="AB251" s="109">
        <v>0</v>
      </c>
      <c r="AC251" s="109">
        <v>0</v>
      </c>
      <c r="AD251" s="109">
        <v>0</v>
      </c>
      <c r="AE251" s="109">
        <v>0</v>
      </c>
      <c r="AF251" s="109">
        <v>0</v>
      </c>
      <c r="AG251" s="109">
        <v>0</v>
      </c>
      <c r="AH251" s="109">
        <v>0</v>
      </c>
      <c r="AI251" s="109">
        <v>0</v>
      </c>
      <c r="AJ251" s="109">
        <v>0</v>
      </c>
      <c r="AK251" s="109">
        <v>0</v>
      </c>
      <c r="AL251" s="109">
        <v>0</v>
      </c>
      <c r="AM251" s="109">
        <v>0</v>
      </c>
      <c r="AN251" s="109">
        <v>0</v>
      </c>
      <c r="AO251" s="109">
        <v>0</v>
      </c>
      <c r="AP251" s="109">
        <v>0</v>
      </c>
      <c r="AQ251" s="109">
        <v>0</v>
      </c>
      <c r="AR251" s="109">
        <v>0</v>
      </c>
      <c r="AS251" s="109">
        <v>0</v>
      </c>
      <c r="AT251" s="109">
        <v>0</v>
      </c>
      <c r="AU251" s="109">
        <v>0</v>
      </c>
      <c r="AV251" s="109">
        <v>0</v>
      </c>
      <c r="AW251" s="109">
        <v>0</v>
      </c>
      <c r="AX251" s="109">
        <v>0</v>
      </c>
      <c r="AY251" s="109">
        <v>0</v>
      </c>
    </row>
    <row r="252" spans="1:51">
      <c r="A252" s="108"/>
      <c r="B252" s="129">
        <v>44</v>
      </c>
      <c r="C252" s="105"/>
      <c r="D252" s="109">
        <v>0</v>
      </c>
      <c r="E252" s="109">
        <v>0</v>
      </c>
      <c r="F252" s="109">
        <v>0</v>
      </c>
      <c r="G252" s="109">
        <v>0</v>
      </c>
      <c r="H252" s="109">
        <v>0</v>
      </c>
      <c r="I252" s="109">
        <v>0</v>
      </c>
      <c r="J252" s="109">
        <v>0</v>
      </c>
      <c r="K252" s="109">
        <v>0</v>
      </c>
      <c r="L252" s="109">
        <v>0</v>
      </c>
      <c r="M252" s="109">
        <v>0</v>
      </c>
      <c r="N252" s="109">
        <v>0</v>
      </c>
      <c r="O252" s="109">
        <v>0</v>
      </c>
      <c r="P252" s="109">
        <v>0</v>
      </c>
      <c r="Q252" s="109">
        <v>0</v>
      </c>
      <c r="R252" s="109">
        <v>0</v>
      </c>
      <c r="S252" s="109">
        <v>0</v>
      </c>
      <c r="T252" s="109">
        <v>0</v>
      </c>
      <c r="U252" s="109">
        <v>0</v>
      </c>
      <c r="V252" s="109">
        <v>0</v>
      </c>
      <c r="W252" s="109">
        <v>0</v>
      </c>
      <c r="X252" s="109">
        <v>0</v>
      </c>
      <c r="Y252" s="109">
        <v>0</v>
      </c>
      <c r="Z252" s="109">
        <v>0</v>
      </c>
      <c r="AA252" s="109">
        <v>0</v>
      </c>
      <c r="AB252" s="109">
        <v>0</v>
      </c>
      <c r="AC252" s="109">
        <v>0</v>
      </c>
      <c r="AD252" s="109">
        <v>0</v>
      </c>
      <c r="AE252" s="109">
        <v>0</v>
      </c>
      <c r="AF252" s="109">
        <v>0</v>
      </c>
      <c r="AG252" s="109">
        <v>0</v>
      </c>
      <c r="AH252" s="109">
        <v>0</v>
      </c>
      <c r="AI252" s="109">
        <v>0</v>
      </c>
      <c r="AJ252" s="109">
        <v>0</v>
      </c>
      <c r="AK252" s="109">
        <v>0</v>
      </c>
      <c r="AL252" s="109">
        <v>0</v>
      </c>
      <c r="AM252" s="109">
        <v>0</v>
      </c>
      <c r="AN252" s="109">
        <v>0</v>
      </c>
      <c r="AO252" s="109">
        <v>0</v>
      </c>
      <c r="AP252" s="109">
        <v>0</v>
      </c>
      <c r="AQ252" s="109">
        <v>0</v>
      </c>
      <c r="AR252" s="109">
        <v>0</v>
      </c>
      <c r="AS252" s="109">
        <v>0</v>
      </c>
      <c r="AT252" s="109">
        <v>0</v>
      </c>
      <c r="AU252" s="109">
        <v>0</v>
      </c>
      <c r="AV252" s="109">
        <v>0</v>
      </c>
      <c r="AW252" s="109">
        <v>0</v>
      </c>
      <c r="AX252" s="109">
        <v>0</v>
      </c>
      <c r="AY252" s="109">
        <v>0</v>
      </c>
    </row>
    <row r="253" spans="1:51">
      <c r="A253" s="108"/>
      <c r="B253" s="129">
        <v>45</v>
      </c>
      <c r="C253" s="105"/>
      <c r="D253" s="109">
        <v>0</v>
      </c>
      <c r="E253" s="109">
        <v>0</v>
      </c>
      <c r="F253" s="109">
        <v>0</v>
      </c>
      <c r="G253" s="109">
        <v>0</v>
      </c>
      <c r="H253" s="109">
        <v>0</v>
      </c>
      <c r="I253" s="109">
        <v>0</v>
      </c>
      <c r="J253" s="109">
        <v>0</v>
      </c>
      <c r="K253" s="109">
        <v>0</v>
      </c>
      <c r="L253" s="109">
        <v>0</v>
      </c>
      <c r="M253" s="109">
        <v>0</v>
      </c>
      <c r="N253" s="109">
        <v>0</v>
      </c>
      <c r="O253" s="109">
        <v>0</v>
      </c>
      <c r="P253" s="109">
        <v>0</v>
      </c>
      <c r="Q253" s="109">
        <v>0</v>
      </c>
      <c r="R253" s="109">
        <v>0</v>
      </c>
      <c r="S253" s="109">
        <v>0</v>
      </c>
      <c r="T253" s="109">
        <v>0</v>
      </c>
      <c r="U253" s="109">
        <v>0</v>
      </c>
      <c r="V253" s="109">
        <v>0</v>
      </c>
      <c r="W253" s="109">
        <v>0</v>
      </c>
      <c r="X253" s="109">
        <v>0</v>
      </c>
      <c r="Y253" s="109">
        <v>0</v>
      </c>
      <c r="Z253" s="109">
        <v>0</v>
      </c>
      <c r="AA253" s="109">
        <v>0</v>
      </c>
      <c r="AB253" s="109">
        <v>0</v>
      </c>
      <c r="AC253" s="109">
        <v>0</v>
      </c>
      <c r="AD253" s="109">
        <v>0</v>
      </c>
      <c r="AE253" s="109">
        <v>0</v>
      </c>
      <c r="AF253" s="109">
        <v>0</v>
      </c>
      <c r="AG253" s="109">
        <v>0</v>
      </c>
      <c r="AH253" s="109">
        <v>0</v>
      </c>
      <c r="AI253" s="109">
        <v>0</v>
      </c>
      <c r="AJ253" s="109">
        <v>0</v>
      </c>
      <c r="AK253" s="109">
        <v>0</v>
      </c>
      <c r="AL253" s="109">
        <v>0</v>
      </c>
      <c r="AM253" s="109">
        <v>0</v>
      </c>
      <c r="AN253" s="109">
        <v>0</v>
      </c>
      <c r="AO253" s="109">
        <v>0</v>
      </c>
      <c r="AP253" s="109">
        <v>0</v>
      </c>
      <c r="AQ253" s="109">
        <v>0</v>
      </c>
      <c r="AR253" s="109">
        <v>0</v>
      </c>
      <c r="AS253" s="109">
        <v>0</v>
      </c>
      <c r="AT253" s="109">
        <v>0</v>
      </c>
      <c r="AU253" s="109">
        <v>0</v>
      </c>
      <c r="AV253" s="109">
        <v>0</v>
      </c>
      <c r="AW253" s="109">
        <v>0</v>
      </c>
      <c r="AX253" s="109">
        <v>0</v>
      </c>
      <c r="AY253" s="109">
        <v>0</v>
      </c>
    </row>
    <row r="254" spans="1:51">
      <c r="A254" s="108"/>
      <c r="B254" s="129">
        <v>46</v>
      </c>
      <c r="C254" s="105"/>
      <c r="D254" s="109">
        <v>0</v>
      </c>
      <c r="E254" s="109">
        <v>0</v>
      </c>
      <c r="F254" s="109">
        <v>0</v>
      </c>
      <c r="G254" s="109">
        <v>0</v>
      </c>
      <c r="H254" s="109">
        <v>0</v>
      </c>
      <c r="I254" s="109">
        <v>0</v>
      </c>
      <c r="J254" s="109">
        <v>0</v>
      </c>
      <c r="K254" s="109">
        <v>0</v>
      </c>
      <c r="L254" s="109">
        <v>0</v>
      </c>
      <c r="M254" s="109">
        <v>0</v>
      </c>
      <c r="N254" s="109">
        <v>0</v>
      </c>
      <c r="O254" s="109">
        <v>0</v>
      </c>
      <c r="P254" s="109">
        <v>0</v>
      </c>
      <c r="Q254" s="109">
        <v>0</v>
      </c>
      <c r="R254" s="109">
        <v>0</v>
      </c>
      <c r="S254" s="109">
        <v>0</v>
      </c>
      <c r="T254" s="109">
        <v>0</v>
      </c>
      <c r="U254" s="109">
        <v>0</v>
      </c>
      <c r="V254" s="109">
        <v>0</v>
      </c>
      <c r="W254" s="109">
        <v>0</v>
      </c>
      <c r="X254" s="109">
        <v>0</v>
      </c>
      <c r="Y254" s="109">
        <v>0</v>
      </c>
      <c r="Z254" s="109">
        <v>0</v>
      </c>
      <c r="AA254" s="109">
        <v>0</v>
      </c>
      <c r="AB254" s="109">
        <v>0</v>
      </c>
      <c r="AC254" s="109">
        <v>0</v>
      </c>
      <c r="AD254" s="109">
        <v>0</v>
      </c>
      <c r="AE254" s="109">
        <v>0</v>
      </c>
      <c r="AF254" s="109">
        <v>0</v>
      </c>
      <c r="AG254" s="109">
        <v>0</v>
      </c>
      <c r="AH254" s="109">
        <v>0</v>
      </c>
      <c r="AI254" s="109">
        <v>0</v>
      </c>
      <c r="AJ254" s="109">
        <v>0</v>
      </c>
      <c r="AK254" s="109">
        <v>0</v>
      </c>
      <c r="AL254" s="109">
        <v>0</v>
      </c>
      <c r="AM254" s="109">
        <v>0</v>
      </c>
      <c r="AN254" s="109">
        <v>0</v>
      </c>
      <c r="AO254" s="109">
        <v>0</v>
      </c>
      <c r="AP254" s="109">
        <v>0</v>
      </c>
      <c r="AQ254" s="109">
        <v>0</v>
      </c>
      <c r="AR254" s="109">
        <v>0</v>
      </c>
      <c r="AS254" s="109">
        <v>0</v>
      </c>
      <c r="AT254" s="109">
        <v>0</v>
      </c>
      <c r="AU254" s="109">
        <v>0</v>
      </c>
      <c r="AV254" s="109">
        <v>0</v>
      </c>
      <c r="AW254" s="109">
        <v>0</v>
      </c>
      <c r="AX254" s="109">
        <v>0</v>
      </c>
      <c r="AY254" s="109">
        <v>0</v>
      </c>
    </row>
    <row r="255" spans="1:51">
      <c r="A255" s="108"/>
      <c r="B255" s="129">
        <v>47</v>
      </c>
      <c r="C255" s="105"/>
      <c r="D255" s="109">
        <v>0</v>
      </c>
      <c r="E255" s="109">
        <v>0</v>
      </c>
      <c r="F255" s="109">
        <v>0</v>
      </c>
      <c r="G255" s="109">
        <v>0</v>
      </c>
      <c r="H255" s="109">
        <v>0</v>
      </c>
      <c r="I255" s="109">
        <v>0</v>
      </c>
      <c r="J255" s="109">
        <v>0</v>
      </c>
      <c r="K255" s="109">
        <v>0</v>
      </c>
      <c r="L255" s="109">
        <v>0</v>
      </c>
      <c r="M255" s="109">
        <v>0</v>
      </c>
      <c r="N255" s="109">
        <v>0</v>
      </c>
      <c r="O255" s="109">
        <v>0</v>
      </c>
      <c r="P255" s="109">
        <v>0</v>
      </c>
      <c r="Q255" s="109">
        <v>0</v>
      </c>
      <c r="R255" s="109">
        <v>0</v>
      </c>
      <c r="S255" s="109">
        <v>0</v>
      </c>
      <c r="T255" s="109">
        <v>0</v>
      </c>
      <c r="U255" s="109">
        <v>0</v>
      </c>
      <c r="V255" s="109">
        <v>0</v>
      </c>
      <c r="W255" s="109">
        <v>0</v>
      </c>
      <c r="X255" s="109">
        <v>0</v>
      </c>
      <c r="Y255" s="109">
        <v>0</v>
      </c>
      <c r="Z255" s="109">
        <v>0</v>
      </c>
      <c r="AA255" s="109">
        <v>0</v>
      </c>
      <c r="AB255" s="109">
        <v>0</v>
      </c>
      <c r="AC255" s="109">
        <v>0</v>
      </c>
      <c r="AD255" s="109">
        <v>0</v>
      </c>
      <c r="AE255" s="109">
        <v>0</v>
      </c>
      <c r="AF255" s="109">
        <v>0</v>
      </c>
      <c r="AG255" s="109">
        <v>0</v>
      </c>
      <c r="AH255" s="109">
        <v>0</v>
      </c>
      <c r="AI255" s="109">
        <v>0</v>
      </c>
      <c r="AJ255" s="109">
        <v>0</v>
      </c>
      <c r="AK255" s="109">
        <v>0</v>
      </c>
      <c r="AL255" s="109">
        <v>0</v>
      </c>
      <c r="AM255" s="109">
        <v>0</v>
      </c>
      <c r="AN255" s="109">
        <v>0</v>
      </c>
      <c r="AO255" s="109">
        <v>0</v>
      </c>
      <c r="AP255" s="109">
        <v>0</v>
      </c>
      <c r="AQ255" s="109">
        <v>0</v>
      </c>
      <c r="AR255" s="109">
        <v>0</v>
      </c>
      <c r="AS255" s="109">
        <v>0</v>
      </c>
      <c r="AT255" s="109">
        <v>0</v>
      </c>
      <c r="AU255" s="109">
        <v>0</v>
      </c>
      <c r="AV255" s="109">
        <v>0</v>
      </c>
      <c r="AW255" s="109">
        <v>0</v>
      </c>
      <c r="AX255" s="109">
        <v>0</v>
      </c>
      <c r="AY255" s="109">
        <v>0</v>
      </c>
    </row>
    <row r="256" spans="1:51">
      <c r="A256" s="127"/>
      <c r="B256" s="128">
        <v>48</v>
      </c>
      <c r="C256" s="113"/>
      <c r="D256" s="124">
        <v>0</v>
      </c>
      <c r="E256" s="124">
        <v>0</v>
      </c>
      <c r="F256" s="124">
        <v>0</v>
      </c>
      <c r="G256" s="124">
        <v>0</v>
      </c>
      <c r="H256" s="124">
        <v>0</v>
      </c>
      <c r="I256" s="124">
        <v>0</v>
      </c>
      <c r="J256" s="124">
        <v>0</v>
      </c>
      <c r="K256" s="124">
        <v>0</v>
      </c>
      <c r="L256" s="124">
        <v>0</v>
      </c>
      <c r="M256" s="124">
        <v>0</v>
      </c>
      <c r="N256" s="124">
        <v>0</v>
      </c>
      <c r="O256" s="124">
        <v>0</v>
      </c>
      <c r="P256" s="124">
        <v>0</v>
      </c>
      <c r="Q256" s="124">
        <v>0</v>
      </c>
      <c r="R256" s="124">
        <v>0</v>
      </c>
      <c r="S256" s="124">
        <v>0</v>
      </c>
      <c r="T256" s="124">
        <v>0</v>
      </c>
      <c r="U256" s="124">
        <v>0</v>
      </c>
      <c r="V256" s="124">
        <v>0</v>
      </c>
      <c r="W256" s="124">
        <v>0</v>
      </c>
      <c r="X256" s="124">
        <v>0</v>
      </c>
      <c r="Y256" s="124">
        <v>0</v>
      </c>
      <c r="Z256" s="124">
        <v>0</v>
      </c>
      <c r="AA256" s="124">
        <v>0</v>
      </c>
      <c r="AB256" s="124">
        <v>0</v>
      </c>
      <c r="AC256" s="124">
        <v>0</v>
      </c>
      <c r="AD256" s="124">
        <v>0</v>
      </c>
      <c r="AE256" s="124">
        <v>0</v>
      </c>
      <c r="AF256" s="124">
        <v>0</v>
      </c>
      <c r="AG256" s="124">
        <v>0</v>
      </c>
      <c r="AH256" s="124">
        <v>0</v>
      </c>
      <c r="AI256" s="124">
        <v>0</v>
      </c>
      <c r="AJ256" s="124">
        <v>0</v>
      </c>
      <c r="AK256" s="124">
        <v>0</v>
      </c>
      <c r="AL256" s="124">
        <v>0</v>
      </c>
      <c r="AM256" s="124">
        <v>0</v>
      </c>
      <c r="AN256" s="124">
        <v>0</v>
      </c>
      <c r="AO256" s="124">
        <v>0</v>
      </c>
      <c r="AP256" s="124">
        <v>0</v>
      </c>
      <c r="AQ256" s="124">
        <v>0</v>
      </c>
      <c r="AR256" s="124">
        <v>0</v>
      </c>
      <c r="AS256" s="124">
        <v>0</v>
      </c>
      <c r="AT256" s="124">
        <v>0</v>
      </c>
      <c r="AU256" s="124">
        <v>0</v>
      </c>
      <c r="AV256" s="124">
        <v>0</v>
      </c>
      <c r="AW256" s="124">
        <v>0</v>
      </c>
      <c r="AX256" s="124">
        <v>0</v>
      </c>
      <c r="AY256" s="124">
        <v>0</v>
      </c>
    </row>
    <row r="258" spans="1:52">
      <c r="A258" s="101" t="s">
        <v>300</v>
      </c>
    </row>
    <row r="259" spans="1:52">
      <c r="A259" s="136" t="s">
        <v>124</v>
      </c>
      <c r="B259" s="137">
        <v>650</v>
      </c>
      <c r="C259" s="123" t="s">
        <v>292</v>
      </c>
      <c r="D259" s="123">
        <f>E$14*$B$259</f>
        <v>0</v>
      </c>
      <c r="E259" s="123">
        <f t="shared" ref="E259:AX259" si="5">F$14*$B$259</f>
        <v>0</v>
      </c>
      <c r="F259" s="123">
        <f t="shared" si="5"/>
        <v>174778.33717615317</v>
      </c>
      <c r="G259" s="123">
        <f t="shared" si="5"/>
        <v>394984.36600157234</v>
      </c>
      <c r="H259" s="123">
        <f t="shared" si="5"/>
        <v>954534.70014207042</v>
      </c>
      <c r="I259" s="123">
        <f t="shared" si="5"/>
        <v>713683.03223101969</v>
      </c>
      <c r="J259" s="123">
        <f t="shared" si="5"/>
        <v>569970.2150632249</v>
      </c>
      <c r="K259" s="123">
        <f t="shared" si="5"/>
        <v>254378.61238305358</v>
      </c>
      <c r="L259" s="123">
        <f t="shared" si="5"/>
        <v>760470.92290660378</v>
      </c>
      <c r="M259" s="123">
        <f t="shared" si="5"/>
        <v>449745.0236925467</v>
      </c>
      <c r="N259" s="123">
        <f t="shared" si="5"/>
        <v>881721.94113655435</v>
      </c>
      <c r="O259" s="123">
        <f t="shared" si="5"/>
        <v>701436.79644744878</v>
      </c>
      <c r="P259" s="123">
        <f t="shared" si="5"/>
        <v>391424.76415134955</v>
      </c>
      <c r="Q259" s="123">
        <f t="shared" si="5"/>
        <v>439491.19416677055</v>
      </c>
      <c r="R259" s="123">
        <f t="shared" si="5"/>
        <v>979041.83979591646</v>
      </c>
      <c r="S259" s="123">
        <f t="shared" si="5"/>
        <v>719079.00591470907</v>
      </c>
      <c r="T259" s="123">
        <f t="shared" si="5"/>
        <v>439229.60282198642</v>
      </c>
      <c r="U259" s="123">
        <f t="shared" si="5"/>
        <v>589597.15423459583</v>
      </c>
      <c r="V259" s="123">
        <f t="shared" si="5"/>
        <v>429918.45135546941</v>
      </c>
      <c r="W259" s="123">
        <f t="shared" si="5"/>
        <v>842010.03026560636</v>
      </c>
      <c r="X259" s="123">
        <f t="shared" si="5"/>
        <v>324006.10533614317</v>
      </c>
      <c r="Y259" s="123">
        <f t="shared" si="5"/>
        <v>622480.4168079996</v>
      </c>
      <c r="Z259" s="123">
        <f t="shared" si="5"/>
        <v>910134.60727545014</v>
      </c>
      <c r="AA259" s="123">
        <f t="shared" si="5"/>
        <v>400538.90831334557</v>
      </c>
      <c r="AB259" s="123">
        <f t="shared" si="5"/>
        <v>542359.80408662872</v>
      </c>
      <c r="AC259" s="123">
        <f t="shared" si="5"/>
        <v>579219.60260018357</v>
      </c>
      <c r="AD259" s="123">
        <f t="shared" si="5"/>
        <v>573830.59620366769</v>
      </c>
      <c r="AE259" s="123">
        <f t="shared" si="5"/>
        <v>770984.59548497444</v>
      </c>
      <c r="AF259" s="123">
        <f t="shared" si="5"/>
        <v>713830.42763001483</v>
      </c>
      <c r="AG259" s="123">
        <f t="shared" si="5"/>
        <v>503601.54609521263</v>
      </c>
      <c r="AH259" s="123">
        <f t="shared" si="5"/>
        <v>605675.80764098722</v>
      </c>
      <c r="AI259" s="123">
        <f t="shared" si="5"/>
        <v>635172.12757661287</v>
      </c>
      <c r="AJ259" s="123">
        <f t="shared" si="5"/>
        <v>949755.07997745904</v>
      </c>
      <c r="AK259" s="123">
        <f t="shared" si="5"/>
        <v>718359.65367874352</v>
      </c>
      <c r="AL259" s="123">
        <f t="shared" si="5"/>
        <v>306307.66778024932</v>
      </c>
      <c r="AM259" s="123">
        <f t="shared" si="5"/>
        <v>610049.79959444015</v>
      </c>
      <c r="AN259" s="123">
        <f t="shared" si="5"/>
        <v>542493.66414314962</v>
      </c>
      <c r="AO259" s="123">
        <f t="shared" si="5"/>
        <v>716847.15084489051</v>
      </c>
      <c r="AP259" s="123">
        <f t="shared" si="5"/>
        <v>406800.80840273364</v>
      </c>
      <c r="AQ259" s="123">
        <f t="shared" si="5"/>
        <v>414575.24034204707</v>
      </c>
      <c r="AR259" s="123">
        <f t="shared" si="5"/>
        <v>603625.25568538508</v>
      </c>
      <c r="AS259" s="123">
        <f t="shared" si="5"/>
        <v>568144.09170796466</v>
      </c>
      <c r="AT259" s="123">
        <f t="shared" si="5"/>
        <v>407395.06313804141</v>
      </c>
      <c r="AU259" s="123">
        <f t="shared" si="5"/>
        <v>186623.71932868374</v>
      </c>
      <c r="AV259" s="123">
        <f t="shared" si="5"/>
        <v>271646.8457410332</v>
      </c>
      <c r="AW259" s="123">
        <f t="shared" si="5"/>
        <v>509317.98139235796</v>
      </c>
      <c r="AX259" s="123">
        <f t="shared" si="5"/>
        <v>817639.9695814997</v>
      </c>
      <c r="AY259" s="123">
        <f>AZ$14*$B$259</f>
        <v>872877.19900435035</v>
      </c>
      <c r="AZ259" s="138">
        <f>SUM($D259:$AY259)</f>
        <v>26769789.725280903</v>
      </c>
    </row>
    <row r="260" spans="1:52">
      <c r="A260" s="139" t="s">
        <v>301</v>
      </c>
      <c r="B260" s="113">
        <v>60</v>
      </c>
      <c r="C260" s="124" t="s">
        <v>292</v>
      </c>
      <c r="D260" s="124">
        <f>(D$175-D$176+D$177-D$178+D$179-D$180+D$181-D$182)*$B$260</f>
        <v>9420.6840000000047</v>
      </c>
      <c r="E260" s="124">
        <f t="shared" ref="E260:AY260" si="6">(E$175-E$176+E$177-E$178+E$179-E$180+E$181-E$182)*$B$260</f>
        <v>19261.368000000009</v>
      </c>
      <c r="F260" s="124">
        <f t="shared" si="6"/>
        <v>28774.359910715502</v>
      </c>
      <c r="G260" s="124">
        <f t="shared" si="6"/>
        <v>71144.396929999901</v>
      </c>
      <c r="H260" s="124">
        <f t="shared" si="6"/>
        <v>197099.62527881929</v>
      </c>
      <c r="I260" s="124">
        <f t="shared" si="6"/>
        <v>301678.88020454708</v>
      </c>
      <c r="J260" s="124">
        <f t="shared" si="6"/>
        <v>388741.42608474352</v>
      </c>
      <c r="K260" s="124">
        <f t="shared" si="6"/>
        <v>421533.73443983623</v>
      </c>
      <c r="L260" s="124">
        <f t="shared" si="6"/>
        <v>508331.50429888337</v>
      </c>
      <c r="M260" s="124">
        <f t="shared" si="6"/>
        <v>573158.25888484996</v>
      </c>
      <c r="N260" s="124">
        <f t="shared" si="6"/>
        <v>679124.24529746582</v>
      </c>
      <c r="O260" s="124">
        <f t="shared" si="6"/>
        <v>771362.01433347561</v>
      </c>
      <c r="P260" s="124">
        <f t="shared" si="6"/>
        <v>826177.43322900217</v>
      </c>
      <c r="Q260" s="124">
        <f t="shared" si="6"/>
        <v>869256.69136920944</v>
      </c>
      <c r="R260" s="124">
        <f t="shared" si="6"/>
        <v>974053.16033762367</v>
      </c>
      <c r="S260" s="124">
        <f t="shared" si="6"/>
        <v>1054118.2519347426</v>
      </c>
      <c r="T260" s="124">
        <f t="shared" si="6"/>
        <v>1080796.2409436936</v>
      </c>
      <c r="U260" s="124">
        <f t="shared" si="6"/>
        <v>1114171.9415906139</v>
      </c>
      <c r="V260" s="124">
        <f t="shared" si="6"/>
        <v>1116337.9058252326</v>
      </c>
      <c r="W260" s="124">
        <f t="shared" si="6"/>
        <v>1142160.2651551992</v>
      </c>
      <c r="X260" s="124">
        <f t="shared" si="6"/>
        <v>1135766.8579806527</v>
      </c>
      <c r="Y260" s="124">
        <f t="shared" si="6"/>
        <v>1114926.1708777489</v>
      </c>
      <c r="Z260" s="124">
        <f t="shared" si="6"/>
        <v>1168311.0495180457</v>
      </c>
      <c r="AA260" s="124">
        <f t="shared" si="6"/>
        <v>1134641.3065199014</v>
      </c>
      <c r="AB260" s="124">
        <f t="shared" si="6"/>
        <v>1121419.5553460722</v>
      </c>
      <c r="AC260" s="124">
        <f t="shared" si="6"/>
        <v>1137511.2361312422</v>
      </c>
      <c r="AD260" s="124">
        <f t="shared" si="6"/>
        <v>1141976.6999889624</v>
      </c>
      <c r="AE260" s="124">
        <f t="shared" si="6"/>
        <v>1123721.2114183463</v>
      </c>
      <c r="AF260" s="124">
        <f t="shared" si="6"/>
        <v>1136497.1141724207</v>
      </c>
      <c r="AG260" s="124">
        <f t="shared" si="6"/>
        <v>1143035.2430901162</v>
      </c>
      <c r="AH260" s="124">
        <f t="shared" si="6"/>
        <v>1138336.5434546357</v>
      </c>
      <c r="AI260" s="124">
        <f t="shared" si="6"/>
        <v>1155796.3960674887</v>
      </c>
      <c r="AJ260" s="124">
        <f t="shared" si="6"/>
        <v>1169798.3194886774</v>
      </c>
      <c r="AK260" s="124">
        <f t="shared" si="6"/>
        <v>1225557.4080140844</v>
      </c>
      <c r="AL260" s="124">
        <f t="shared" si="6"/>
        <v>1184824.4257512989</v>
      </c>
      <c r="AM260" s="124">
        <f t="shared" si="6"/>
        <v>1139842.0318103477</v>
      </c>
      <c r="AN260" s="124">
        <f t="shared" si="6"/>
        <v>1147024.7702847777</v>
      </c>
      <c r="AO260" s="124">
        <f t="shared" si="6"/>
        <v>1168353.9043728083</v>
      </c>
      <c r="AP260" s="124">
        <f t="shared" si="6"/>
        <v>1149077.9252966826</v>
      </c>
      <c r="AQ260" s="124">
        <f t="shared" si="6"/>
        <v>1111290.9762479221</v>
      </c>
      <c r="AR260" s="124">
        <f t="shared" si="6"/>
        <v>1085040.661074925</v>
      </c>
      <c r="AS260" s="124">
        <f t="shared" si="6"/>
        <v>1078564.0660501351</v>
      </c>
      <c r="AT260" s="124">
        <f t="shared" si="6"/>
        <v>1064607.2235554927</v>
      </c>
      <c r="AU260" s="124">
        <f t="shared" si="6"/>
        <v>1021658.9046860139</v>
      </c>
      <c r="AV260" s="124">
        <f t="shared" si="6"/>
        <v>950370.39497934037</v>
      </c>
      <c r="AW260" s="124">
        <f t="shared" si="6"/>
        <v>898229.45942899107</v>
      </c>
      <c r="AX260" s="124">
        <f t="shared" si="6"/>
        <v>917660.9178593125</v>
      </c>
      <c r="AY260" s="124">
        <f t="shared" si="6"/>
        <v>976095.59847413423</v>
      </c>
      <c r="AZ260" s="140">
        <f>SUM($D260:$AY260)</f>
        <v>43086638.759989224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baseColWidth="10" defaultColWidth="8.83203125" defaultRowHeight="12" x14ac:dyDescent="0"/>
  <cols>
    <col min="1" max="1" width="14.6640625" style="99" customWidth="1"/>
    <col min="2" max="2" width="12.6640625" style="99" customWidth="1"/>
    <col min="3" max="16384" width="8.83203125" style="99"/>
  </cols>
  <sheetData>
    <row r="1" spans="1:54">
      <c r="A1" s="101" t="s">
        <v>283</v>
      </c>
    </row>
    <row r="2" spans="1:54">
      <c r="A2" s="99" t="s">
        <v>284</v>
      </c>
      <c r="B2" s="106" t="s">
        <v>59</v>
      </c>
    </row>
    <row r="3" spans="1:54">
      <c r="A3" s="99" t="s">
        <v>285</v>
      </c>
      <c r="B3" s="107">
        <v>51000</v>
      </c>
      <c r="C3" s="108"/>
    </row>
    <row r="4" spans="1:54">
      <c r="B4" s="109"/>
      <c r="C4" s="109"/>
    </row>
    <row r="5" spans="1:54">
      <c r="C5" s="110" t="s">
        <v>286</v>
      </c>
    </row>
    <row r="6" spans="1:54">
      <c r="C6" s="111">
        <v>0</v>
      </c>
      <c r="D6" s="111">
        <v>1</v>
      </c>
      <c r="E6" s="111">
        <v>2</v>
      </c>
      <c r="F6" s="111">
        <v>3</v>
      </c>
      <c r="G6" s="111">
        <v>4</v>
      </c>
      <c r="H6" s="111">
        <v>5</v>
      </c>
      <c r="I6" s="111">
        <v>6</v>
      </c>
      <c r="J6" s="111">
        <v>7</v>
      </c>
      <c r="K6" s="111">
        <v>8</v>
      </c>
      <c r="L6" s="111">
        <v>9</v>
      </c>
      <c r="M6" s="111">
        <v>10</v>
      </c>
      <c r="N6" s="111">
        <v>11</v>
      </c>
      <c r="O6" s="111">
        <v>12</v>
      </c>
      <c r="P6" s="111">
        <v>13</v>
      </c>
      <c r="Q6" s="111">
        <v>14</v>
      </c>
      <c r="R6" s="111">
        <v>15</v>
      </c>
      <c r="S6" s="111">
        <v>16</v>
      </c>
      <c r="T6" s="111">
        <v>17</v>
      </c>
      <c r="U6" s="111">
        <v>18</v>
      </c>
      <c r="V6" s="111">
        <v>19</v>
      </c>
      <c r="W6" s="111">
        <v>20</v>
      </c>
      <c r="X6" s="111">
        <v>21</v>
      </c>
      <c r="Y6" s="111">
        <v>22</v>
      </c>
      <c r="Z6" s="111">
        <v>23</v>
      </c>
      <c r="AA6" s="111">
        <v>24</v>
      </c>
      <c r="AB6" s="111">
        <v>25</v>
      </c>
      <c r="AC6" s="111">
        <v>26</v>
      </c>
      <c r="AD6" s="111">
        <v>27</v>
      </c>
      <c r="AE6" s="111">
        <v>28</v>
      </c>
      <c r="AF6" s="111">
        <v>29</v>
      </c>
      <c r="AG6" s="111">
        <v>30</v>
      </c>
      <c r="AH6" s="111">
        <v>31</v>
      </c>
      <c r="AI6" s="111">
        <v>32</v>
      </c>
      <c r="AJ6" s="111">
        <v>33</v>
      </c>
      <c r="AK6" s="111">
        <v>34</v>
      </c>
      <c r="AL6" s="111">
        <v>35</v>
      </c>
      <c r="AM6" s="111">
        <v>36</v>
      </c>
      <c r="AN6" s="111">
        <v>37</v>
      </c>
      <c r="AO6" s="111">
        <v>38</v>
      </c>
      <c r="AP6" s="111">
        <v>39</v>
      </c>
      <c r="AQ6" s="111">
        <v>40</v>
      </c>
      <c r="AR6" s="111">
        <v>41</v>
      </c>
      <c r="AS6" s="111">
        <v>42</v>
      </c>
      <c r="AT6" s="111">
        <v>43</v>
      </c>
      <c r="AU6" s="111">
        <v>44</v>
      </c>
      <c r="AV6" s="111">
        <v>45</v>
      </c>
      <c r="AW6" s="111">
        <v>46</v>
      </c>
      <c r="AX6" s="111">
        <v>47</v>
      </c>
      <c r="AY6" s="111">
        <v>48</v>
      </c>
    </row>
    <row r="7" spans="1:54">
      <c r="B7" s="109"/>
      <c r="C7" s="112" t="s">
        <v>287</v>
      </c>
      <c r="D7" s="111" t="s">
        <v>288</v>
      </c>
      <c r="E7" s="111" t="s">
        <v>288</v>
      </c>
      <c r="F7" s="111" t="s">
        <v>288</v>
      </c>
      <c r="G7" s="111" t="s">
        <v>288</v>
      </c>
      <c r="H7" s="111" t="s">
        <v>288</v>
      </c>
      <c r="I7" s="111" t="s">
        <v>288</v>
      </c>
      <c r="J7" s="111" t="s">
        <v>288</v>
      </c>
      <c r="K7" s="111" t="s">
        <v>288</v>
      </c>
      <c r="L7" s="111" t="s">
        <v>288</v>
      </c>
      <c r="M7" s="111" t="s">
        <v>288</v>
      </c>
      <c r="N7" s="111" t="s">
        <v>288</v>
      </c>
      <c r="O7" s="111" t="s">
        <v>288</v>
      </c>
      <c r="P7" s="111" t="s">
        <v>288</v>
      </c>
      <c r="Q7" s="111" t="s">
        <v>288</v>
      </c>
      <c r="R7" s="111" t="s">
        <v>288</v>
      </c>
      <c r="S7" s="111" t="s">
        <v>288</v>
      </c>
      <c r="T7" s="111" t="s">
        <v>288</v>
      </c>
      <c r="U7" s="111" t="s">
        <v>288</v>
      </c>
      <c r="V7" s="111" t="s">
        <v>288</v>
      </c>
      <c r="W7" s="111" t="s">
        <v>288</v>
      </c>
      <c r="X7" s="111" t="s">
        <v>288</v>
      </c>
      <c r="Y7" s="111" t="s">
        <v>288</v>
      </c>
      <c r="Z7" s="111" t="s">
        <v>288</v>
      </c>
      <c r="AA7" s="111" t="s">
        <v>288</v>
      </c>
      <c r="AB7" s="111" t="s">
        <v>288</v>
      </c>
      <c r="AC7" s="111" t="s">
        <v>288</v>
      </c>
      <c r="AD7" s="111" t="s">
        <v>288</v>
      </c>
      <c r="AE7" s="111" t="s">
        <v>288</v>
      </c>
      <c r="AF7" s="111" t="s">
        <v>288</v>
      </c>
      <c r="AG7" s="111" t="s">
        <v>288</v>
      </c>
      <c r="AH7" s="111" t="s">
        <v>288</v>
      </c>
      <c r="AI7" s="111" t="s">
        <v>288</v>
      </c>
      <c r="AJ7" s="111" t="s">
        <v>288</v>
      </c>
      <c r="AK7" s="111" t="s">
        <v>288</v>
      </c>
      <c r="AL7" s="111" t="s">
        <v>288</v>
      </c>
      <c r="AM7" s="111" t="s">
        <v>288</v>
      </c>
      <c r="AN7" s="111" t="s">
        <v>288</v>
      </c>
      <c r="AO7" s="111" t="s">
        <v>288</v>
      </c>
      <c r="AP7" s="111" t="s">
        <v>288</v>
      </c>
      <c r="AQ7" s="111" t="s">
        <v>288</v>
      </c>
      <c r="AR7" s="111" t="s">
        <v>288</v>
      </c>
      <c r="AS7" s="111" t="s">
        <v>288</v>
      </c>
      <c r="AT7" s="111" t="s">
        <v>288</v>
      </c>
      <c r="AU7" s="111" t="s">
        <v>288</v>
      </c>
      <c r="AV7" s="111" t="s">
        <v>288</v>
      </c>
      <c r="AW7" s="111" t="s">
        <v>288</v>
      </c>
      <c r="AX7" s="111" t="s">
        <v>288</v>
      </c>
      <c r="AY7" s="110" t="s">
        <v>289</v>
      </c>
      <c r="AZ7" s="110" t="s">
        <v>290</v>
      </c>
    </row>
    <row r="8" spans="1:54">
      <c r="A8" s="101" t="s">
        <v>291</v>
      </c>
      <c r="B8" s="113"/>
      <c r="AY8" s="109"/>
    </row>
    <row r="9" spans="1:54">
      <c r="A9" s="114" t="s">
        <v>125</v>
      </c>
      <c r="B9" s="115">
        <v>1</v>
      </c>
      <c r="C9" s="116" t="s">
        <v>292</v>
      </c>
      <c r="D9" s="116">
        <v>468.999235</v>
      </c>
      <c r="E9" s="116">
        <v>468.999235</v>
      </c>
      <c r="F9" s="116">
        <v>468.999235</v>
      </c>
      <c r="G9" s="116">
        <v>468.999235</v>
      </c>
      <c r="H9" s="116">
        <v>468.999235</v>
      </c>
      <c r="I9" s="116">
        <v>468.999235</v>
      </c>
      <c r="J9" s="116">
        <v>468.999235</v>
      </c>
      <c r="K9" s="116">
        <v>468.999235</v>
      </c>
      <c r="L9" s="116">
        <v>468.99914999999999</v>
      </c>
      <c r="M9" s="116">
        <v>468.99914999999999</v>
      </c>
      <c r="N9" s="116">
        <v>468.99914999999999</v>
      </c>
      <c r="O9" s="116">
        <v>468.99914999999999</v>
      </c>
      <c r="P9" s="116">
        <v>452.999235</v>
      </c>
      <c r="Q9" s="116">
        <v>452.999235</v>
      </c>
      <c r="R9" s="116">
        <v>452.999235</v>
      </c>
      <c r="S9" s="116">
        <v>452.999235</v>
      </c>
      <c r="T9" s="116">
        <v>452.999235</v>
      </c>
      <c r="U9" s="116">
        <v>452.999235</v>
      </c>
      <c r="V9" s="116">
        <v>452.999235</v>
      </c>
      <c r="W9" s="116">
        <v>452.999235</v>
      </c>
      <c r="X9" s="116">
        <v>484.99906499999997</v>
      </c>
      <c r="Y9" s="116">
        <v>484.99906499999997</v>
      </c>
      <c r="Z9" s="116">
        <v>484.99906499999997</v>
      </c>
      <c r="AA9" s="116">
        <v>484.99906499999997</v>
      </c>
      <c r="AB9" s="116">
        <v>484.99914999999999</v>
      </c>
      <c r="AC9" s="116">
        <v>484.99914999999999</v>
      </c>
      <c r="AD9" s="116">
        <v>484.99914999999999</v>
      </c>
      <c r="AE9" s="116">
        <v>484.99914999999999</v>
      </c>
      <c r="AF9" s="116">
        <v>468.99914999999999</v>
      </c>
      <c r="AG9" s="116">
        <v>468.99914999999999</v>
      </c>
      <c r="AH9" s="116">
        <v>468.99914999999999</v>
      </c>
      <c r="AI9" s="116">
        <v>468.99914999999999</v>
      </c>
      <c r="AJ9" s="116">
        <v>484.99914999999999</v>
      </c>
      <c r="AK9" s="116">
        <v>484.99914999999999</v>
      </c>
      <c r="AL9" s="116">
        <v>484.99914999999999</v>
      </c>
      <c r="AM9" s="116">
        <v>484.99914999999999</v>
      </c>
      <c r="AN9" s="116">
        <v>500.99906499999997</v>
      </c>
      <c r="AO9" s="116">
        <v>500.99906499999997</v>
      </c>
      <c r="AP9" s="116">
        <v>500.99906499999997</v>
      </c>
      <c r="AQ9" s="116">
        <v>500.99906499999997</v>
      </c>
      <c r="AR9" s="116">
        <v>468.99914999999999</v>
      </c>
      <c r="AS9" s="116">
        <v>468.99914999999999</v>
      </c>
      <c r="AT9" s="116">
        <v>468.99914999999999</v>
      </c>
      <c r="AU9" s="116">
        <v>468.99914999999999</v>
      </c>
      <c r="AV9" s="116">
        <v>484.99914999999999</v>
      </c>
      <c r="AW9" s="116">
        <v>484.99914999999999</v>
      </c>
      <c r="AX9" s="116">
        <v>484.99914999999999</v>
      </c>
      <c r="AY9" s="116">
        <v>484.99914999999999</v>
      </c>
    </row>
    <row r="10" spans="1:54">
      <c r="A10" s="117" t="s">
        <v>133</v>
      </c>
      <c r="B10" s="118">
        <v>1</v>
      </c>
      <c r="C10" s="105" t="s">
        <v>292</v>
      </c>
      <c r="E10" s="99">
        <v>0</v>
      </c>
      <c r="F10" s="99">
        <v>946.62952646239398</v>
      </c>
      <c r="G10" s="99">
        <v>0</v>
      </c>
      <c r="H10" s="99">
        <v>907.18662952646093</v>
      </c>
      <c r="I10" s="99">
        <v>1609.2953138400001</v>
      </c>
      <c r="J10" s="99">
        <v>1609.2953138400001</v>
      </c>
      <c r="K10" s="99">
        <v>0</v>
      </c>
      <c r="L10" s="99">
        <v>1609.2953138400001</v>
      </c>
      <c r="M10" s="99">
        <v>1609.2953138400001</v>
      </c>
      <c r="N10" s="99">
        <v>1480.6724543450098</v>
      </c>
      <c r="O10" s="99">
        <v>1609.2953138400001</v>
      </c>
      <c r="P10" s="99">
        <v>1609.2953138400001</v>
      </c>
      <c r="Q10" s="99">
        <v>1609.2953138400001</v>
      </c>
      <c r="R10" s="99">
        <v>1609.2953138400001</v>
      </c>
      <c r="S10" s="99">
        <v>0</v>
      </c>
      <c r="T10" s="99">
        <v>946.62952646239398</v>
      </c>
      <c r="U10" s="99">
        <v>1609.2953138400001</v>
      </c>
      <c r="V10" s="99">
        <v>1609.2953138400001</v>
      </c>
      <c r="W10" s="99">
        <v>1609.2953138400001</v>
      </c>
      <c r="X10" s="99">
        <v>946.62952646239398</v>
      </c>
      <c r="Y10" s="99">
        <v>0</v>
      </c>
      <c r="Z10" s="99">
        <v>1609.2953138400001</v>
      </c>
      <c r="AA10" s="99">
        <v>1609.2953138400001</v>
      </c>
      <c r="AB10" s="99">
        <v>1609.2953138400001</v>
      </c>
      <c r="AC10" s="99">
        <v>1609.2953138400001</v>
      </c>
      <c r="AD10" s="99">
        <v>1609.2953138400001</v>
      </c>
      <c r="AE10" s="99">
        <v>1609.2953138400001</v>
      </c>
      <c r="AF10" s="99">
        <v>1609.2953138400001</v>
      </c>
      <c r="AG10" s="99">
        <v>1609.2953138400001</v>
      </c>
      <c r="AH10" s="99">
        <v>946.62952646239398</v>
      </c>
      <c r="AI10" s="99">
        <v>0</v>
      </c>
      <c r="AJ10" s="99">
        <v>1609.3075999999999</v>
      </c>
      <c r="AK10" s="99">
        <v>0</v>
      </c>
      <c r="AL10" s="99">
        <v>946.62952646239398</v>
      </c>
      <c r="AM10" s="99">
        <v>0</v>
      </c>
      <c r="AN10" s="99">
        <v>946.62952646239398</v>
      </c>
      <c r="AO10" s="99">
        <v>0</v>
      </c>
      <c r="AP10" s="99">
        <v>926.90807799442746</v>
      </c>
      <c r="AQ10" s="99">
        <v>1482.1881444588562</v>
      </c>
      <c r="AR10" s="99">
        <v>1544.906078256</v>
      </c>
      <c r="AS10" s="99">
        <v>0</v>
      </c>
      <c r="AT10" s="99">
        <v>0</v>
      </c>
      <c r="AU10" s="99">
        <v>0</v>
      </c>
      <c r="AV10" s="99">
        <v>1609.3076000000001</v>
      </c>
      <c r="AW10" s="99">
        <v>1609.2953138400001</v>
      </c>
      <c r="AX10" s="99">
        <v>946.62952646239421</v>
      </c>
      <c r="AY10" s="99">
        <v>0</v>
      </c>
      <c r="AZ10" s="99">
        <v>946.62952646239421</v>
      </c>
    </row>
    <row r="11" spans="1:54">
      <c r="B11" s="118">
        <v>2</v>
      </c>
      <c r="C11" s="105" t="s">
        <v>292</v>
      </c>
      <c r="F11" s="99">
        <v>0</v>
      </c>
      <c r="G11" s="99">
        <v>662.66578737760608</v>
      </c>
      <c r="H11" s="99">
        <v>1609.2953138400001</v>
      </c>
      <c r="I11" s="99">
        <v>539.50483747970668</v>
      </c>
      <c r="J11" s="99">
        <v>0</v>
      </c>
      <c r="L11" s="99">
        <v>1609.2953138400001</v>
      </c>
      <c r="M11" s="99">
        <v>0</v>
      </c>
      <c r="O11" s="99">
        <v>0</v>
      </c>
      <c r="P11" s="99">
        <v>0</v>
      </c>
      <c r="Q11" s="99">
        <v>0</v>
      </c>
      <c r="S11" s="99">
        <v>0</v>
      </c>
      <c r="T11" s="99">
        <v>1609.2953138400001</v>
      </c>
      <c r="U11" s="99">
        <v>662.66578737760608</v>
      </c>
      <c r="W11" s="99">
        <v>0</v>
      </c>
      <c r="Y11" s="99">
        <v>662.66578737760608</v>
      </c>
      <c r="Z11" s="99">
        <v>1609.2953138400001</v>
      </c>
      <c r="AA11" s="99">
        <v>0</v>
      </c>
      <c r="AB11" s="99">
        <v>0</v>
      </c>
      <c r="AD11" s="99">
        <v>0</v>
      </c>
      <c r="AE11" s="99">
        <v>0</v>
      </c>
      <c r="AG11" s="99">
        <v>0</v>
      </c>
      <c r="AH11" s="99">
        <v>0</v>
      </c>
      <c r="AI11" s="99">
        <v>662.67807353760588</v>
      </c>
      <c r="AJ11" s="99">
        <v>1609.3075999999999</v>
      </c>
      <c r="AK11" s="99">
        <v>0</v>
      </c>
      <c r="AL11" s="99">
        <v>1609.3075999999999</v>
      </c>
      <c r="AM11" s="99">
        <v>662.67807353760588</v>
      </c>
      <c r="AN11" s="99">
        <v>0</v>
      </c>
      <c r="AO11" s="99">
        <v>0</v>
      </c>
      <c r="AP11" s="99">
        <v>1609.3075999999999</v>
      </c>
      <c r="AQ11" s="99">
        <v>554.33257804504865</v>
      </c>
      <c r="AR11" s="99">
        <v>0</v>
      </c>
      <c r="AS11" s="99">
        <v>0</v>
      </c>
      <c r="AU11" s="99">
        <v>0</v>
      </c>
      <c r="AW11" s="99">
        <v>0</v>
      </c>
      <c r="AX11" s="99">
        <v>0</v>
      </c>
      <c r="AY11" s="99">
        <v>630.51472716160595</v>
      </c>
      <c r="AZ11" s="99">
        <v>1577.1442536240002</v>
      </c>
      <c r="BA11" s="99">
        <v>0</v>
      </c>
    </row>
    <row r="12" spans="1:54">
      <c r="B12" s="119">
        <v>3</v>
      </c>
      <c r="C12" s="105" t="s">
        <v>292</v>
      </c>
      <c r="G12" s="99">
        <v>0</v>
      </c>
      <c r="K12" s="99">
        <v>0</v>
      </c>
      <c r="L12" s="99">
        <v>0</v>
      </c>
      <c r="O12" s="99">
        <v>0</v>
      </c>
      <c r="U12" s="99">
        <v>0</v>
      </c>
      <c r="V12" s="99">
        <v>0</v>
      </c>
      <c r="W12" s="99">
        <v>0</v>
      </c>
      <c r="Y12" s="99">
        <v>0</v>
      </c>
      <c r="AA12" s="99">
        <v>0</v>
      </c>
      <c r="AG12" s="99">
        <v>0</v>
      </c>
      <c r="AM12" s="99">
        <v>0</v>
      </c>
      <c r="AO12" s="99">
        <v>0</v>
      </c>
      <c r="AP12" s="99">
        <v>662.67807353760588</v>
      </c>
      <c r="AQ12" s="99">
        <v>0</v>
      </c>
      <c r="AR12" s="99">
        <v>0</v>
      </c>
      <c r="AU12" s="99">
        <v>0</v>
      </c>
      <c r="AV12" s="99">
        <v>0</v>
      </c>
      <c r="AW12" s="99">
        <v>0</v>
      </c>
      <c r="AY12" s="99">
        <v>0</v>
      </c>
      <c r="BB12" s="99">
        <v>630.51472716160595</v>
      </c>
    </row>
    <row r="13" spans="1:54">
      <c r="B13" s="119">
        <v>4</v>
      </c>
      <c r="C13" s="105" t="s">
        <v>292</v>
      </c>
      <c r="Q13" s="99">
        <v>0</v>
      </c>
      <c r="T13" s="99">
        <v>0</v>
      </c>
      <c r="AE13" s="99">
        <v>0</v>
      </c>
      <c r="AH13" s="99">
        <v>0</v>
      </c>
      <c r="AY13" s="99">
        <v>0</v>
      </c>
      <c r="BB13" s="99">
        <v>0</v>
      </c>
    </row>
    <row r="14" spans="1:54">
      <c r="A14" s="114" t="s">
        <v>134</v>
      </c>
      <c r="B14" s="120">
        <v>1</v>
      </c>
      <c r="C14" s="116" t="s">
        <v>292</v>
      </c>
      <c r="D14" s="116"/>
      <c r="E14" s="116">
        <f t="shared" ref="E14:AZ14" si="0">D$172*SUM(D$122:D$169)</f>
        <v>0</v>
      </c>
      <c r="F14" s="116">
        <f t="shared" si="0"/>
        <v>0</v>
      </c>
      <c r="G14" s="116">
        <f t="shared" si="0"/>
        <v>336.74508300835635</v>
      </c>
      <c r="H14" s="116">
        <f t="shared" si="0"/>
        <v>235.73049365065856</v>
      </c>
      <c r="I14" s="116">
        <f t="shared" si="0"/>
        <v>895.18961454202304</v>
      </c>
      <c r="J14" s="116">
        <f t="shared" si="0"/>
        <v>851.52591019512874</v>
      </c>
      <c r="K14" s="116">
        <f t="shared" si="0"/>
        <v>713.80093210956056</v>
      </c>
      <c r="L14" s="116">
        <f t="shared" si="0"/>
        <v>96.920643907501045</v>
      </c>
      <c r="M14" s="116">
        <f t="shared" si="0"/>
        <v>1144.9511533180298</v>
      </c>
      <c r="N14" s="116">
        <f t="shared" si="0"/>
        <v>822.65012979135668</v>
      </c>
      <c r="O14" s="116">
        <f t="shared" si="0"/>
        <v>654.78370075272983</v>
      </c>
      <c r="P14" s="116">
        <f t="shared" si="0"/>
        <v>629.50187029997642</v>
      </c>
      <c r="Q14" s="116">
        <f t="shared" si="0"/>
        <v>617.38066040444539</v>
      </c>
      <c r="R14" s="116">
        <f t="shared" si="0"/>
        <v>642.8818811110101</v>
      </c>
      <c r="S14" s="116">
        <f t="shared" si="0"/>
        <v>652.34257863651624</v>
      </c>
      <c r="T14" s="116">
        <f t="shared" si="0"/>
        <v>101.29897501394841</v>
      </c>
      <c r="U14" s="116">
        <f t="shared" si="0"/>
        <v>909.22065966737125</v>
      </c>
      <c r="V14" s="116">
        <f t="shared" si="0"/>
        <v>976.72022092767713</v>
      </c>
      <c r="W14" s="116">
        <f t="shared" si="0"/>
        <v>752.86257799471525</v>
      </c>
      <c r="X14" s="116">
        <f t="shared" si="0"/>
        <v>661.32053066921719</v>
      </c>
      <c r="Y14" s="116">
        <f t="shared" si="0"/>
        <v>421.78307867460603</v>
      </c>
      <c r="Z14" s="116">
        <f t="shared" si="0"/>
        <v>244.72492980669895</v>
      </c>
      <c r="AA14" s="116">
        <f t="shared" si="0"/>
        <v>1144.9511533180298</v>
      </c>
      <c r="AB14" s="116">
        <f t="shared" si="0"/>
        <v>818.55488979135669</v>
      </c>
      <c r="AC14" s="116">
        <f t="shared" si="0"/>
        <v>706.06411197217903</v>
      </c>
      <c r="AD14" s="116">
        <f t="shared" si="0"/>
        <v>647.14642964570282</v>
      </c>
      <c r="AE14" s="116">
        <f t="shared" si="0"/>
        <v>646.8710022143398</v>
      </c>
      <c r="AF14" s="116">
        <f t="shared" si="0"/>
        <v>631.0851450219792</v>
      </c>
      <c r="AG14" s="116">
        <f t="shared" si="0"/>
        <v>649.28012679769245</v>
      </c>
      <c r="AH14" s="116">
        <f t="shared" si="0"/>
        <v>650.27852571221035</v>
      </c>
      <c r="AI14" s="116">
        <f t="shared" si="0"/>
        <v>425.10308378095459</v>
      </c>
      <c r="AJ14" s="116">
        <f t="shared" si="0"/>
        <v>235.73486421364373</v>
      </c>
      <c r="AK14" s="116">
        <f t="shared" si="0"/>
        <v>1144.9598944440002</v>
      </c>
      <c r="AL14" s="116">
        <f t="shared" si="0"/>
        <v>222.19318809019222</v>
      </c>
      <c r="AM14" s="116">
        <f t="shared" si="0"/>
        <v>909.22503023035642</v>
      </c>
      <c r="AN14" s="116">
        <f t="shared" si="0"/>
        <v>378.31388231057264</v>
      </c>
      <c r="AO14" s="116">
        <f t="shared" si="0"/>
        <v>336.74508300835635</v>
      </c>
      <c r="AP14" s="116">
        <f t="shared" si="0"/>
        <v>0</v>
      </c>
      <c r="AQ14" s="116">
        <f t="shared" si="0"/>
        <v>1137.9443718813259</v>
      </c>
      <c r="AR14" s="116">
        <f t="shared" si="0"/>
        <v>949.196545019273</v>
      </c>
      <c r="AS14" s="116">
        <f t="shared" si="0"/>
        <v>714.3942908695326</v>
      </c>
      <c r="AT14" s="116">
        <f t="shared" si="0"/>
        <v>75.267731579441801</v>
      </c>
      <c r="AU14" s="116">
        <f t="shared" si="0"/>
        <v>0</v>
      </c>
      <c r="AV14" s="116">
        <f t="shared" si="0"/>
        <v>0</v>
      </c>
      <c r="AW14" s="116">
        <f t="shared" si="0"/>
        <v>572.47994722200008</v>
      </c>
      <c r="AX14" s="116">
        <f t="shared" si="0"/>
        <v>599.27848070411108</v>
      </c>
      <c r="AY14" s="116">
        <f t="shared" si="0"/>
        <v>408.91260949268343</v>
      </c>
      <c r="AZ14" s="109">
        <f t="shared" si="0"/>
        <v>224.29337792735805</v>
      </c>
      <c r="BA14" s="106">
        <f>SUM($E14:$AZ14)</f>
        <v>26590.609389728819</v>
      </c>
    </row>
    <row r="15" spans="1:54">
      <c r="A15" s="121" t="s">
        <v>123</v>
      </c>
      <c r="B15" s="122">
        <v>1</v>
      </c>
      <c r="C15" s="123" t="s">
        <v>292</v>
      </c>
      <c r="D15" s="123">
        <v>0</v>
      </c>
      <c r="E15" s="123">
        <v>0</v>
      </c>
      <c r="F15" s="123">
        <v>493.37047353760414</v>
      </c>
      <c r="G15" s="123">
        <v>0</v>
      </c>
      <c r="H15" s="123">
        <v>472.8133704735373</v>
      </c>
      <c r="I15" s="123">
        <v>838.74289662000012</v>
      </c>
      <c r="J15" s="123">
        <v>838.74289662000012</v>
      </c>
      <c r="K15" s="123">
        <v>0</v>
      </c>
      <c r="L15" s="123">
        <v>838.74289662000012</v>
      </c>
      <c r="M15" s="123">
        <v>838.74289662000012</v>
      </c>
      <c r="N15" s="123">
        <v>771.70640628998399</v>
      </c>
      <c r="O15" s="123">
        <v>838.74289662000012</v>
      </c>
      <c r="P15" s="123">
        <v>838.74289662000012</v>
      </c>
      <c r="Q15" s="123">
        <v>838.74289662000012</v>
      </c>
      <c r="R15" s="123">
        <v>838.74289662000012</v>
      </c>
      <c r="S15" s="123">
        <v>0</v>
      </c>
      <c r="T15" s="123">
        <v>493.37047353760414</v>
      </c>
      <c r="U15" s="123">
        <v>838.74289662000012</v>
      </c>
      <c r="V15" s="123">
        <v>838.74289662000012</v>
      </c>
      <c r="W15" s="123">
        <v>838.74289662000012</v>
      </c>
      <c r="X15" s="123">
        <v>493.37047353760414</v>
      </c>
      <c r="Y15" s="123">
        <v>0</v>
      </c>
      <c r="Z15" s="123">
        <v>838.74289662000012</v>
      </c>
      <c r="AA15" s="123">
        <v>838.74289662000012</v>
      </c>
      <c r="AB15" s="123">
        <v>838.74289662000012</v>
      </c>
      <c r="AC15" s="123">
        <v>838.74289662000012</v>
      </c>
      <c r="AD15" s="123">
        <v>838.74289662000012</v>
      </c>
      <c r="AE15" s="123">
        <v>838.74289662000012</v>
      </c>
      <c r="AF15" s="123">
        <v>838.74289662000012</v>
      </c>
      <c r="AG15" s="123">
        <v>838.74289662000012</v>
      </c>
      <c r="AH15" s="123">
        <v>493.37047353760414</v>
      </c>
      <c r="AI15" s="123">
        <v>0</v>
      </c>
      <c r="AJ15" s="123">
        <v>838.74930000000006</v>
      </c>
      <c r="AK15" s="123">
        <v>0</v>
      </c>
      <c r="AL15" s="123">
        <v>493.37047353760414</v>
      </c>
      <c r="AM15" s="123">
        <v>0</v>
      </c>
      <c r="AN15" s="123">
        <v>493.37047353760414</v>
      </c>
      <c r="AO15" s="123">
        <v>0</v>
      </c>
      <c r="AP15" s="123">
        <v>483.09192200557067</v>
      </c>
      <c r="AQ15" s="123">
        <v>772.49636342559052</v>
      </c>
      <c r="AR15" s="123">
        <v>805.18410010799994</v>
      </c>
      <c r="AS15" s="123">
        <v>0</v>
      </c>
      <c r="AT15" s="123">
        <v>0</v>
      </c>
      <c r="AU15" s="123">
        <v>0</v>
      </c>
      <c r="AV15" s="123">
        <v>838.74930000000006</v>
      </c>
      <c r="AW15" s="123">
        <v>838.74289662000012</v>
      </c>
      <c r="AX15" s="123">
        <v>493.37047353760414</v>
      </c>
      <c r="AY15" s="123">
        <v>0</v>
      </c>
      <c r="AZ15" s="99">
        <v>493.37047353760414</v>
      </c>
    </row>
    <row r="16" spans="1:54">
      <c r="A16" s="109"/>
      <c r="B16" s="118">
        <v>2</v>
      </c>
      <c r="C16" s="108" t="s">
        <v>292</v>
      </c>
      <c r="D16" s="105"/>
      <c r="E16" s="109"/>
      <c r="F16" s="109">
        <v>0</v>
      </c>
      <c r="G16" s="109">
        <v>345.37242308239598</v>
      </c>
      <c r="H16" s="109">
        <v>838.74289662000012</v>
      </c>
      <c r="I16" s="109">
        <v>281.18260597459238</v>
      </c>
      <c r="J16" s="109">
        <v>0</v>
      </c>
      <c r="K16" s="109"/>
      <c r="L16" s="109">
        <v>838.74289662000012</v>
      </c>
      <c r="M16" s="109">
        <v>0</v>
      </c>
      <c r="N16" s="109"/>
      <c r="O16" s="109">
        <v>0</v>
      </c>
      <c r="P16" s="109">
        <v>0</v>
      </c>
      <c r="Q16" s="109">
        <v>0</v>
      </c>
      <c r="R16" s="109"/>
      <c r="S16" s="109">
        <v>0</v>
      </c>
      <c r="T16" s="109">
        <v>838.74289662000012</v>
      </c>
      <c r="U16" s="109">
        <v>345.37242308239598</v>
      </c>
      <c r="V16" s="109"/>
      <c r="W16" s="109">
        <v>0</v>
      </c>
      <c r="X16" s="109"/>
      <c r="Y16" s="109">
        <v>345.37242308239598</v>
      </c>
      <c r="Z16" s="109">
        <v>838.74289662000012</v>
      </c>
      <c r="AA16" s="109">
        <v>0</v>
      </c>
      <c r="AB16" s="109">
        <v>0</v>
      </c>
      <c r="AC16" s="109"/>
      <c r="AD16" s="109">
        <v>0</v>
      </c>
      <c r="AE16" s="109">
        <v>0</v>
      </c>
      <c r="AF16" s="109"/>
      <c r="AG16" s="109">
        <v>0</v>
      </c>
      <c r="AH16" s="109">
        <v>0</v>
      </c>
      <c r="AI16" s="109">
        <v>345.37882646239592</v>
      </c>
      <c r="AJ16" s="109">
        <v>838.74930000000006</v>
      </c>
      <c r="AK16" s="109">
        <v>0</v>
      </c>
      <c r="AL16" s="109">
        <v>838.74930000000006</v>
      </c>
      <c r="AM16" s="109">
        <v>345.37882646239592</v>
      </c>
      <c r="AN16" s="109">
        <v>0</v>
      </c>
      <c r="AO16" s="109">
        <v>0</v>
      </c>
      <c r="AP16" s="109">
        <v>838.74930000000006</v>
      </c>
      <c r="AQ16" s="109">
        <v>288.91062330313929</v>
      </c>
      <c r="AR16" s="109">
        <v>0</v>
      </c>
      <c r="AS16" s="109">
        <v>0</v>
      </c>
      <c r="AT16" s="109"/>
      <c r="AU16" s="109">
        <v>0</v>
      </c>
      <c r="AV16" s="109"/>
      <c r="AW16" s="109">
        <v>0</v>
      </c>
      <c r="AX16" s="109">
        <v>0</v>
      </c>
      <c r="AY16" s="109">
        <v>328.61572644439599</v>
      </c>
      <c r="AZ16" s="99">
        <v>821.98619998200013</v>
      </c>
      <c r="BA16" s="99">
        <v>0</v>
      </c>
    </row>
    <row r="17" spans="1:54">
      <c r="A17" s="109"/>
      <c r="B17" s="118">
        <v>3</v>
      </c>
      <c r="C17" s="108" t="s">
        <v>292</v>
      </c>
      <c r="D17" s="105"/>
      <c r="E17" s="109"/>
      <c r="F17" s="109"/>
      <c r="G17" s="109">
        <v>0</v>
      </c>
      <c r="H17" s="109"/>
      <c r="I17" s="109"/>
      <c r="J17" s="109"/>
      <c r="K17" s="109">
        <v>0</v>
      </c>
      <c r="L17" s="109">
        <v>0</v>
      </c>
      <c r="M17" s="109"/>
      <c r="N17" s="109"/>
      <c r="O17" s="109">
        <v>0</v>
      </c>
      <c r="P17" s="109"/>
      <c r="Q17" s="109"/>
      <c r="R17" s="109"/>
      <c r="S17" s="109"/>
      <c r="T17" s="109"/>
      <c r="U17" s="109">
        <v>0</v>
      </c>
      <c r="V17" s="109">
        <v>0</v>
      </c>
      <c r="W17" s="109">
        <v>0</v>
      </c>
      <c r="X17" s="109"/>
      <c r="Y17" s="109">
        <v>0</v>
      </c>
      <c r="Z17" s="109"/>
      <c r="AA17" s="109">
        <v>0</v>
      </c>
      <c r="AB17" s="109"/>
      <c r="AC17" s="109"/>
      <c r="AD17" s="109"/>
      <c r="AE17" s="109"/>
      <c r="AF17" s="109"/>
      <c r="AG17" s="109">
        <v>0</v>
      </c>
      <c r="AH17" s="109"/>
      <c r="AI17" s="109"/>
      <c r="AJ17" s="109"/>
      <c r="AK17" s="109"/>
      <c r="AL17" s="109"/>
      <c r="AM17" s="109">
        <v>0</v>
      </c>
      <c r="AN17" s="109"/>
      <c r="AO17" s="109">
        <v>0</v>
      </c>
      <c r="AP17" s="109">
        <v>345.37882646239592</v>
      </c>
      <c r="AQ17" s="109">
        <v>0</v>
      </c>
      <c r="AR17" s="109">
        <v>0</v>
      </c>
      <c r="AS17" s="109"/>
      <c r="AT17" s="109"/>
      <c r="AU17" s="109">
        <v>0</v>
      </c>
      <c r="AV17" s="109">
        <v>0</v>
      </c>
      <c r="AW17" s="109">
        <v>0</v>
      </c>
      <c r="AX17" s="109"/>
      <c r="AY17" s="109">
        <v>0</v>
      </c>
      <c r="BB17" s="99">
        <v>328.61572644439599</v>
      </c>
    </row>
    <row r="18" spans="1:54">
      <c r="A18" s="124"/>
      <c r="B18" s="115">
        <v>4</v>
      </c>
      <c r="C18" s="124" t="s">
        <v>292</v>
      </c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>
        <v>0</v>
      </c>
      <c r="R18" s="124"/>
      <c r="S18" s="124"/>
      <c r="T18" s="124">
        <v>0</v>
      </c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>
        <v>0</v>
      </c>
      <c r="AF18" s="124"/>
      <c r="AG18" s="124"/>
      <c r="AH18" s="124">
        <v>0</v>
      </c>
      <c r="AI18" s="124"/>
      <c r="AJ18" s="124"/>
      <c r="AK18" s="124"/>
      <c r="AL18" s="124"/>
      <c r="AM18" s="124"/>
      <c r="AN18" s="124"/>
      <c r="AO18" s="124"/>
      <c r="AP18" s="124"/>
      <c r="AQ18" s="124"/>
      <c r="AR18" s="124"/>
      <c r="AS18" s="124"/>
      <c r="AT18" s="124"/>
      <c r="AU18" s="124"/>
      <c r="AV18" s="124"/>
      <c r="AW18" s="124"/>
      <c r="AX18" s="124"/>
      <c r="AY18" s="124">
        <v>0</v>
      </c>
      <c r="BB18" s="99">
        <v>0</v>
      </c>
    </row>
    <row r="20" spans="1:54">
      <c r="A20" s="101" t="s">
        <v>293</v>
      </c>
    </row>
    <row r="21" spans="1:54">
      <c r="A21" s="125" t="s">
        <v>125</v>
      </c>
      <c r="B21" s="122">
        <v>1</v>
      </c>
      <c r="C21" s="123" t="s">
        <v>292</v>
      </c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  <c r="AP21" s="123"/>
      <c r="AQ21" s="123"/>
      <c r="AR21" s="123"/>
      <c r="AS21" s="123"/>
      <c r="AT21" s="123"/>
      <c r="AU21" s="123"/>
      <c r="AV21" s="123"/>
      <c r="AW21" s="123"/>
      <c r="AX21" s="123"/>
      <c r="AY21" s="123"/>
    </row>
    <row r="22" spans="1:54">
      <c r="A22" s="108"/>
      <c r="B22" s="119">
        <v>2</v>
      </c>
      <c r="C22" s="109" t="s">
        <v>292</v>
      </c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  <c r="X22" s="109"/>
      <c r="Y22" s="109"/>
      <c r="Z22" s="109"/>
      <c r="AA22" s="109"/>
      <c r="AB22" s="109"/>
      <c r="AC22" s="109"/>
      <c r="AD22" s="109"/>
      <c r="AE22" s="109"/>
      <c r="AF22" s="109"/>
      <c r="AG22" s="109"/>
      <c r="AH22" s="109"/>
      <c r="AI22" s="109"/>
      <c r="AJ22" s="109"/>
      <c r="AK22" s="109"/>
      <c r="AL22" s="109"/>
      <c r="AM22" s="109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</row>
    <row r="23" spans="1:54">
      <c r="A23" s="108"/>
      <c r="B23" s="126">
        <v>3</v>
      </c>
      <c r="C23" s="109" t="s">
        <v>292</v>
      </c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  <c r="X23" s="109"/>
      <c r="Y23" s="109"/>
      <c r="Z23" s="109"/>
      <c r="AA23" s="109"/>
      <c r="AB23" s="109"/>
      <c r="AC23" s="109"/>
      <c r="AD23" s="109"/>
      <c r="AE23" s="109"/>
      <c r="AF23" s="109"/>
      <c r="AG23" s="109"/>
      <c r="AH23" s="109"/>
      <c r="AI23" s="109"/>
      <c r="AJ23" s="109"/>
      <c r="AK23" s="109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</row>
    <row r="24" spans="1:54">
      <c r="A24" s="127"/>
      <c r="B24" s="128">
        <v>4</v>
      </c>
      <c r="C24" s="127" t="s">
        <v>292</v>
      </c>
      <c r="D24" s="124">
        <v>0</v>
      </c>
      <c r="E24" s="124">
        <v>0</v>
      </c>
      <c r="F24" s="124">
        <v>0</v>
      </c>
      <c r="G24" s="124">
        <v>0</v>
      </c>
      <c r="H24" s="124">
        <v>0</v>
      </c>
      <c r="I24" s="124">
        <v>0</v>
      </c>
      <c r="J24" s="124">
        <v>0</v>
      </c>
      <c r="K24" s="124">
        <v>0</v>
      </c>
      <c r="L24" s="124">
        <v>0</v>
      </c>
      <c r="M24" s="124">
        <v>0</v>
      </c>
      <c r="N24" s="124">
        <v>0</v>
      </c>
      <c r="O24" s="124">
        <v>0</v>
      </c>
      <c r="P24" s="124">
        <v>0</v>
      </c>
      <c r="Q24" s="124">
        <v>0</v>
      </c>
      <c r="R24" s="124">
        <v>0</v>
      </c>
      <c r="S24" s="124">
        <v>0</v>
      </c>
      <c r="T24" s="124">
        <v>0</v>
      </c>
      <c r="U24" s="124">
        <v>0</v>
      </c>
      <c r="V24" s="124">
        <v>0</v>
      </c>
      <c r="W24" s="124">
        <v>0</v>
      </c>
      <c r="X24" s="124">
        <v>0</v>
      </c>
      <c r="Y24" s="124">
        <v>0</v>
      </c>
      <c r="Z24" s="124">
        <v>0</v>
      </c>
      <c r="AA24" s="124">
        <v>0</v>
      </c>
      <c r="AB24" s="124">
        <v>0</v>
      </c>
      <c r="AC24" s="124">
        <v>0</v>
      </c>
      <c r="AD24" s="124">
        <v>0</v>
      </c>
      <c r="AE24" s="124">
        <v>0</v>
      </c>
      <c r="AF24" s="124">
        <v>0</v>
      </c>
      <c r="AG24" s="124">
        <v>0</v>
      </c>
      <c r="AH24" s="124">
        <v>0</v>
      </c>
      <c r="AI24" s="124">
        <v>0</v>
      </c>
      <c r="AJ24" s="124">
        <v>0</v>
      </c>
      <c r="AK24" s="124">
        <v>0</v>
      </c>
      <c r="AL24" s="124">
        <v>0</v>
      </c>
      <c r="AM24" s="124">
        <v>0</v>
      </c>
      <c r="AN24" s="124">
        <v>0</v>
      </c>
      <c r="AO24" s="124">
        <v>0</v>
      </c>
      <c r="AP24" s="124">
        <v>0</v>
      </c>
      <c r="AQ24" s="124">
        <v>0</v>
      </c>
      <c r="AR24" s="124">
        <v>0</v>
      </c>
      <c r="AS24" s="124">
        <v>0</v>
      </c>
      <c r="AT24" s="124">
        <v>0</v>
      </c>
      <c r="AU24" s="124">
        <v>0</v>
      </c>
      <c r="AV24" s="124">
        <v>0</v>
      </c>
      <c r="AW24" s="124">
        <v>0</v>
      </c>
      <c r="AX24" s="124">
        <v>0</v>
      </c>
      <c r="AY24" s="124">
        <v>0</v>
      </c>
    </row>
    <row r="25" spans="1:54">
      <c r="A25" s="125" t="s">
        <v>133</v>
      </c>
      <c r="B25" s="122">
        <v>1</v>
      </c>
      <c r="C25" s="108" t="s">
        <v>292</v>
      </c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  <c r="X25" s="109"/>
      <c r="Y25" s="109"/>
      <c r="Z25" s="109"/>
      <c r="AA25" s="109"/>
      <c r="AB25" s="109"/>
      <c r="AC25" s="109"/>
      <c r="AD25" s="109"/>
      <c r="AE25" s="109"/>
      <c r="AF25" s="109"/>
      <c r="AG25" s="109"/>
      <c r="AH25" s="109"/>
      <c r="AI25" s="109"/>
      <c r="AJ25" s="109"/>
      <c r="AK25" s="109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</row>
    <row r="26" spans="1:54">
      <c r="A26" s="108"/>
      <c r="B26" s="118">
        <v>2</v>
      </c>
      <c r="C26" s="108" t="s">
        <v>292</v>
      </c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</row>
    <row r="27" spans="1:54">
      <c r="A27" s="108"/>
      <c r="B27" s="119">
        <v>3</v>
      </c>
      <c r="C27" s="108" t="s">
        <v>292</v>
      </c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</row>
    <row r="28" spans="1:54">
      <c r="A28" s="108"/>
      <c r="B28" s="119">
        <v>4</v>
      </c>
      <c r="C28" s="108" t="s">
        <v>292</v>
      </c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  <c r="X28" s="109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</row>
    <row r="29" spans="1:54">
      <c r="A29" s="108"/>
      <c r="B29" s="126">
        <v>5</v>
      </c>
      <c r="C29" s="108" t="s">
        <v>292</v>
      </c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</row>
    <row r="30" spans="1:54">
      <c r="A30" s="108"/>
      <c r="B30" s="126">
        <v>6</v>
      </c>
      <c r="C30" s="108" t="s">
        <v>292</v>
      </c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</row>
    <row r="31" spans="1:54">
      <c r="A31" s="108"/>
      <c r="B31" s="129">
        <v>7</v>
      </c>
      <c r="C31" s="108" t="s">
        <v>292</v>
      </c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09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</row>
    <row r="32" spans="1:54">
      <c r="A32" s="127"/>
      <c r="B32" s="128">
        <v>8</v>
      </c>
      <c r="C32" s="127" t="s">
        <v>292</v>
      </c>
      <c r="D32" s="124">
        <v>0</v>
      </c>
      <c r="E32" s="124">
        <v>0</v>
      </c>
      <c r="F32" s="124">
        <v>0</v>
      </c>
      <c r="G32" s="124">
        <v>0</v>
      </c>
      <c r="H32" s="124">
        <v>0</v>
      </c>
      <c r="I32" s="124">
        <v>0</v>
      </c>
      <c r="J32" s="124">
        <v>0</v>
      </c>
      <c r="K32" s="124">
        <v>0</v>
      </c>
      <c r="L32" s="124">
        <v>0</v>
      </c>
      <c r="M32" s="124">
        <v>0</v>
      </c>
      <c r="N32" s="124">
        <v>0</v>
      </c>
      <c r="O32" s="124">
        <v>0</v>
      </c>
      <c r="P32" s="124">
        <v>0</v>
      </c>
      <c r="Q32" s="124">
        <v>0</v>
      </c>
      <c r="R32" s="124">
        <v>0</v>
      </c>
      <c r="S32" s="124">
        <v>0</v>
      </c>
      <c r="T32" s="124">
        <v>0</v>
      </c>
      <c r="U32" s="124">
        <v>0</v>
      </c>
      <c r="V32" s="124">
        <v>0</v>
      </c>
      <c r="W32" s="124">
        <v>0</v>
      </c>
      <c r="X32" s="124">
        <v>0</v>
      </c>
      <c r="Y32" s="124">
        <v>0</v>
      </c>
      <c r="Z32" s="124">
        <v>0</v>
      </c>
      <c r="AA32" s="124">
        <v>0</v>
      </c>
      <c r="AB32" s="124">
        <v>0</v>
      </c>
      <c r="AC32" s="124">
        <v>0</v>
      </c>
      <c r="AD32" s="124">
        <v>0</v>
      </c>
      <c r="AE32" s="124">
        <v>0</v>
      </c>
      <c r="AF32" s="124">
        <v>0</v>
      </c>
      <c r="AG32" s="124">
        <v>0</v>
      </c>
      <c r="AH32" s="124">
        <v>0</v>
      </c>
      <c r="AI32" s="124">
        <v>0</v>
      </c>
      <c r="AJ32" s="124">
        <v>0</v>
      </c>
      <c r="AK32" s="124">
        <v>0</v>
      </c>
      <c r="AL32" s="124">
        <v>0</v>
      </c>
      <c r="AM32" s="124">
        <v>0</v>
      </c>
      <c r="AN32" s="124">
        <v>0</v>
      </c>
      <c r="AO32" s="124">
        <v>0</v>
      </c>
      <c r="AP32" s="124">
        <v>0</v>
      </c>
      <c r="AQ32" s="124">
        <v>0</v>
      </c>
      <c r="AR32" s="124">
        <v>0</v>
      </c>
      <c r="AS32" s="124">
        <v>0</v>
      </c>
      <c r="AT32" s="124">
        <v>0</v>
      </c>
      <c r="AU32" s="124">
        <v>0</v>
      </c>
      <c r="AV32" s="124">
        <v>0</v>
      </c>
      <c r="AW32" s="124">
        <v>0</v>
      </c>
      <c r="AX32" s="124">
        <v>0</v>
      </c>
      <c r="AY32" s="124">
        <v>0</v>
      </c>
    </row>
    <row r="33" spans="1:51">
      <c r="A33" s="130" t="s">
        <v>134</v>
      </c>
      <c r="B33" s="118">
        <v>1</v>
      </c>
      <c r="C33" s="108" t="s">
        <v>292</v>
      </c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</row>
    <row r="34" spans="1:51">
      <c r="A34" s="108"/>
      <c r="B34" s="118">
        <v>2</v>
      </c>
      <c r="C34" s="108" t="s">
        <v>292</v>
      </c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</row>
    <row r="35" spans="1:51">
      <c r="A35" s="108"/>
      <c r="B35" s="118">
        <v>3</v>
      </c>
      <c r="C35" s="108" t="s">
        <v>292</v>
      </c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</row>
    <row r="36" spans="1:51">
      <c r="A36" s="108"/>
      <c r="B36" s="119">
        <v>4</v>
      </c>
      <c r="C36" s="108" t="s">
        <v>292</v>
      </c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105"/>
      <c r="AA36" s="105"/>
      <c r="AB36" s="105"/>
      <c r="AC36" s="105"/>
      <c r="AD36" s="105"/>
      <c r="AE36" s="105"/>
      <c r="AF36" s="105"/>
      <c r="AG36" s="105"/>
      <c r="AH36" s="105"/>
      <c r="AI36" s="105"/>
      <c r="AJ36" s="105"/>
      <c r="AK36" s="105"/>
      <c r="AL36" s="105"/>
      <c r="AM36" s="105"/>
      <c r="AN36" s="105"/>
      <c r="AO36" s="105"/>
      <c r="AP36" s="105"/>
      <c r="AQ36" s="105"/>
      <c r="AR36" s="105"/>
      <c r="AS36" s="105"/>
      <c r="AT36" s="105"/>
      <c r="AU36" s="105"/>
      <c r="AV36" s="105"/>
      <c r="AW36" s="105"/>
      <c r="AX36" s="105"/>
      <c r="AY36" s="105"/>
    </row>
    <row r="37" spans="1:51">
      <c r="A37" s="108"/>
      <c r="B37" s="119">
        <v>5</v>
      </c>
      <c r="C37" s="108" t="s">
        <v>292</v>
      </c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105"/>
      <c r="X37" s="105"/>
      <c r="Y37" s="105"/>
      <c r="Z37" s="105"/>
      <c r="AA37" s="105"/>
      <c r="AB37" s="105"/>
      <c r="AC37" s="105"/>
      <c r="AD37" s="105"/>
      <c r="AE37" s="105"/>
      <c r="AF37" s="105"/>
      <c r="AG37" s="105"/>
      <c r="AH37" s="105"/>
      <c r="AI37" s="105"/>
      <c r="AJ37" s="105"/>
      <c r="AK37" s="105"/>
      <c r="AL37" s="105"/>
      <c r="AM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  <c r="AX37" s="105"/>
      <c r="AY37" s="105"/>
    </row>
    <row r="38" spans="1:51">
      <c r="A38" s="108"/>
      <c r="B38" s="119">
        <v>6</v>
      </c>
      <c r="C38" s="108" t="s">
        <v>292</v>
      </c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</row>
    <row r="39" spans="1:51">
      <c r="A39" s="108"/>
      <c r="B39" s="126">
        <v>7</v>
      </c>
      <c r="C39" s="108" t="s">
        <v>292</v>
      </c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V39" s="105"/>
      <c r="W39" s="105"/>
      <c r="X39" s="105"/>
      <c r="Y39" s="105"/>
      <c r="Z39" s="105"/>
      <c r="AA39" s="105"/>
      <c r="AB39" s="105"/>
      <c r="AC39" s="105"/>
      <c r="AD39" s="105"/>
      <c r="AE39" s="105"/>
      <c r="AF39" s="105"/>
      <c r="AG39" s="105"/>
      <c r="AH39" s="105"/>
      <c r="AI39" s="105"/>
      <c r="AJ39" s="105"/>
      <c r="AK39" s="105"/>
      <c r="AL39" s="105"/>
      <c r="AM39" s="105"/>
      <c r="AN39" s="105"/>
      <c r="AO39" s="105"/>
      <c r="AP39" s="105"/>
      <c r="AQ39" s="105"/>
      <c r="AR39" s="105"/>
      <c r="AS39" s="105"/>
      <c r="AT39" s="105"/>
      <c r="AU39" s="105"/>
      <c r="AV39" s="105"/>
      <c r="AW39" s="105"/>
      <c r="AX39" s="105"/>
      <c r="AY39" s="105"/>
    </row>
    <row r="40" spans="1:51">
      <c r="A40" s="108"/>
      <c r="B40" s="126">
        <v>8</v>
      </c>
      <c r="C40" s="108" t="s">
        <v>292</v>
      </c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  <c r="U40" s="105"/>
      <c r="V40" s="105"/>
      <c r="W40" s="105"/>
      <c r="X40" s="105"/>
      <c r="Y40" s="105"/>
      <c r="Z40" s="105"/>
      <c r="AA40" s="105"/>
      <c r="AB40" s="105"/>
      <c r="AC40" s="105"/>
      <c r="AD40" s="105"/>
      <c r="AE40" s="105"/>
      <c r="AF40" s="105"/>
      <c r="AG40" s="105"/>
      <c r="AH40" s="105"/>
      <c r="AI40" s="105"/>
      <c r="AJ40" s="105"/>
      <c r="AK40" s="105"/>
      <c r="AL40" s="105"/>
      <c r="AM40" s="105"/>
      <c r="AN40" s="105"/>
      <c r="AO40" s="105"/>
      <c r="AP40" s="105"/>
      <c r="AQ40" s="105"/>
      <c r="AR40" s="105"/>
      <c r="AS40" s="105"/>
      <c r="AT40" s="105"/>
      <c r="AU40" s="105"/>
      <c r="AV40" s="105"/>
      <c r="AW40" s="105"/>
      <c r="AX40" s="105"/>
      <c r="AY40" s="105"/>
    </row>
    <row r="41" spans="1:51">
      <c r="A41" s="108"/>
      <c r="B41" s="126">
        <v>9</v>
      </c>
      <c r="C41" s="108" t="s">
        <v>292</v>
      </c>
      <c r="D41" s="105"/>
      <c r="E41" s="105"/>
      <c r="F41" s="105"/>
      <c r="G41" s="105"/>
      <c r="H41" s="105"/>
      <c r="I41" s="105"/>
      <c r="J41" s="105"/>
      <c r="K41" s="105"/>
      <c r="L41" s="105"/>
      <c r="M41" s="105"/>
      <c r="N41" s="105"/>
      <c r="O41" s="105"/>
      <c r="P41" s="105"/>
      <c r="Q41" s="105"/>
      <c r="R41" s="105"/>
      <c r="S41" s="105"/>
      <c r="T41" s="105"/>
      <c r="U41" s="105"/>
      <c r="V41" s="105"/>
      <c r="W41" s="105"/>
      <c r="X41" s="105"/>
      <c r="Y41" s="105"/>
      <c r="Z41" s="105"/>
      <c r="AA41" s="105"/>
      <c r="AB41" s="105"/>
      <c r="AC41" s="105"/>
      <c r="AD41" s="105"/>
      <c r="AE41" s="105"/>
      <c r="AF41" s="105"/>
      <c r="AG41" s="105"/>
      <c r="AH41" s="105"/>
      <c r="AI41" s="105"/>
      <c r="AJ41" s="105"/>
      <c r="AK41" s="105"/>
      <c r="AL41" s="105"/>
      <c r="AM41" s="105"/>
      <c r="AN41" s="105"/>
      <c r="AO41" s="105"/>
      <c r="AP41" s="105"/>
      <c r="AQ41" s="105"/>
      <c r="AR41" s="105"/>
      <c r="AS41" s="105"/>
      <c r="AT41" s="105"/>
      <c r="AU41" s="105"/>
      <c r="AV41" s="105"/>
      <c r="AW41" s="105"/>
      <c r="AX41" s="105"/>
      <c r="AY41" s="105"/>
    </row>
    <row r="42" spans="1:51">
      <c r="A42" s="108"/>
      <c r="B42" s="129">
        <v>10</v>
      </c>
      <c r="C42" s="108" t="s">
        <v>292</v>
      </c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  <c r="S42" s="105"/>
      <c r="T42" s="105"/>
      <c r="U42" s="105"/>
      <c r="V42" s="105"/>
      <c r="W42" s="105"/>
      <c r="X42" s="105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05"/>
      <c r="AM42" s="105"/>
      <c r="AN42" s="105"/>
      <c r="AO42" s="105"/>
      <c r="AP42" s="105"/>
      <c r="AQ42" s="105"/>
      <c r="AR42" s="105"/>
      <c r="AS42" s="105"/>
      <c r="AT42" s="105"/>
      <c r="AU42" s="105"/>
      <c r="AV42" s="105"/>
      <c r="AW42" s="105"/>
      <c r="AX42" s="105"/>
      <c r="AY42" s="105"/>
    </row>
    <row r="43" spans="1:51">
      <c r="A43" s="108"/>
      <c r="B43" s="129">
        <v>11</v>
      </c>
      <c r="C43" s="108" t="s">
        <v>292</v>
      </c>
      <c r="D43" s="105"/>
      <c r="E43" s="105"/>
      <c r="F43" s="105"/>
      <c r="G43" s="105"/>
      <c r="H43" s="105"/>
      <c r="I43" s="105"/>
      <c r="J43" s="105"/>
      <c r="K43" s="105"/>
      <c r="L43" s="105"/>
      <c r="M43" s="105"/>
      <c r="N43" s="105"/>
      <c r="O43" s="105"/>
      <c r="P43" s="105"/>
      <c r="Q43" s="105"/>
      <c r="R43" s="105"/>
      <c r="S43" s="105"/>
      <c r="T43" s="105"/>
      <c r="U43" s="105"/>
      <c r="V43" s="105"/>
      <c r="W43" s="105"/>
      <c r="X43" s="105"/>
      <c r="Y43" s="105"/>
      <c r="Z43" s="105"/>
      <c r="AA43" s="105"/>
      <c r="AB43" s="105"/>
      <c r="AC43" s="105"/>
      <c r="AD43" s="105"/>
      <c r="AE43" s="105"/>
      <c r="AF43" s="105"/>
      <c r="AG43" s="105"/>
      <c r="AH43" s="105"/>
      <c r="AI43" s="105"/>
      <c r="AJ43" s="105"/>
      <c r="AK43" s="105"/>
      <c r="AL43" s="105"/>
      <c r="AM43" s="105"/>
      <c r="AN43" s="105"/>
      <c r="AO43" s="105"/>
      <c r="AP43" s="105"/>
      <c r="AQ43" s="105"/>
      <c r="AR43" s="105"/>
      <c r="AS43" s="105"/>
      <c r="AT43" s="105"/>
      <c r="AU43" s="105"/>
      <c r="AV43" s="105"/>
      <c r="AW43" s="105"/>
      <c r="AX43" s="105"/>
      <c r="AY43" s="105"/>
    </row>
    <row r="44" spans="1:51">
      <c r="A44" s="108"/>
      <c r="B44" s="129">
        <v>12</v>
      </c>
      <c r="C44" s="127" t="s">
        <v>292</v>
      </c>
      <c r="D44" s="105">
        <v>0</v>
      </c>
      <c r="E44" s="105">
        <v>0</v>
      </c>
      <c r="F44" s="105">
        <v>0</v>
      </c>
      <c r="G44" s="105">
        <v>0</v>
      </c>
      <c r="H44" s="105">
        <v>0</v>
      </c>
      <c r="I44" s="105">
        <v>0</v>
      </c>
      <c r="J44" s="105">
        <v>0</v>
      </c>
      <c r="K44" s="105">
        <v>0</v>
      </c>
      <c r="L44" s="105">
        <v>0</v>
      </c>
      <c r="M44" s="105">
        <v>0</v>
      </c>
      <c r="N44" s="105">
        <v>0</v>
      </c>
      <c r="O44" s="105">
        <v>0</v>
      </c>
      <c r="P44" s="105">
        <v>0</v>
      </c>
      <c r="Q44" s="105">
        <v>0</v>
      </c>
      <c r="R44" s="105">
        <v>0</v>
      </c>
      <c r="S44" s="105">
        <v>0</v>
      </c>
      <c r="T44" s="105">
        <v>0</v>
      </c>
      <c r="U44" s="105">
        <v>0</v>
      </c>
      <c r="V44" s="105">
        <v>0</v>
      </c>
      <c r="W44" s="105">
        <v>0</v>
      </c>
      <c r="X44" s="105">
        <v>0</v>
      </c>
      <c r="Y44" s="105">
        <v>0</v>
      </c>
      <c r="Z44" s="105">
        <v>0</v>
      </c>
      <c r="AA44" s="105">
        <v>0</v>
      </c>
      <c r="AB44" s="105">
        <v>0</v>
      </c>
      <c r="AC44" s="105">
        <v>0</v>
      </c>
      <c r="AD44" s="105">
        <v>0</v>
      </c>
      <c r="AE44" s="105">
        <v>0</v>
      </c>
      <c r="AF44" s="105">
        <v>0</v>
      </c>
      <c r="AG44" s="105">
        <v>0</v>
      </c>
      <c r="AH44" s="105">
        <v>0</v>
      </c>
      <c r="AI44" s="105">
        <v>0</v>
      </c>
      <c r="AJ44" s="105">
        <v>0</v>
      </c>
      <c r="AK44" s="105">
        <v>0</v>
      </c>
      <c r="AL44" s="105">
        <v>0</v>
      </c>
      <c r="AM44" s="105">
        <v>0</v>
      </c>
      <c r="AN44" s="105">
        <v>0</v>
      </c>
      <c r="AO44" s="105">
        <v>0</v>
      </c>
      <c r="AP44" s="105">
        <v>0</v>
      </c>
      <c r="AQ44" s="105">
        <v>0</v>
      </c>
      <c r="AR44" s="105">
        <v>0</v>
      </c>
      <c r="AS44" s="105">
        <v>0</v>
      </c>
      <c r="AT44" s="105">
        <v>0</v>
      </c>
      <c r="AU44" s="105">
        <v>0</v>
      </c>
      <c r="AV44" s="105">
        <v>0</v>
      </c>
      <c r="AW44" s="105">
        <v>0</v>
      </c>
      <c r="AX44" s="105">
        <v>0</v>
      </c>
      <c r="AY44" s="105">
        <v>0</v>
      </c>
    </row>
    <row r="45" spans="1:51">
      <c r="A45" s="125" t="s">
        <v>123</v>
      </c>
      <c r="B45" s="122">
        <v>1</v>
      </c>
      <c r="C45" s="108" t="s">
        <v>292</v>
      </c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</row>
    <row r="46" spans="1:51">
      <c r="A46" s="108"/>
      <c r="B46" s="118">
        <v>2</v>
      </c>
      <c r="C46" s="108" t="s">
        <v>292</v>
      </c>
      <c r="D46" s="109"/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D46" s="109"/>
      <c r="AE46" s="109"/>
      <c r="AF46" s="109"/>
      <c r="AG46" s="109"/>
      <c r="AH46" s="109"/>
      <c r="AI46" s="109"/>
      <c r="AJ46" s="109"/>
      <c r="AK46" s="109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</row>
    <row r="47" spans="1:51">
      <c r="A47" s="108"/>
      <c r="B47" s="118">
        <v>3</v>
      </c>
      <c r="C47" s="108" t="s">
        <v>292</v>
      </c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  <c r="X47" s="109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</row>
    <row r="48" spans="1:51">
      <c r="A48" s="108"/>
      <c r="B48" s="118">
        <v>4</v>
      </c>
      <c r="C48" s="108" t="s">
        <v>292</v>
      </c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</row>
    <row r="49" spans="1:51">
      <c r="A49" s="108"/>
      <c r="B49" s="118">
        <v>5</v>
      </c>
      <c r="C49" s="108" t="s">
        <v>292</v>
      </c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</row>
    <row r="50" spans="1:51">
      <c r="A50" s="108"/>
      <c r="B50" s="118">
        <v>6</v>
      </c>
      <c r="C50" s="108" t="s">
        <v>292</v>
      </c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</row>
    <row r="51" spans="1:51">
      <c r="A51" s="108"/>
      <c r="B51" s="118">
        <v>7</v>
      </c>
      <c r="C51" s="108" t="s">
        <v>292</v>
      </c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</row>
    <row r="52" spans="1:51">
      <c r="A52" s="108"/>
      <c r="B52" s="118">
        <v>8</v>
      </c>
      <c r="C52" s="108" t="s">
        <v>292</v>
      </c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</row>
    <row r="53" spans="1:51">
      <c r="A53" s="108"/>
      <c r="B53" s="118">
        <v>9</v>
      </c>
      <c r="C53" s="108" t="s">
        <v>292</v>
      </c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</row>
    <row r="54" spans="1:51">
      <c r="A54" s="108"/>
      <c r="B54" s="118">
        <v>10</v>
      </c>
      <c r="C54" s="108" t="s">
        <v>292</v>
      </c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</row>
    <row r="55" spans="1:51">
      <c r="A55" s="108"/>
      <c r="B55" s="118">
        <v>11</v>
      </c>
      <c r="C55" s="108" t="s">
        <v>292</v>
      </c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09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</row>
    <row r="56" spans="1:51">
      <c r="A56" s="108"/>
      <c r="B56" s="118">
        <v>12</v>
      </c>
      <c r="C56" s="108" t="s">
        <v>292</v>
      </c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  <c r="X56" s="109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09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</row>
    <row r="57" spans="1:51">
      <c r="A57" s="108"/>
      <c r="B57" s="119">
        <v>13</v>
      </c>
      <c r="C57" s="108" t="s">
        <v>292</v>
      </c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  <c r="X57" s="109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09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</row>
    <row r="58" spans="1:51">
      <c r="A58" s="108"/>
      <c r="B58" s="119">
        <v>14</v>
      </c>
      <c r="C58" s="108" t="s">
        <v>292</v>
      </c>
      <c r="D58" s="109"/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</row>
    <row r="59" spans="1:51">
      <c r="A59" s="108"/>
      <c r="B59" s="119">
        <v>15</v>
      </c>
      <c r="C59" s="108" t="s">
        <v>292</v>
      </c>
      <c r="D59" s="109"/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</row>
    <row r="60" spans="1:51">
      <c r="A60" s="108"/>
      <c r="B60" s="119">
        <v>16</v>
      </c>
      <c r="C60" s="108" t="s">
        <v>292</v>
      </c>
      <c r="D60" s="109"/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</row>
    <row r="61" spans="1:51">
      <c r="A61" s="108"/>
      <c r="B61" s="119">
        <v>17</v>
      </c>
      <c r="C61" s="108" t="s">
        <v>292</v>
      </c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</row>
    <row r="62" spans="1:51">
      <c r="A62" s="108"/>
      <c r="B62" s="119">
        <v>18</v>
      </c>
      <c r="C62" s="108" t="s">
        <v>292</v>
      </c>
      <c r="D62" s="109"/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  <c r="X62" s="109"/>
      <c r="Y62" s="109"/>
      <c r="Z62" s="109"/>
      <c r="AA62" s="109"/>
      <c r="AB62" s="109"/>
      <c r="AC62" s="109"/>
      <c r="AD62" s="109"/>
      <c r="AE62" s="109"/>
      <c r="AF62" s="109"/>
      <c r="AG62" s="109"/>
      <c r="AH62" s="109"/>
      <c r="AI62" s="109"/>
      <c r="AJ62" s="109"/>
      <c r="AK62" s="109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</row>
    <row r="63" spans="1:51">
      <c r="A63" s="108"/>
      <c r="B63" s="119">
        <v>19</v>
      </c>
      <c r="C63" s="108" t="s">
        <v>292</v>
      </c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</row>
    <row r="64" spans="1:51">
      <c r="A64" s="108"/>
      <c r="B64" s="119">
        <v>20</v>
      </c>
      <c r="C64" s="108" t="s">
        <v>292</v>
      </c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  <c r="Z64" s="109"/>
      <c r="AA64" s="109"/>
      <c r="AB64" s="109"/>
      <c r="AC64" s="109"/>
      <c r="AD64" s="109"/>
      <c r="AE64" s="109"/>
      <c r="AF64" s="109"/>
      <c r="AG64" s="109"/>
      <c r="AH64" s="109"/>
      <c r="AI64" s="109"/>
      <c r="AJ64" s="109"/>
      <c r="AK64" s="109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</row>
    <row r="65" spans="1:51">
      <c r="A65" s="108"/>
      <c r="B65" s="119">
        <v>21</v>
      </c>
      <c r="C65" s="108" t="s">
        <v>292</v>
      </c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109"/>
      <c r="AC65" s="109"/>
      <c r="AD65" s="109"/>
      <c r="AE65" s="109"/>
      <c r="AF65" s="109"/>
      <c r="AG65" s="109"/>
      <c r="AH65" s="109"/>
      <c r="AI65" s="109"/>
      <c r="AJ65" s="109"/>
      <c r="AK65" s="109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</row>
    <row r="66" spans="1:51">
      <c r="A66" s="108"/>
      <c r="B66" s="119">
        <v>22</v>
      </c>
      <c r="C66" s="108" t="s">
        <v>292</v>
      </c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109"/>
      <c r="AC66" s="109"/>
      <c r="AD66" s="109"/>
      <c r="AE66" s="109"/>
      <c r="AF66" s="109"/>
      <c r="AG66" s="109"/>
      <c r="AH66" s="109"/>
      <c r="AI66" s="109"/>
      <c r="AJ66" s="109"/>
      <c r="AK66" s="109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</row>
    <row r="67" spans="1:51">
      <c r="A67" s="108"/>
      <c r="B67" s="119">
        <v>23</v>
      </c>
      <c r="C67" s="108" t="s">
        <v>292</v>
      </c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109"/>
      <c r="AC67" s="109"/>
      <c r="AD67" s="109"/>
      <c r="AE67" s="109"/>
      <c r="AF67" s="109"/>
      <c r="AG67" s="109"/>
      <c r="AH67" s="109"/>
      <c r="AI67" s="109"/>
      <c r="AJ67" s="109"/>
      <c r="AK67" s="109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</row>
    <row r="68" spans="1:51">
      <c r="A68" s="108"/>
      <c r="B68" s="119">
        <v>24</v>
      </c>
      <c r="C68" s="108" t="s">
        <v>292</v>
      </c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109"/>
      <c r="AA68" s="109"/>
      <c r="AB68" s="109"/>
      <c r="AC68" s="109"/>
      <c r="AD68" s="109"/>
      <c r="AE68" s="109"/>
      <c r="AF68" s="109"/>
      <c r="AG68" s="109"/>
      <c r="AH68" s="109"/>
      <c r="AI68" s="109"/>
      <c r="AJ68" s="109"/>
      <c r="AK68" s="109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</row>
    <row r="69" spans="1:51">
      <c r="A69" s="108"/>
      <c r="B69" s="126">
        <v>25</v>
      </c>
      <c r="C69" s="108" t="s">
        <v>292</v>
      </c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109"/>
      <c r="AC69" s="109"/>
      <c r="AD69" s="109"/>
      <c r="AE69" s="109"/>
      <c r="AF69" s="109"/>
      <c r="AG69" s="109"/>
      <c r="AH69" s="109"/>
      <c r="AI69" s="109"/>
      <c r="AJ69" s="109"/>
      <c r="AK69" s="109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</row>
    <row r="70" spans="1:51">
      <c r="A70" s="108"/>
      <c r="B70" s="126">
        <v>26</v>
      </c>
      <c r="C70" s="108" t="s">
        <v>292</v>
      </c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109"/>
      <c r="AC70" s="109"/>
      <c r="AD70" s="109"/>
      <c r="AE70" s="109"/>
      <c r="AF70" s="109"/>
      <c r="AG70" s="109"/>
      <c r="AH70" s="109"/>
      <c r="AI70" s="109"/>
      <c r="AJ70" s="109"/>
      <c r="AK70" s="109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</row>
    <row r="71" spans="1:51">
      <c r="A71" s="108"/>
      <c r="B71" s="126">
        <v>27</v>
      </c>
      <c r="C71" s="108" t="s">
        <v>292</v>
      </c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109"/>
      <c r="AC71" s="109"/>
      <c r="AD71" s="109"/>
      <c r="AE71" s="109"/>
      <c r="AF71" s="109"/>
      <c r="AG71" s="109"/>
      <c r="AH71" s="109"/>
      <c r="AI71" s="109"/>
      <c r="AJ71" s="109"/>
      <c r="AK71" s="109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</row>
    <row r="72" spans="1:51">
      <c r="A72" s="108"/>
      <c r="B72" s="126">
        <v>28</v>
      </c>
      <c r="C72" s="108" t="s">
        <v>292</v>
      </c>
      <c r="D72" s="109"/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  <c r="X72" s="109"/>
      <c r="Y72" s="109"/>
      <c r="Z72" s="109"/>
      <c r="AA72" s="109"/>
      <c r="AB72" s="109"/>
      <c r="AC72" s="109"/>
      <c r="AD72" s="109"/>
      <c r="AE72" s="109"/>
      <c r="AF72" s="109"/>
      <c r="AG72" s="109"/>
      <c r="AH72" s="109"/>
      <c r="AI72" s="109"/>
      <c r="AJ72" s="109"/>
      <c r="AK72" s="109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</row>
    <row r="73" spans="1:51">
      <c r="A73" s="108"/>
      <c r="B73" s="126">
        <v>29</v>
      </c>
      <c r="C73" s="108" t="s">
        <v>292</v>
      </c>
      <c r="D73" s="109"/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109"/>
      <c r="AI73" s="109"/>
      <c r="AJ73" s="109"/>
      <c r="AK73" s="109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</row>
    <row r="74" spans="1:51">
      <c r="A74" s="108"/>
      <c r="B74" s="126">
        <v>30</v>
      </c>
      <c r="C74" s="108" t="s">
        <v>292</v>
      </c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109"/>
      <c r="Z74" s="109"/>
      <c r="AA74" s="109"/>
      <c r="AB74" s="109"/>
      <c r="AC74" s="109"/>
      <c r="AD74" s="109"/>
      <c r="AE74" s="109"/>
      <c r="AF74" s="109"/>
      <c r="AG74" s="109"/>
      <c r="AH74" s="109"/>
      <c r="AI74" s="109"/>
      <c r="AJ74" s="109"/>
      <c r="AK74" s="109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</row>
    <row r="75" spans="1:51">
      <c r="A75" s="108"/>
      <c r="B75" s="126">
        <v>31</v>
      </c>
      <c r="C75" s="108" t="s">
        <v>292</v>
      </c>
      <c r="D75" s="109"/>
      <c r="E75" s="109"/>
      <c r="F75" s="109"/>
      <c r="G75" s="109"/>
      <c r="H75" s="109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  <c r="X75" s="109"/>
      <c r="Y75" s="109"/>
      <c r="Z75" s="109"/>
      <c r="AA75" s="109"/>
      <c r="AB75" s="109"/>
      <c r="AC75" s="109"/>
      <c r="AD75" s="109"/>
      <c r="AE75" s="109"/>
      <c r="AF75" s="109"/>
      <c r="AG75" s="109"/>
      <c r="AH75" s="109"/>
      <c r="AI75" s="109"/>
      <c r="AJ75" s="109"/>
      <c r="AK75" s="109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</row>
    <row r="76" spans="1:51">
      <c r="A76" s="108"/>
      <c r="B76" s="126">
        <v>32</v>
      </c>
      <c r="C76" s="108" t="s">
        <v>292</v>
      </c>
      <c r="D76" s="109"/>
      <c r="E76" s="109"/>
      <c r="F76" s="109"/>
      <c r="G76" s="109"/>
      <c r="H76" s="109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  <c r="X76" s="109"/>
      <c r="Y76" s="109"/>
      <c r="Z76" s="109"/>
      <c r="AA76" s="109"/>
      <c r="AB76" s="109"/>
      <c r="AC76" s="109"/>
      <c r="AD76" s="109"/>
      <c r="AE76" s="109"/>
      <c r="AF76" s="109"/>
      <c r="AG76" s="109"/>
      <c r="AH76" s="109"/>
      <c r="AI76" s="109"/>
      <c r="AJ76" s="109"/>
      <c r="AK76" s="109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</row>
    <row r="77" spans="1:51">
      <c r="A77" s="108"/>
      <c r="B77" s="126">
        <v>33</v>
      </c>
      <c r="C77" s="108" t="s">
        <v>292</v>
      </c>
      <c r="D77" s="109"/>
      <c r="E77" s="109"/>
      <c r="F77" s="109"/>
      <c r="G77" s="109"/>
      <c r="H77" s="109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  <c r="X77" s="109"/>
      <c r="Y77" s="109"/>
      <c r="Z77" s="109"/>
      <c r="AA77" s="109"/>
      <c r="AB77" s="109"/>
      <c r="AC77" s="109"/>
      <c r="AD77" s="109"/>
      <c r="AE77" s="109"/>
      <c r="AF77" s="109"/>
      <c r="AG77" s="109"/>
      <c r="AH77" s="109"/>
      <c r="AI77" s="109"/>
      <c r="AJ77" s="109"/>
      <c r="AK77" s="109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</row>
    <row r="78" spans="1:51">
      <c r="A78" s="108"/>
      <c r="B78" s="126">
        <v>34</v>
      </c>
      <c r="C78" s="108" t="s">
        <v>292</v>
      </c>
      <c r="D78" s="109"/>
      <c r="E78" s="109"/>
      <c r="F78" s="109"/>
      <c r="G78" s="109"/>
      <c r="H78" s="109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  <c r="X78" s="109"/>
      <c r="Y78" s="109"/>
      <c r="Z78" s="109"/>
      <c r="AA78" s="109"/>
      <c r="AB78" s="109"/>
      <c r="AC78" s="109"/>
      <c r="AD78" s="109"/>
      <c r="AE78" s="109"/>
      <c r="AF78" s="109"/>
      <c r="AG78" s="109"/>
      <c r="AH78" s="109"/>
      <c r="AI78" s="109"/>
      <c r="AJ78" s="109"/>
      <c r="AK78" s="109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</row>
    <row r="79" spans="1:51">
      <c r="A79" s="108"/>
      <c r="B79" s="126">
        <v>35</v>
      </c>
      <c r="C79" s="108" t="s">
        <v>292</v>
      </c>
      <c r="D79" s="109"/>
      <c r="E79" s="109"/>
      <c r="F79" s="109"/>
      <c r="G79" s="109"/>
      <c r="H79" s="10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  <c r="X79" s="109"/>
      <c r="Y79" s="109"/>
      <c r="Z79" s="109"/>
      <c r="AA79" s="109"/>
      <c r="AB79" s="109"/>
      <c r="AC79" s="109"/>
      <c r="AD79" s="109"/>
      <c r="AE79" s="109"/>
      <c r="AF79" s="109"/>
      <c r="AG79" s="109"/>
      <c r="AH79" s="109"/>
      <c r="AI79" s="109"/>
      <c r="AJ79" s="109"/>
      <c r="AK79" s="109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</row>
    <row r="80" spans="1:51">
      <c r="A80" s="108"/>
      <c r="B80" s="126">
        <v>36</v>
      </c>
      <c r="C80" s="108" t="s">
        <v>292</v>
      </c>
      <c r="D80" s="109"/>
      <c r="E80" s="109"/>
      <c r="F80" s="109"/>
      <c r="G80" s="109"/>
      <c r="H80" s="109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  <c r="X80" s="109"/>
      <c r="Y80" s="109"/>
      <c r="Z80" s="109"/>
      <c r="AA80" s="109"/>
      <c r="AB80" s="109"/>
      <c r="AC80" s="109"/>
      <c r="AD80" s="109"/>
      <c r="AE80" s="109"/>
      <c r="AF80" s="109"/>
      <c r="AG80" s="109"/>
      <c r="AH80" s="109"/>
      <c r="AI80" s="109"/>
      <c r="AJ80" s="109"/>
      <c r="AK80" s="109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</row>
    <row r="81" spans="1:52">
      <c r="A81" s="108"/>
      <c r="B81" s="129">
        <v>37</v>
      </c>
      <c r="C81" s="108" t="s">
        <v>292</v>
      </c>
      <c r="D81" s="109"/>
      <c r="E81" s="109"/>
      <c r="F81" s="109"/>
      <c r="G81" s="109"/>
      <c r="H81" s="109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  <c r="X81" s="109"/>
      <c r="Y81" s="109"/>
      <c r="Z81" s="109"/>
      <c r="AA81" s="109"/>
      <c r="AB81" s="109"/>
      <c r="AC81" s="109"/>
      <c r="AD81" s="109"/>
      <c r="AE81" s="109"/>
      <c r="AF81" s="109"/>
      <c r="AG81" s="109"/>
      <c r="AH81" s="109"/>
      <c r="AI81" s="109"/>
      <c r="AJ81" s="109"/>
      <c r="AK81" s="109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</row>
    <row r="82" spans="1:52">
      <c r="A82" s="108"/>
      <c r="B82" s="129">
        <v>38</v>
      </c>
      <c r="C82" s="108" t="s">
        <v>292</v>
      </c>
      <c r="D82" s="109"/>
      <c r="E82" s="109"/>
      <c r="F82" s="109"/>
      <c r="G82" s="109"/>
      <c r="H82" s="109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09"/>
      <c r="AC82" s="109"/>
      <c r="AD82" s="109"/>
      <c r="AE82" s="109"/>
      <c r="AF82" s="109"/>
      <c r="AG82" s="109"/>
      <c r="AH82" s="109"/>
      <c r="AI82" s="109"/>
      <c r="AJ82" s="109"/>
      <c r="AK82" s="109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</row>
    <row r="83" spans="1:52">
      <c r="A83" s="108"/>
      <c r="B83" s="129">
        <v>39</v>
      </c>
      <c r="C83" s="108" t="s">
        <v>292</v>
      </c>
      <c r="D83" s="109"/>
      <c r="E83" s="109"/>
      <c r="F83" s="109"/>
      <c r="G83" s="109"/>
      <c r="H83" s="109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  <c r="X83" s="109"/>
      <c r="Y83" s="109"/>
      <c r="Z83" s="109"/>
      <c r="AA83" s="109"/>
      <c r="AB83" s="109"/>
      <c r="AC83" s="109"/>
      <c r="AD83" s="109"/>
      <c r="AE83" s="109"/>
      <c r="AF83" s="109"/>
      <c r="AG83" s="109"/>
      <c r="AH83" s="109"/>
      <c r="AI83" s="109"/>
      <c r="AJ83" s="109"/>
      <c r="AK83" s="109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</row>
    <row r="84" spans="1:52">
      <c r="A84" s="108"/>
      <c r="B84" s="129">
        <v>40</v>
      </c>
      <c r="C84" s="108" t="s">
        <v>292</v>
      </c>
      <c r="D84" s="109"/>
      <c r="E84" s="109"/>
      <c r="F84" s="109"/>
      <c r="G84" s="109"/>
      <c r="H84" s="109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109"/>
      <c r="AJ84" s="109"/>
      <c r="AK84" s="109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</row>
    <row r="85" spans="1:52">
      <c r="A85" s="108"/>
      <c r="B85" s="129">
        <v>41</v>
      </c>
      <c r="C85" s="108" t="s">
        <v>292</v>
      </c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  <c r="X85" s="109"/>
      <c r="Y85" s="109"/>
      <c r="Z85" s="109"/>
      <c r="AA85" s="109"/>
      <c r="AB85" s="109"/>
      <c r="AC85" s="109"/>
      <c r="AD85" s="109"/>
      <c r="AE85" s="109"/>
      <c r="AF85" s="109"/>
      <c r="AG85" s="109"/>
      <c r="AH85" s="109"/>
      <c r="AI85" s="109"/>
      <c r="AJ85" s="109"/>
      <c r="AK85" s="109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</row>
    <row r="86" spans="1:52">
      <c r="A86" s="108"/>
      <c r="B86" s="129">
        <v>42</v>
      </c>
      <c r="C86" s="108" t="s">
        <v>292</v>
      </c>
      <c r="D86" s="109"/>
      <c r="E86" s="109"/>
      <c r="F86" s="109"/>
      <c r="G86" s="109"/>
      <c r="H86" s="109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  <c r="X86" s="109"/>
      <c r="Y86" s="109"/>
      <c r="Z86" s="109"/>
      <c r="AA86" s="109"/>
      <c r="AB86" s="109"/>
      <c r="AC86" s="109"/>
      <c r="AD86" s="109"/>
      <c r="AE86" s="109"/>
      <c r="AF86" s="109"/>
      <c r="AG86" s="109"/>
      <c r="AH86" s="109"/>
      <c r="AI86" s="109"/>
      <c r="AJ86" s="109"/>
      <c r="AK86" s="109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</row>
    <row r="87" spans="1:52">
      <c r="A87" s="108"/>
      <c r="B87" s="129">
        <v>43</v>
      </c>
      <c r="C87" s="108" t="s">
        <v>292</v>
      </c>
      <c r="D87" s="109"/>
      <c r="E87" s="109"/>
      <c r="F87" s="109"/>
      <c r="G87" s="109"/>
      <c r="H87" s="109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  <c r="X87" s="109"/>
      <c r="Y87" s="109"/>
      <c r="Z87" s="109"/>
      <c r="AA87" s="109"/>
      <c r="AB87" s="109"/>
      <c r="AC87" s="109"/>
      <c r="AD87" s="109"/>
      <c r="AE87" s="109"/>
      <c r="AF87" s="109"/>
      <c r="AG87" s="109"/>
      <c r="AH87" s="109"/>
      <c r="AI87" s="109"/>
      <c r="AJ87" s="109"/>
      <c r="AK87" s="109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</row>
    <row r="88" spans="1:52">
      <c r="A88" s="108"/>
      <c r="B88" s="129">
        <v>44</v>
      </c>
      <c r="C88" s="108" t="s">
        <v>292</v>
      </c>
      <c r="D88" s="109"/>
      <c r="E88" s="109"/>
      <c r="F88" s="109"/>
      <c r="G88" s="109"/>
      <c r="H88" s="109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  <c r="X88" s="109"/>
      <c r="Y88" s="109"/>
      <c r="Z88" s="109"/>
      <c r="AA88" s="109"/>
      <c r="AB88" s="109"/>
      <c r="AC88" s="109"/>
      <c r="AD88" s="109"/>
      <c r="AE88" s="109"/>
      <c r="AF88" s="109"/>
      <c r="AG88" s="109"/>
      <c r="AH88" s="109"/>
      <c r="AI88" s="109"/>
      <c r="AJ88" s="109"/>
      <c r="AK88" s="109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</row>
    <row r="89" spans="1:52">
      <c r="A89" s="108"/>
      <c r="B89" s="129">
        <v>45</v>
      </c>
      <c r="C89" s="108" t="s">
        <v>292</v>
      </c>
      <c r="D89" s="109"/>
      <c r="E89" s="109"/>
      <c r="F89" s="109"/>
      <c r="G89" s="109"/>
      <c r="H89" s="10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  <c r="X89" s="109"/>
      <c r="Y89" s="109"/>
      <c r="Z89" s="109"/>
      <c r="AA89" s="109"/>
      <c r="AB89" s="109"/>
      <c r="AC89" s="109"/>
      <c r="AD89" s="109"/>
      <c r="AE89" s="109"/>
      <c r="AF89" s="109"/>
      <c r="AG89" s="109"/>
      <c r="AH89" s="109"/>
      <c r="AI89" s="109"/>
      <c r="AJ89" s="109"/>
      <c r="AK89" s="109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</row>
    <row r="90" spans="1:52">
      <c r="A90" s="108"/>
      <c r="B90" s="129">
        <v>46</v>
      </c>
      <c r="C90" s="108" t="s">
        <v>292</v>
      </c>
      <c r="D90" s="109"/>
      <c r="E90" s="109"/>
      <c r="F90" s="109"/>
      <c r="G90" s="109"/>
      <c r="H90" s="109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  <c r="AB90" s="109"/>
      <c r="AC90" s="109"/>
      <c r="AD90" s="109"/>
      <c r="AE90" s="109"/>
      <c r="AF90" s="109"/>
      <c r="AG90" s="109"/>
      <c r="AH90" s="109"/>
      <c r="AI90" s="109"/>
      <c r="AJ90" s="109"/>
      <c r="AK90" s="109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</row>
    <row r="91" spans="1:52">
      <c r="A91" s="108"/>
      <c r="B91" s="129">
        <v>47</v>
      </c>
      <c r="C91" s="108" t="s">
        <v>292</v>
      </c>
      <c r="D91" s="109"/>
      <c r="E91" s="109"/>
      <c r="F91" s="109"/>
      <c r="G91" s="109"/>
      <c r="H91" s="109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  <c r="X91" s="109"/>
      <c r="Y91" s="109"/>
      <c r="Z91" s="109"/>
      <c r="AA91" s="109"/>
      <c r="AB91" s="109"/>
      <c r="AC91" s="109"/>
      <c r="AD91" s="109"/>
      <c r="AE91" s="109"/>
      <c r="AF91" s="109"/>
      <c r="AG91" s="109"/>
      <c r="AH91" s="109"/>
      <c r="AI91" s="109"/>
      <c r="AJ91" s="109"/>
      <c r="AK91" s="109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</row>
    <row r="92" spans="1:52">
      <c r="A92" s="127"/>
      <c r="B92" s="128">
        <v>48</v>
      </c>
      <c r="C92" s="127" t="s">
        <v>292</v>
      </c>
      <c r="D92" s="124">
        <v>0</v>
      </c>
      <c r="E92" s="124">
        <v>0</v>
      </c>
      <c r="F92" s="124">
        <v>0</v>
      </c>
      <c r="G92" s="124">
        <v>0</v>
      </c>
      <c r="H92" s="124">
        <v>0</v>
      </c>
      <c r="I92" s="124">
        <v>0</v>
      </c>
      <c r="J92" s="124">
        <v>0</v>
      </c>
      <c r="K92" s="124">
        <v>0</v>
      </c>
      <c r="L92" s="124">
        <v>0</v>
      </c>
      <c r="M92" s="124">
        <v>0</v>
      </c>
      <c r="N92" s="124">
        <v>0</v>
      </c>
      <c r="O92" s="124">
        <v>0</v>
      </c>
      <c r="P92" s="124">
        <v>0</v>
      </c>
      <c r="Q92" s="124">
        <v>0</v>
      </c>
      <c r="R92" s="124">
        <v>0</v>
      </c>
      <c r="S92" s="124">
        <v>0</v>
      </c>
      <c r="T92" s="124">
        <v>0</v>
      </c>
      <c r="U92" s="124">
        <v>0</v>
      </c>
      <c r="V92" s="124">
        <v>0</v>
      </c>
      <c r="W92" s="124">
        <v>0</v>
      </c>
      <c r="X92" s="124">
        <v>0</v>
      </c>
      <c r="Y92" s="124">
        <v>0</v>
      </c>
      <c r="Z92" s="124">
        <v>0</v>
      </c>
      <c r="AA92" s="124">
        <v>0</v>
      </c>
      <c r="AB92" s="124">
        <v>0</v>
      </c>
      <c r="AC92" s="124">
        <v>0</v>
      </c>
      <c r="AD92" s="124">
        <v>0</v>
      </c>
      <c r="AE92" s="124">
        <v>0</v>
      </c>
      <c r="AF92" s="124">
        <v>0</v>
      </c>
      <c r="AG92" s="124">
        <v>0</v>
      </c>
      <c r="AH92" s="124">
        <v>0</v>
      </c>
      <c r="AI92" s="124">
        <v>0</v>
      </c>
      <c r="AJ92" s="124">
        <v>0</v>
      </c>
      <c r="AK92" s="124">
        <v>0</v>
      </c>
      <c r="AL92" s="124">
        <v>0</v>
      </c>
      <c r="AM92" s="124">
        <v>0</v>
      </c>
      <c r="AN92" s="124">
        <v>0</v>
      </c>
      <c r="AO92" s="124">
        <v>0</v>
      </c>
      <c r="AP92" s="124">
        <v>0</v>
      </c>
      <c r="AQ92" s="124">
        <v>0</v>
      </c>
      <c r="AR92" s="124">
        <v>0</v>
      </c>
      <c r="AS92" s="124">
        <v>0</v>
      </c>
      <c r="AT92" s="124">
        <v>0</v>
      </c>
      <c r="AU92" s="124">
        <v>0</v>
      </c>
      <c r="AV92" s="124">
        <v>0</v>
      </c>
      <c r="AW92" s="124">
        <v>0</v>
      </c>
      <c r="AX92" s="124">
        <v>0</v>
      </c>
      <c r="AY92" s="124">
        <v>0</v>
      </c>
      <c r="AZ92" s="106">
        <f>SUM(D21:AY92)</f>
        <v>0</v>
      </c>
    </row>
    <row r="94" spans="1:52">
      <c r="A94" s="101" t="s">
        <v>294</v>
      </c>
      <c r="B94" s="105"/>
      <c r="C94" s="105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  <c r="AA94" s="113"/>
      <c r="AB94" s="113"/>
      <c r="AC94" s="113"/>
      <c r="AD94" s="113"/>
      <c r="AE94" s="113"/>
      <c r="AF94" s="113"/>
      <c r="AG94" s="113"/>
      <c r="AH94" s="113"/>
      <c r="AI94" s="113"/>
      <c r="AJ94" s="113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  <c r="AU94" s="113"/>
      <c r="AV94" s="113"/>
      <c r="AW94" s="113"/>
      <c r="AX94" s="113"/>
      <c r="AY94" s="113"/>
    </row>
    <row r="95" spans="1:52">
      <c r="A95" s="125" t="s">
        <v>125</v>
      </c>
      <c r="B95" s="122">
        <v>1</v>
      </c>
      <c r="C95" s="123"/>
      <c r="D95" s="109">
        <v>468.999235</v>
      </c>
      <c r="E95" s="109">
        <v>468.999235</v>
      </c>
      <c r="F95" s="109">
        <v>468.999235</v>
      </c>
      <c r="G95" s="109">
        <v>468.999235</v>
      </c>
      <c r="H95" s="109">
        <v>468.999235</v>
      </c>
      <c r="I95" s="109">
        <v>468.999235</v>
      </c>
      <c r="J95" s="109">
        <v>468.999235</v>
      </c>
      <c r="K95" s="109">
        <v>468.999235</v>
      </c>
      <c r="L95" s="109">
        <v>468.99914999999999</v>
      </c>
      <c r="M95" s="109">
        <v>468.99914999999999</v>
      </c>
      <c r="N95" s="109">
        <v>468.99914999999999</v>
      </c>
      <c r="O95" s="109">
        <v>468.99914999999999</v>
      </c>
      <c r="P95" s="109">
        <v>452.999235</v>
      </c>
      <c r="Q95" s="109">
        <v>452.999235</v>
      </c>
      <c r="R95" s="109">
        <v>452.999235</v>
      </c>
      <c r="S95" s="109">
        <v>452.999235</v>
      </c>
      <c r="T95" s="109">
        <v>452.999235</v>
      </c>
      <c r="U95" s="109">
        <v>452.999235</v>
      </c>
      <c r="V95" s="109">
        <v>452.999235</v>
      </c>
      <c r="W95" s="109">
        <v>452.999235</v>
      </c>
      <c r="X95" s="109">
        <v>484.99906499999997</v>
      </c>
      <c r="Y95" s="109">
        <v>484.99906499999997</v>
      </c>
      <c r="Z95" s="109">
        <v>484.99906499999997</v>
      </c>
      <c r="AA95" s="109">
        <v>484.99906499999997</v>
      </c>
      <c r="AB95" s="109">
        <v>484.99914999999999</v>
      </c>
      <c r="AC95" s="109">
        <v>484.99914999999999</v>
      </c>
      <c r="AD95" s="109">
        <v>484.99914999999999</v>
      </c>
      <c r="AE95" s="109">
        <v>484.99914999999999</v>
      </c>
      <c r="AF95" s="109">
        <v>468.99914999999999</v>
      </c>
      <c r="AG95" s="109">
        <v>468.99914999999999</v>
      </c>
      <c r="AH95" s="109">
        <v>468.99914999999999</v>
      </c>
      <c r="AI95" s="109">
        <v>468.99914999999999</v>
      </c>
      <c r="AJ95" s="109">
        <v>484.99914999999999</v>
      </c>
      <c r="AK95" s="109">
        <v>484.99914999999999</v>
      </c>
      <c r="AL95" s="109">
        <v>484.99914999999999</v>
      </c>
      <c r="AM95" s="109">
        <v>484.99914999999999</v>
      </c>
      <c r="AN95" s="109">
        <v>500.99906499999997</v>
      </c>
      <c r="AO95" s="109">
        <v>500.99906499999997</v>
      </c>
      <c r="AP95" s="109">
        <v>500.99906499999997</v>
      </c>
      <c r="AQ95" s="109">
        <v>500.99906499999997</v>
      </c>
      <c r="AR95" s="109">
        <v>468.99914999999999</v>
      </c>
      <c r="AS95" s="109">
        <v>468.99914999999999</v>
      </c>
      <c r="AT95" s="109">
        <v>468.99914999999999</v>
      </c>
      <c r="AU95" s="109">
        <v>468.99914999999999</v>
      </c>
      <c r="AV95" s="109">
        <v>484.99914999999999</v>
      </c>
      <c r="AW95" s="109">
        <v>484.99914999999999</v>
      </c>
      <c r="AX95" s="109">
        <v>484.99914999999999</v>
      </c>
      <c r="AY95" s="109">
        <v>484.99914999999999</v>
      </c>
    </row>
    <row r="96" spans="1:52">
      <c r="A96" s="108"/>
      <c r="B96" s="119">
        <v>2</v>
      </c>
      <c r="C96" s="109"/>
      <c r="D96" s="109">
        <v>0</v>
      </c>
      <c r="E96" s="109">
        <v>145.999235</v>
      </c>
      <c r="F96" s="109">
        <v>283.99847</v>
      </c>
      <c r="G96" s="109">
        <v>367.997705</v>
      </c>
      <c r="H96" s="109">
        <v>461.99694</v>
      </c>
      <c r="I96" s="109">
        <v>468.999235</v>
      </c>
      <c r="J96" s="109">
        <v>468.999235</v>
      </c>
      <c r="K96" s="109">
        <v>468.999235</v>
      </c>
      <c r="L96" s="109">
        <v>468.999235</v>
      </c>
      <c r="M96" s="109">
        <v>468.99914999999999</v>
      </c>
      <c r="N96" s="109">
        <v>468.99914999999999</v>
      </c>
      <c r="O96" s="109">
        <v>468.99914999999999</v>
      </c>
      <c r="P96" s="109">
        <v>468.99914999999999</v>
      </c>
      <c r="Q96" s="109">
        <v>452.999235</v>
      </c>
      <c r="R96" s="109">
        <v>452.999235</v>
      </c>
      <c r="S96" s="109">
        <v>452.999235</v>
      </c>
      <c r="T96" s="109">
        <v>452.999235</v>
      </c>
      <c r="U96" s="109">
        <v>452.999235</v>
      </c>
      <c r="V96" s="109">
        <v>452.999235</v>
      </c>
      <c r="W96" s="109">
        <v>452.999235</v>
      </c>
      <c r="X96" s="109">
        <v>452.999235</v>
      </c>
      <c r="Y96" s="109">
        <v>484.99906499999997</v>
      </c>
      <c r="Z96" s="109">
        <v>484.99906499999997</v>
      </c>
      <c r="AA96" s="109">
        <v>484.99906499999997</v>
      </c>
      <c r="AB96" s="109">
        <v>484.99906499999997</v>
      </c>
      <c r="AC96" s="109">
        <v>484.99914999999999</v>
      </c>
      <c r="AD96" s="109">
        <v>484.99914999999999</v>
      </c>
      <c r="AE96" s="109">
        <v>484.99914999999999</v>
      </c>
      <c r="AF96" s="109">
        <v>484.99914999999999</v>
      </c>
      <c r="AG96" s="109">
        <v>468.99914999999999</v>
      </c>
      <c r="AH96" s="109">
        <v>468.99914999999999</v>
      </c>
      <c r="AI96" s="109">
        <v>468.99914999999999</v>
      </c>
      <c r="AJ96" s="109">
        <v>468.99914999999999</v>
      </c>
      <c r="AK96" s="109">
        <v>484.99914999999999</v>
      </c>
      <c r="AL96" s="109">
        <v>484.99914999999999</v>
      </c>
      <c r="AM96" s="109">
        <v>484.99914999999999</v>
      </c>
      <c r="AN96" s="109">
        <v>484.99914999999999</v>
      </c>
      <c r="AO96" s="109">
        <v>500.99906499999997</v>
      </c>
      <c r="AP96" s="109">
        <v>500.99906499999997</v>
      </c>
      <c r="AQ96" s="109">
        <v>500.99906499999997</v>
      </c>
      <c r="AR96" s="109">
        <v>500.99906499999997</v>
      </c>
      <c r="AS96" s="109">
        <v>468.99914999999999</v>
      </c>
      <c r="AT96" s="109">
        <v>468.99914999999999</v>
      </c>
      <c r="AU96" s="109">
        <v>468.99914999999999</v>
      </c>
      <c r="AV96" s="109">
        <v>468.99914999999999</v>
      </c>
      <c r="AW96" s="109">
        <v>484.99914999999999</v>
      </c>
      <c r="AX96" s="109">
        <v>484.99914999999999</v>
      </c>
      <c r="AY96" s="109">
        <v>484.99914999999999</v>
      </c>
    </row>
    <row r="97" spans="1:52">
      <c r="A97" s="108"/>
      <c r="B97" s="126">
        <v>3</v>
      </c>
      <c r="C97" s="109"/>
      <c r="D97" s="109">
        <v>0</v>
      </c>
      <c r="E97" s="109">
        <v>0</v>
      </c>
      <c r="F97" s="109">
        <v>0</v>
      </c>
      <c r="G97" s="109">
        <v>0</v>
      </c>
      <c r="H97" s="109">
        <v>0</v>
      </c>
      <c r="I97" s="109">
        <v>120.99694</v>
      </c>
      <c r="J97" s="109">
        <v>269.99617499999999</v>
      </c>
      <c r="K97" s="109">
        <v>261.99540999999999</v>
      </c>
      <c r="L97" s="109">
        <v>312.99464499999999</v>
      </c>
      <c r="M97" s="109">
        <v>367.99387999999999</v>
      </c>
      <c r="N97" s="109">
        <v>468.99914999999999</v>
      </c>
      <c r="O97" s="109">
        <v>468.99914999999999</v>
      </c>
      <c r="P97" s="109">
        <v>468.99914999999999</v>
      </c>
      <c r="Q97" s="109">
        <v>468.99914999999999</v>
      </c>
      <c r="R97" s="109">
        <v>452.999235</v>
      </c>
      <c r="S97" s="109">
        <v>452.999235</v>
      </c>
      <c r="T97" s="109">
        <v>452.999235</v>
      </c>
      <c r="U97" s="109">
        <v>452.999235</v>
      </c>
      <c r="V97" s="109">
        <v>452.999235</v>
      </c>
      <c r="W97" s="109">
        <v>452.999235</v>
      </c>
      <c r="X97" s="109">
        <v>452.999235</v>
      </c>
      <c r="Y97" s="109">
        <v>452.999235</v>
      </c>
      <c r="Z97" s="109">
        <v>484.99906499999997</v>
      </c>
      <c r="AA97" s="109">
        <v>484.99906499999997</v>
      </c>
      <c r="AB97" s="109">
        <v>484.99906499999997</v>
      </c>
      <c r="AC97" s="109">
        <v>484.99906499999997</v>
      </c>
      <c r="AD97" s="109">
        <v>484.99914999999999</v>
      </c>
      <c r="AE97" s="109">
        <v>484.99914999999999</v>
      </c>
      <c r="AF97" s="109">
        <v>484.99914999999999</v>
      </c>
      <c r="AG97" s="109">
        <v>484.99914999999999</v>
      </c>
      <c r="AH97" s="109">
        <v>468.99914999999999</v>
      </c>
      <c r="AI97" s="109">
        <v>468.99914999999999</v>
      </c>
      <c r="AJ97" s="109">
        <v>468.99914999999999</v>
      </c>
      <c r="AK97" s="109">
        <v>468.99914999999999</v>
      </c>
      <c r="AL97" s="109">
        <v>484.99914999999999</v>
      </c>
      <c r="AM97" s="109">
        <v>484.99914999999999</v>
      </c>
      <c r="AN97" s="109">
        <v>484.99914999999999</v>
      </c>
      <c r="AO97" s="109">
        <v>484.99914999999999</v>
      </c>
      <c r="AP97" s="109">
        <v>500.99906499999997</v>
      </c>
      <c r="AQ97" s="109">
        <v>500.99906499999997</v>
      </c>
      <c r="AR97" s="109">
        <v>500.99906499999997</v>
      </c>
      <c r="AS97" s="109">
        <v>500.99906499999997</v>
      </c>
      <c r="AT97" s="109">
        <v>468.99914999999999</v>
      </c>
      <c r="AU97" s="109">
        <v>468.99914999999999</v>
      </c>
      <c r="AV97" s="109">
        <v>468.99914999999999</v>
      </c>
      <c r="AW97" s="109">
        <v>468.99914999999999</v>
      </c>
      <c r="AX97" s="109">
        <v>484.99914999999999</v>
      </c>
      <c r="AY97" s="109">
        <v>484.99914999999999</v>
      </c>
    </row>
    <row r="98" spans="1:52">
      <c r="A98" s="108"/>
      <c r="B98" s="129">
        <v>4</v>
      </c>
      <c r="C98" s="105"/>
      <c r="D98" s="109">
        <v>0</v>
      </c>
      <c r="E98" s="109">
        <v>0</v>
      </c>
      <c r="F98" s="109">
        <v>0</v>
      </c>
      <c r="G98" s="109">
        <v>0</v>
      </c>
      <c r="H98" s="109">
        <v>0</v>
      </c>
      <c r="I98" s="109">
        <v>0</v>
      </c>
      <c r="J98" s="109">
        <v>0</v>
      </c>
      <c r="K98" s="109">
        <v>0</v>
      </c>
      <c r="L98" s="109">
        <v>0</v>
      </c>
      <c r="M98" s="109">
        <v>0</v>
      </c>
      <c r="N98" s="109">
        <v>54.99387999999999</v>
      </c>
      <c r="O98" s="109">
        <v>150.99302999999998</v>
      </c>
      <c r="P98" s="109">
        <v>165.99217999999996</v>
      </c>
      <c r="Q98" s="109">
        <v>202.99132999999995</v>
      </c>
      <c r="R98" s="109">
        <v>278.99047999999993</v>
      </c>
      <c r="S98" s="109">
        <v>369.98971499999993</v>
      </c>
      <c r="T98" s="109">
        <v>452.999235</v>
      </c>
      <c r="U98" s="109">
        <v>452.999235</v>
      </c>
      <c r="V98" s="109">
        <v>452.999235</v>
      </c>
      <c r="W98" s="109">
        <v>400.99847</v>
      </c>
      <c r="X98" s="109">
        <v>452.999235</v>
      </c>
      <c r="Y98" s="109">
        <v>452.999235</v>
      </c>
      <c r="Z98" s="109">
        <v>452.999235</v>
      </c>
      <c r="AA98" s="109">
        <v>484.99906499999997</v>
      </c>
      <c r="AB98" s="109">
        <v>484.99906499999997</v>
      </c>
      <c r="AC98" s="109">
        <v>452.99812999999995</v>
      </c>
      <c r="AD98" s="109">
        <v>461.99719499999992</v>
      </c>
      <c r="AE98" s="109">
        <v>484.99914999999999</v>
      </c>
      <c r="AF98" s="109">
        <v>484.99914999999999</v>
      </c>
      <c r="AG98" s="109">
        <v>484.99914999999999</v>
      </c>
      <c r="AH98" s="109">
        <v>484.99914999999999</v>
      </c>
      <c r="AI98" s="109">
        <v>468.99914999999999</v>
      </c>
      <c r="AJ98" s="109">
        <v>468.99914999999999</v>
      </c>
      <c r="AK98" s="109">
        <v>468.99914999999999</v>
      </c>
      <c r="AL98" s="109">
        <v>468.99914999999999</v>
      </c>
      <c r="AM98" s="109">
        <v>413.99829999999997</v>
      </c>
      <c r="AN98" s="109">
        <v>484.99914999999999</v>
      </c>
      <c r="AO98" s="109">
        <v>467.99829999999997</v>
      </c>
      <c r="AP98" s="109">
        <v>484.99914999999999</v>
      </c>
      <c r="AQ98" s="109">
        <v>486.99821499999996</v>
      </c>
      <c r="AR98" s="109">
        <v>460.99727999999993</v>
      </c>
      <c r="AS98" s="109">
        <v>500.99906499999997</v>
      </c>
      <c r="AT98" s="109">
        <v>500.99906499999997</v>
      </c>
      <c r="AU98" s="109">
        <v>468.99914999999999</v>
      </c>
      <c r="AV98" s="109">
        <v>468.99914999999999</v>
      </c>
      <c r="AW98" s="109">
        <v>468.99914999999999</v>
      </c>
      <c r="AX98" s="109">
        <v>423.99829999999997</v>
      </c>
      <c r="AY98" s="109">
        <v>392.99744999999996</v>
      </c>
    </row>
    <row r="99" spans="1:52">
      <c r="A99" s="127"/>
      <c r="B99" s="131" t="s">
        <v>295</v>
      </c>
      <c r="C99" s="124"/>
      <c r="D99" s="124">
        <v>0</v>
      </c>
      <c r="E99" s="124">
        <v>0</v>
      </c>
      <c r="F99" s="124">
        <v>0</v>
      </c>
      <c r="G99" s="124">
        <v>0</v>
      </c>
      <c r="H99" s="124">
        <v>0</v>
      </c>
      <c r="I99" s="124">
        <v>0</v>
      </c>
      <c r="J99" s="124">
        <v>0</v>
      </c>
      <c r="K99" s="124">
        <v>0</v>
      </c>
      <c r="L99" s="124">
        <v>0</v>
      </c>
      <c r="M99" s="124">
        <v>0</v>
      </c>
      <c r="N99" s="124">
        <v>0</v>
      </c>
      <c r="O99" s="124">
        <v>0</v>
      </c>
      <c r="P99" s="124">
        <v>0</v>
      </c>
      <c r="Q99" s="124">
        <v>0</v>
      </c>
      <c r="R99" s="124">
        <v>0</v>
      </c>
      <c r="S99" s="124">
        <v>0</v>
      </c>
      <c r="T99" s="124">
        <v>23.989714999999933</v>
      </c>
      <c r="U99" s="124">
        <v>3.9992349999999988</v>
      </c>
      <c r="V99" s="124">
        <v>78.999234999999999</v>
      </c>
      <c r="W99" s="124">
        <v>0</v>
      </c>
      <c r="X99" s="124">
        <v>64.998469999999998</v>
      </c>
      <c r="Y99" s="124">
        <v>90.999234999999999</v>
      </c>
      <c r="Z99" s="124">
        <v>13.999234999999999</v>
      </c>
      <c r="AA99" s="124">
        <v>67.999234999999999</v>
      </c>
      <c r="AB99" s="124">
        <v>113.99906499999997</v>
      </c>
      <c r="AC99" s="124">
        <v>0</v>
      </c>
      <c r="AD99" s="124">
        <v>0</v>
      </c>
      <c r="AE99" s="124">
        <v>104.99719499999992</v>
      </c>
      <c r="AF99" s="124">
        <v>64.999149999999986</v>
      </c>
      <c r="AG99" s="124">
        <v>66.999149999999986</v>
      </c>
      <c r="AH99" s="124">
        <v>65.999149999999986</v>
      </c>
      <c r="AI99" s="124">
        <v>177.99914999999999</v>
      </c>
      <c r="AJ99" s="124">
        <v>70.999149999999986</v>
      </c>
      <c r="AK99" s="124">
        <v>52.999149999999986</v>
      </c>
      <c r="AL99" s="124">
        <v>60.999149999999986</v>
      </c>
      <c r="AM99" s="124">
        <v>0</v>
      </c>
      <c r="AN99" s="124">
        <v>13.998299999999972</v>
      </c>
      <c r="AO99" s="124">
        <v>0</v>
      </c>
      <c r="AP99" s="124">
        <v>66.998299999999972</v>
      </c>
      <c r="AQ99" s="124">
        <v>0</v>
      </c>
      <c r="AR99" s="124">
        <v>0</v>
      </c>
      <c r="AS99" s="124">
        <v>44.997279999999932</v>
      </c>
      <c r="AT99" s="124">
        <v>120.99906499999997</v>
      </c>
      <c r="AU99" s="124">
        <v>17.999064999999973</v>
      </c>
      <c r="AV99" s="124">
        <v>66.999149999999986</v>
      </c>
      <c r="AW99" s="124">
        <v>85.999149999999986</v>
      </c>
      <c r="AX99" s="124">
        <v>0</v>
      </c>
      <c r="AY99" s="124">
        <v>0</v>
      </c>
      <c r="AZ99" s="106">
        <f>SUM($D99:$AY99)</f>
        <v>1542.9649799999997</v>
      </c>
    </row>
    <row r="100" spans="1:52">
      <c r="A100" s="130" t="s">
        <v>133</v>
      </c>
      <c r="B100" s="118">
        <v>1</v>
      </c>
      <c r="C100" s="105"/>
      <c r="D100" s="105">
        <v>0</v>
      </c>
      <c r="E100" s="105">
        <v>0</v>
      </c>
      <c r="F100" s="105">
        <v>946.62952646239398</v>
      </c>
      <c r="G100" s="105">
        <v>0</v>
      </c>
      <c r="H100" s="105">
        <v>907.18662952646093</v>
      </c>
      <c r="I100" s="105">
        <v>1609.2953138400001</v>
      </c>
      <c r="J100" s="105">
        <v>1609.2953138400001</v>
      </c>
      <c r="K100" s="105">
        <v>0</v>
      </c>
      <c r="L100" s="105">
        <v>1609.2953138400001</v>
      </c>
      <c r="M100" s="105">
        <v>1609.2953138400001</v>
      </c>
      <c r="N100" s="105">
        <v>1480.6724543450098</v>
      </c>
      <c r="O100" s="105">
        <v>1609.2953138400001</v>
      </c>
      <c r="P100" s="105">
        <v>1609.2953138400001</v>
      </c>
      <c r="Q100" s="105">
        <v>1609.2953138400001</v>
      </c>
      <c r="R100" s="105">
        <v>1609.2953138400001</v>
      </c>
      <c r="S100" s="105">
        <v>0</v>
      </c>
      <c r="T100" s="105">
        <v>946.62952646239398</v>
      </c>
      <c r="U100" s="105">
        <v>1609.2953138400001</v>
      </c>
      <c r="V100" s="105">
        <v>1609.2953138400001</v>
      </c>
      <c r="W100" s="105">
        <v>1609.2953138400001</v>
      </c>
      <c r="X100" s="105">
        <v>946.62952646239398</v>
      </c>
      <c r="Y100" s="105">
        <v>0</v>
      </c>
      <c r="Z100" s="105">
        <v>1609.2953138400001</v>
      </c>
      <c r="AA100" s="105">
        <v>1609.2953138400001</v>
      </c>
      <c r="AB100" s="105">
        <v>1609.2953138400001</v>
      </c>
      <c r="AC100" s="105">
        <v>1609.2953138400001</v>
      </c>
      <c r="AD100" s="105">
        <v>1609.2953138400001</v>
      </c>
      <c r="AE100" s="105">
        <v>1609.2953138400001</v>
      </c>
      <c r="AF100" s="105">
        <v>1609.2953138400001</v>
      </c>
      <c r="AG100" s="105">
        <v>1609.2953138400001</v>
      </c>
      <c r="AH100" s="105">
        <v>946.62952646239398</v>
      </c>
      <c r="AI100" s="105">
        <v>0</v>
      </c>
      <c r="AJ100" s="105">
        <v>1609.3075999999999</v>
      </c>
      <c r="AK100" s="105">
        <v>0</v>
      </c>
      <c r="AL100" s="105">
        <v>946.62952646239398</v>
      </c>
      <c r="AM100" s="105">
        <v>0</v>
      </c>
      <c r="AN100" s="105">
        <v>946.62952646239398</v>
      </c>
      <c r="AO100" s="105">
        <v>0</v>
      </c>
      <c r="AP100" s="105">
        <v>926.90807799442746</v>
      </c>
      <c r="AQ100" s="105">
        <v>1482.1881444588562</v>
      </c>
      <c r="AR100" s="105">
        <v>1544.906078256</v>
      </c>
      <c r="AS100" s="105">
        <v>0</v>
      </c>
      <c r="AT100" s="105">
        <v>0</v>
      </c>
      <c r="AU100" s="105">
        <v>0</v>
      </c>
      <c r="AV100" s="105">
        <v>1609.3076000000001</v>
      </c>
      <c r="AW100" s="105">
        <v>1609.2953138400001</v>
      </c>
      <c r="AX100" s="105">
        <v>946.62952646239421</v>
      </c>
      <c r="AY100" s="105">
        <v>0</v>
      </c>
    </row>
    <row r="101" spans="1:52">
      <c r="A101" s="108"/>
      <c r="B101" s="118">
        <v>2</v>
      </c>
      <c r="C101" s="105"/>
      <c r="D101" s="105">
        <v>0</v>
      </c>
      <c r="E101" s="105">
        <v>0</v>
      </c>
      <c r="F101" s="105">
        <v>0</v>
      </c>
      <c r="G101" s="105">
        <v>662.66578737760608</v>
      </c>
      <c r="H101" s="105">
        <v>1609.2953138400001</v>
      </c>
      <c r="I101" s="105">
        <v>1446.6914670061676</v>
      </c>
      <c r="J101" s="105">
        <v>1072.2820946861677</v>
      </c>
      <c r="K101" s="105">
        <v>1012.5774085261678</v>
      </c>
      <c r="L101" s="105">
        <v>1609.2953138400001</v>
      </c>
      <c r="M101" s="105">
        <v>1450.5906276800001</v>
      </c>
      <c r="N101" s="105">
        <v>1304.8859415200002</v>
      </c>
      <c r="O101" s="105">
        <v>973.55839586500997</v>
      </c>
      <c r="P101" s="105">
        <v>752.85370970501003</v>
      </c>
      <c r="Q101" s="105">
        <v>586.1490235450101</v>
      </c>
      <c r="R101" s="105">
        <v>92.444337385010158</v>
      </c>
      <c r="S101" s="105">
        <v>0</v>
      </c>
      <c r="T101" s="105">
        <v>1609.2953138400001</v>
      </c>
      <c r="U101" s="105">
        <v>1405.5906276800001</v>
      </c>
      <c r="V101" s="105">
        <v>1431.8859415200002</v>
      </c>
      <c r="W101" s="105">
        <v>1295.1812553600003</v>
      </c>
      <c r="X101" s="105">
        <v>1106.4765692000003</v>
      </c>
      <c r="Y101" s="105">
        <v>844.77188304000038</v>
      </c>
      <c r="Z101" s="105">
        <v>1609.2953138400001</v>
      </c>
      <c r="AA101" s="105">
        <v>1609.2953138400001</v>
      </c>
      <c r="AB101" s="105">
        <v>1606.8859415200002</v>
      </c>
      <c r="AC101" s="105">
        <v>1421.1812553600003</v>
      </c>
      <c r="AD101" s="105">
        <v>1177.4765692000003</v>
      </c>
      <c r="AE101" s="105">
        <v>773.77188304000038</v>
      </c>
      <c r="AF101" s="105">
        <v>335.06719688000044</v>
      </c>
      <c r="AG101" s="105">
        <v>0</v>
      </c>
      <c r="AH101" s="105">
        <v>0</v>
      </c>
      <c r="AI101" s="105">
        <v>662.67807353760588</v>
      </c>
      <c r="AJ101" s="105">
        <v>1609.3075999999999</v>
      </c>
      <c r="AK101" s="105">
        <v>1445.6151999999997</v>
      </c>
      <c r="AL101" s="105">
        <v>1609.3075999999999</v>
      </c>
      <c r="AM101" s="105">
        <v>1538.6151999999997</v>
      </c>
      <c r="AN101" s="105">
        <v>0</v>
      </c>
      <c r="AO101" s="105">
        <v>0</v>
      </c>
      <c r="AP101" s="105">
        <v>1609.3075999999999</v>
      </c>
      <c r="AQ101" s="105">
        <v>1481.2406560394761</v>
      </c>
      <c r="AR101" s="105">
        <v>1482.1881444588562</v>
      </c>
      <c r="AS101" s="105">
        <v>932.32055229193793</v>
      </c>
      <c r="AT101" s="105">
        <v>0</v>
      </c>
      <c r="AU101" s="105">
        <v>0</v>
      </c>
      <c r="AV101" s="105">
        <v>0</v>
      </c>
      <c r="AW101" s="105">
        <v>56.307600000000093</v>
      </c>
      <c r="AX101" s="105">
        <v>91.602913840000156</v>
      </c>
      <c r="AY101" s="105">
        <v>630.51472716160595</v>
      </c>
    </row>
    <row r="102" spans="1:52">
      <c r="A102" s="108"/>
      <c r="B102" s="119">
        <v>3</v>
      </c>
      <c r="C102" s="105"/>
      <c r="D102" s="105">
        <v>0</v>
      </c>
      <c r="E102" s="105">
        <v>0</v>
      </c>
      <c r="F102" s="105">
        <v>0</v>
      </c>
      <c r="G102" s="105">
        <v>0</v>
      </c>
      <c r="H102" s="105">
        <v>0</v>
      </c>
      <c r="I102" s="105">
        <v>29.295313840000063</v>
      </c>
      <c r="J102" s="105">
        <v>0</v>
      </c>
      <c r="K102" s="105">
        <v>0</v>
      </c>
      <c r="L102" s="105">
        <v>0</v>
      </c>
      <c r="M102" s="105">
        <v>0</v>
      </c>
      <c r="N102" s="105">
        <v>0</v>
      </c>
      <c r="O102" s="105">
        <v>0</v>
      </c>
      <c r="P102" s="105">
        <v>0</v>
      </c>
      <c r="Q102" s="105">
        <v>0</v>
      </c>
      <c r="R102" s="105">
        <v>0</v>
      </c>
      <c r="S102" s="105">
        <v>0</v>
      </c>
      <c r="T102" s="105">
        <v>0</v>
      </c>
      <c r="U102" s="105">
        <v>0</v>
      </c>
      <c r="V102" s="105">
        <v>0</v>
      </c>
      <c r="W102" s="105">
        <v>0</v>
      </c>
      <c r="X102" s="105">
        <v>0</v>
      </c>
      <c r="Y102" s="105">
        <v>0</v>
      </c>
      <c r="Z102" s="105">
        <v>0</v>
      </c>
      <c r="AA102" s="105">
        <v>100.29531384000006</v>
      </c>
      <c r="AB102" s="105">
        <v>0</v>
      </c>
      <c r="AC102" s="105">
        <v>0</v>
      </c>
      <c r="AD102" s="105">
        <v>0</v>
      </c>
      <c r="AE102" s="105">
        <v>0</v>
      </c>
      <c r="AF102" s="105">
        <v>0</v>
      </c>
      <c r="AG102" s="105">
        <v>0</v>
      </c>
      <c r="AH102" s="105">
        <v>0</v>
      </c>
      <c r="AI102" s="105">
        <v>0</v>
      </c>
      <c r="AJ102" s="105">
        <v>0</v>
      </c>
      <c r="AK102" s="105">
        <v>0</v>
      </c>
      <c r="AL102" s="105">
        <v>0</v>
      </c>
      <c r="AM102" s="105">
        <v>0</v>
      </c>
      <c r="AN102" s="105">
        <v>0</v>
      </c>
      <c r="AO102" s="105">
        <v>0</v>
      </c>
      <c r="AP102" s="105">
        <v>662.67807353760588</v>
      </c>
      <c r="AQ102" s="105">
        <v>485.98567353760586</v>
      </c>
      <c r="AR102" s="105">
        <v>14.22632957708197</v>
      </c>
      <c r="AS102" s="105">
        <v>0</v>
      </c>
      <c r="AT102" s="105">
        <v>0</v>
      </c>
      <c r="AU102" s="105">
        <v>0</v>
      </c>
      <c r="AV102" s="105">
        <v>0</v>
      </c>
      <c r="AW102" s="105">
        <v>0</v>
      </c>
      <c r="AX102" s="105">
        <v>0</v>
      </c>
      <c r="AY102" s="105">
        <v>0</v>
      </c>
    </row>
    <row r="103" spans="1:52">
      <c r="A103" s="108"/>
      <c r="B103" s="119">
        <v>4</v>
      </c>
      <c r="C103" s="105"/>
      <c r="D103" s="105">
        <v>0</v>
      </c>
      <c r="E103" s="105">
        <v>0</v>
      </c>
      <c r="F103" s="105">
        <v>0</v>
      </c>
      <c r="G103" s="105">
        <v>0</v>
      </c>
      <c r="H103" s="105">
        <v>0</v>
      </c>
      <c r="I103" s="105">
        <v>0</v>
      </c>
      <c r="J103" s="105">
        <v>0</v>
      </c>
      <c r="K103" s="105">
        <v>0</v>
      </c>
      <c r="L103" s="105">
        <v>0</v>
      </c>
      <c r="M103" s="105">
        <v>0</v>
      </c>
      <c r="N103" s="105">
        <v>0</v>
      </c>
      <c r="O103" s="105">
        <v>0</v>
      </c>
      <c r="P103" s="105">
        <v>0</v>
      </c>
      <c r="Q103" s="105">
        <v>0</v>
      </c>
      <c r="R103" s="105">
        <v>0</v>
      </c>
      <c r="S103" s="105">
        <v>0</v>
      </c>
      <c r="T103" s="105">
        <v>0</v>
      </c>
      <c r="U103" s="105">
        <v>0</v>
      </c>
      <c r="V103" s="105">
        <v>0</v>
      </c>
      <c r="W103" s="105">
        <v>0</v>
      </c>
      <c r="X103" s="105">
        <v>0</v>
      </c>
      <c r="Y103" s="105">
        <v>0</v>
      </c>
      <c r="Z103" s="105">
        <v>0</v>
      </c>
      <c r="AA103" s="105">
        <v>0</v>
      </c>
      <c r="AB103" s="105">
        <v>0</v>
      </c>
      <c r="AC103" s="105">
        <v>0</v>
      </c>
      <c r="AD103" s="105">
        <v>0</v>
      </c>
      <c r="AE103" s="105">
        <v>0</v>
      </c>
      <c r="AF103" s="105">
        <v>0</v>
      </c>
      <c r="AG103" s="105">
        <v>0</v>
      </c>
      <c r="AH103" s="105">
        <v>0</v>
      </c>
      <c r="AI103" s="105">
        <v>0</v>
      </c>
      <c r="AJ103" s="105">
        <v>0</v>
      </c>
      <c r="AK103" s="105">
        <v>0</v>
      </c>
      <c r="AL103" s="105">
        <v>0</v>
      </c>
      <c r="AM103" s="105">
        <v>0</v>
      </c>
      <c r="AN103" s="105">
        <v>0</v>
      </c>
      <c r="AO103" s="105">
        <v>0</v>
      </c>
      <c r="AP103" s="105">
        <v>0</v>
      </c>
      <c r="AQ103" s="105">
        <v>0</v>
      </c>
      <c r="AR103" s="105">
        <v>0</v>
      </c>
      <c r="AS103" s="105">
        <v>0</v>
      </c>
      <c r="AT103" s="105">
        <v>0</v>
      </c>
      <c r="AU103" s="105">
        <v>0</v>
      </c>
      <c r="AV103" s="105">
        <v>0</v>
      </c>
      <c r="AW103" s="105">
        <v>0</v>
      </c>
      <c r="AX103" s="105">
        <v>0</v>
      </c>
      <c r="AY103" s="105">
        <v>0</v>
      </c>
    </row>
    <row r="104" spans="1:52">
      <c r="A104" s="108"/>
      <c r="B104" s="126">
        <v>5</v>
      </c>
      <c r="C104" s="105"/>
      <c r="D104" s="105">
        <v>0</v>
      </c>
      <c r="E104" s="105">
        <v>0</v>
      </c>
      <c r="F104" s="105">
        <v>0</v>
      </c>
      <c r="G104" s="105">
        <v>0</v>
      </c>
      <c r="H104" s="105">
        <v>0</v>
      </c>
      <c r="I104" s="105">
        <v>0</v>
      </c>
      <c r="J104" s="105">
        <v>0</v>
      </c>
      <c r="K104" s="105">
        <v>0</v>
      </c>
      <c r="L104" s="105">
        <v>0</v>
      </c>
      <c r="M104" s="105">
        <v>0</v>
      </c>
      <c r="N104" s="105">
        <v>0</v>
      </c>
      <c r="O104" s="105">
        <v>0</v>
      </c>
      <c r="P104" s="105">
        <v>0</v>
      </c>
      <c r="Q104" s="105">
        <v>0</v>
      </c>
      <c r="R104" s="105">
        <v>0</v>
      </c>
      <c r="S104" s="105">
        <v>0</v>
      </c>
      <c r="T104" s="105">
        <v>0</v>
      </c>
      <c r="U104" s="105">
        <v>0</v>
      </c>
      <c r="V104" s="105">
        <v>0</v>
      </c>
      <c r="W104" s="105">
        <v>0</v>
      </c>
      <c r="X104" s="105">
        <v>0</v>
      </c>
      <c r="Y104" s="105">
        <v>0</v>
      </c>
      <c r="Z104" s="105">
        <v>0</v>
      </c>
      <c r="AA104" s="105">
        <v>0</v>
      </c>
      <c r="AB104" s="105">
        <v>0</v>
      </c>
      <c r="AC104" s="105">
        <v>0</v>
      </c>
      <c r="AD104" s="105">
        <v>0</v>
      </c>
      <c r="AE104" s="105">
        <v>0</v>
      </c>
      <c r="AF104" s="105">
        <v>0</v>
      </c>
      <c r="AG104" s="105">
        <v>0</v>
      </c>
      <c r="AH104" s="105">
        <v>0</v>
      </c>
      <c r="AI104" s="105">
        <v>0</v>
      </c>
      <c r="AJ104" s="105">
        <v>0</v>
      </c>
      <c r="AK104" s="105">
        <v>0</v>
      </c>
      <c r="AL104" s="105">
        <v>0</v>
      </c>
      <c r="AM104" s="105">
        <v>0</v>
      </c>
      <c r="AN104" s="105">
        <v>0</v>
      </c>
      <c r="AO104" s="105">
        <v>0</v>
      </c>
      <c r="AP104" s="105">
        <v>0</v>
      </c>
      <c r="AQ104" s="105">
        <v>0</v>
      </c>
      <c r="AR104" s="105">
        <v>0</v>
      </c>
      <c r="AS104" s="105">
        <v>0</v>
      </c>
      <c r="AT104" s="105">
        <v>0</v>
      </c>
      <c r="AU104" s="105">
        <v>0</v>
      </c>
      <c r="AV104" s="105">
        <v>0</v>
      </c>
      <c r="AW104" s="105">
        <v>0</v>
      </c>
      <c r="AX104" s="105">
        <v>0</v>
      </c>
      <c r="AY104" s="105">
        <v>0</v>
      </c>
    </row>
    <row r="105" spans="1:52">
      <c r="A105" s="108"/>
      <c r="B105" s="126">
        <v>6</v>
      </c>
      <c r="C105" s="105"/>
      <c r="D105" s="105">
        <v>0</v>
      </c>
      <c r="E105" s="105">
        <v>0</v>
      </c>
      <c r="F105" s="105">
        <v>0</v>
      </c>
      <c r="G105" s="105">
        <v>0</v>
      </c>
      <c r="H105" s="105">
        <v>0</v>
      </c>
      <c r="I105" s="105">
        <v>0</v>
      </c>
      <c r="J105" s="105">
        <v>0</v>
      </c>
      <c r="K105" s="105">
        <v>0</v>
      </c>
      <c r="L105" s="105">
        <v>0</v>
      </c>
      <c r="M105" s="105">
        <v>0</v>
      </c>
      <c r="N105" s="105">
        <v>0</v>
      </c>
      <c r="O105" s="105">
        <v>0</v>
      </c>
      <c r="P105" s="105">
        <v>0</v>
      </c>
      <c r="Q105" s="105">
        <v>0</v>
      </c>
      <c r="R105" s="105">
        <v>0</v>
      </c>
      <c r="S105" s="105">
        <v>0</v>
      </c>
      <c r="T105" s="105">
        <v>0</v>
      </c>
      <c r="U105" s="105">
        <v>0</v>
      </c>
      <c r="V105" s="105">
        <v>0</v>
      </c>
      <c r="W105" s="105">
        <v>0</v>
      </c>
      <c r="X105" s="105">
        <v>0</v>
      </c>
      <c r="Y105" s="105">
        <v>0</v>
      </c>
      <c r="Z105" s="105">
        <v>0</v>
      </c>
      <c r="AA105" s="105">
        <v>0</v>
      </c>
      <c r="AB105" s="105">
        <v>0</v>
      </c>
      <c r="AC105" s="105">
        <v>0</v>
      </c>
      <c r="AD105" s="105">
        <v>0</v>
      </c>
      <c r="AE105" s="105">
        <v>0</v>
      </c>
      <c r="AF105" s="105">
        <v>0</v>
      </c>
      <c r="AG105" s="105">
        <v>0</v>
      </c>
      <c r="AH105" s="105">
        <v>0</v>
      </c>
      <c r="AI105" s="105">
        <v>0</v>
      </c>
      <c r="AJ105" s="105">
        <v>0</v>
      </c>
      <c r="AK105" s="105">
        <v>0</v>
      </c>
      <c r="AL105" s="105">
        <v>0</v>
      </c>
      <c r="AM105" s="105">
        <v>0</v>
      </c>
      <c r="AN105" s="105">
        <v>0</v>
      </c>
      <c r="AO105" s="105">
        <v>0</v>
      </c>
      <c r="AP105" s="105">
        <v>0</v>
      </c>
      <c r="AQ105" s="105">
        <v>0</v>
      </c>
      <c r="AR105" s="105">
        <v>0</v>
      </c>
      <c r="AS105" s="105">
        <v>0</v>
      </c>
      <c r="AT105" s="105">
        <v>0</v>
      </c>
      <c r="AU105" s="105">
        <v>0</v>
      </c>
      <c r="AV105" s="105">
        <v>0</v>
      </c>
      <c r="AW105" s="105">
        <v>0</v>
      </c>
      <c r="AX105" s="105">
        <v>0</v>
      </c>
      <c r="AY105" s="105">
        <v>0</v>
      </c>
    </row>
    <row r="106" spans="1:52">
      <c r="A106" s="108"/>
      <c r="B106" s="129">
        <v>7</v>
      </c>
      <c r="C106" s="105"/>
      <c r="D106" s="105">
        <v>0</v>
      </c>
      <c r="E106" s="105">
        <v>0</v>
      </c>
      <c r="F106" s="105">
        <v>0</v>
      </c>
      <c r="G106" s="105">
        <v>0</v>
      </c>
      <c r="H106" s="105">
        <v>0</v>
      </c>
      <c r="I106" s="105">
        <v>0</v>
      </c>
      <c r="J106" s="105">
        <v>0</v>
      </c>
      <c r="K106" s="105">
        <v>0</v>
      </c>
      <c r="L106" s="105">
        <v>0</v>
      </c>
      <c r="M106" s="105">
        <v>0</v>
      </c>
      <c r="N106" s="105">
        <v>0</v>
      </c>
      <c r="O106" s="105">
        <v>0</v>
      </c>
      <c r="P106" s="105">
        <v>0</v>
      </c>
      <c r="Q106" s="105">
        <v>0</v>
      </c>
      <c r="R106" s="105">
        <v>0</v>
      </c>
      <c r="S106" s="105">
        <v>0</v>
      </c>
      <c r="T106" s="105">
        <v>0</v>
      </c>
      <c r="U106" s="105">
        <v>0</v>
      </c>
      <c r="V106" s="105">
        <v>0</v>
      </c>
      <c r="W106" s="105">
        <v>0</v>
      </c>
      <c r="X106" s="105">
        <v>0</v>
      </c>
      <c r="Y106" s="105">
        <v>0</v>
      </c>
      <c r="Z106" s="105">
        <v>0</v>
      </c>
      <c r="AA106" s="105">
        <v>0</v>
      </c>
      <c r="AB106" s="105">
        <v>0</v>
      </c>
      <c r="AC106" s="105">
        <v>0</v>
      </c>
      <c r="AD106" s="105">
        <v>0</v>
      </c>
      <c r="AE106" s="105">
        <v>0</v>
      </c>
      <c r="AF106" s="105">
        <v>0</v>
      </c>
      <c r="AG106" s="105">
        <v>0</v>
      </c>
      <c r="AH106" s="105">
        <v>0</v>
      </c>
      <c r="AI106" s="105">
        <v>0</v>
      </c>
      <c r="AJ106" s="105">
        <v>0</v>
      </c>
      <c r="AK106" s="105">
        <v>0</v>
      </c>
      <c r="AL106" s="105">
        <v>0</v>
      </c>
      <c r="AM106" s="105">
        <v>0</v>
      </c>
      <c r="AN106" s="105">
        <v>0</v>
      </c>
      <c r="AO106" s="105">
        <v>0</v>
      </c>
      <c r="AP106" s="105">
        <v>0</v>
      </c>
      <c r="AQ106" s="105">
        <v>0</v>
      </c>
      <c r="AR106" s="105">
        <v>0</v>
      </c>
      <c r="AS106" s="105">
        <v>0</v>
      </c>
      <c r="AT106" s="105">
        <v>0</v>
      </c>
      <c r="AU106" s="105">
        <v>0</v>
      </c>
      <c r="AV106" s="105">
        <v>0</v>
      </c>
      <c r="AW106" s="105">
        <v>0</v>
      </c>
      <c r="AX106" s="105">
        <v>0</v>
      </c>
      <c r="AY106" s="105">
        <v>0</v>
      </c>
    </row>
    <row r="107" spans="1:52">
      <c r="A107" s="108"/>
      <c r="B107" s="129">
        <v>8</v>
      </c>
      <c r="C107" s="105"/>
      <c r="D107" s="105">
        <v>0</v>
      </c>
      <c r="E107" s="105">
        <v>0</v>
      </c>
      <c r="F107" s="105">
        <v>0</v>
      </c>
      <c r="G107" s="105">
        <v>0</v>
      </c>
      <c r="H107" s="105">
        <v>0</v>
      </c>
      <c r="I107" s="105">
        <v>0</v>
      </c>
      <c r="J107" s="105">
        <v>0</v>
      </c>
      <c r="K107" s="105">
        <v>0</v>
      </c>
      <c r="L107" s="105">
        <v>0</v>
      </c>
      <c r="M107" s="105">
        <v>0</v>
      </c>
      <c r="N107" s="105">
        <v>0</v>
      </c>
      <c r="O107" s="105">
        <v>0</v>
      </c>
      <c r="P107" s="105">
        <v>0</v>
      </c>
      <c r="Q107" s="105">
        <v>0</v>
      </c>
      <c r="R107" s="105">
        <v>0</v>
      </c>
      <c r="S107" s="105">
        <v>0</v>
      </c>
      <c r="T107" s="105">
        <v>0</v>
      </c>
      <c r="U107" s="105">
        <v>0</v>
      </c>
      <c r="V107" s="105">
        <v>0</v>
      </c>
      <c r="W107" s="105">
        <v>0</v>
      </c>
      <c r="X107" s="105">
        <v>0</v>
      </c>
      <c r="Y107" s="105">
        <v>0</v>
      </c>
      <c r="Z107" s="105">
        <v>0</v>
      </c>
      <c r="AA107" s="105">
        <v>0</v>
      </c>
      <c r="AB107" s="105">
        <v>0</v>
      </c>
      <c r="AC107" s="105">
        <v>0</v>
      </c>
      <c r="AD107" s="105">
        <v>0</v>
      </c>
      <c r="AE107" s="105">
        <v>0</v>
      </c>
      <c r="AF107" s="105">
        <v>0</v>
      </c>
      <c r="AG107" s="105">
        <v>0</v>
      </c>
      <c r="AH107" s="105">
        <v>0</v>
      </c>
      <c r="AI107" s="105">
        <v>0</v>
      </c>
      <c r="AJ107" s="105">
        <v>0</v>
      </c>
      <c r="AK107" s="105">
        <v>0</v>
      </c>
      <c r="AL107" s="105">
        <v>0</v>
      </c>
      <c r="AM107" s="105">
        <v>0</v>
      </c>
      <c r="AN107" s="105">
        <v>0</v>
      </c>
      <c r="AO107" s="105">
        <v>0</v>
      </c>
      <c r="AP107" s="105">
        <v>0</v>
      </c>
      <c r="AQ107" s="105">
        <v>0</v>
      </c>
      <c r="AR107" s="105">
        <v>0</v>
      </c>
      <c r="AS107" s="105">
        <v>0</v>
      </c>
      <c r="AT107" s="105">
        <v>0</v>
      </c>
      <c r="AU107" s="105">
        <v>0</v>
      </c>
      <c r="AV107" s="105">
        <v>0</v>
      </c>
      <c r="AW107" s="105">
        <v>0</v>
      </c>
      <c r="AX107" s="105">
        <v>0</v>
      </c>
      <c r="AY107" s="105">
        <v>0</v>
      </c>
    </row>
    <row r="108" spans="1:52">
      <c r="A108" s="127"/>
      <c r="B108" s="131" t="s">
        <v>295</v>
      </c>
      <c r="C108" s="113"/>
      <c r="D108" s="124">
        <v>0</v>
      </c>
      <c r="E108" s="124">
        <v>0</v>
      </c>
      <c r="F108" s="124">
        <v>0</v>
      </c>
      <c r="G108" s="124">
        <v>0</v>
      </c>
      <c r="H108" s="124">
        <v>0</v>
      </c>
      <c r="I108" s="124">
        <v>0</v>
      </c>
      <c r="J108" s="124">
        <v>0</v>
      </c>
      <c r="K108" s="124">
        <v>0</v>
      </c>
      <c r="L108" s="124">
        <v>0</v>
      </c>
      <c r="M108" s="124">
        <v>0</v>
      </c>
      <c r="N108" s="124">
        <v>0</v>
      </c>
      <c r="O108" s="124">
        <v>0</v>
      </c>
      <c r="P108" s="124">
        <v>0</v>
      </c>
      <c r="Q108" s="124">
        <v>0</v>
      </c>
      <c r="R108" s="124">
        <v>0</v>
      </c>
      <c r="S108" s="124">
        <v>0</v>
      </c>
      <c r="T108" s="124">
        <v>0</v>
      </c>
      <c r="U108" s="124">
        <v>0</v>
      </c>
      <c r="V108" s="124">
        <v>0</v>
      </c>
      <c r="W108" s="124">
        <v>0</v>
      </c>
      <c r="X108" s="124">
        <v>0</v>
      </c>
      <c r="Y108" s="124">
        <v>0</v>
      </c>
      <c r="Z108" s="124">
        <v>0</v>
      </c>
      <c r="AA108" s="124">
        <v>0</v>
      </c>
      <c r="AB108" s="124">
        <v>0</v>
      </c>
      <c r="AC108" s="124">
        <v>0</v>
      </c>
      <c r="AD108" s="124">
        <v>0</v>
      </c>
      <c r="AE108" s="124">
        <v>0</v>
      </c>
      <c r="AF108" s="124">
        <v>0</v>
      </c>
      <c r="AG108" s="124">
        <v>0</v>
      </c>
      <c r="AH108" s="124">
        <v>0</v>
      </c>
      <c r="AI108" s="124">
        <v>0</v>
      </c>
      <c r="AJ108" s="124">
        <v>0</v>
      </c>
      <c r="AK108" s="124">
        <v>0</v>
      </c>
      <c r="AL108" s="124">
        <v>0</v>
      </c>
      <c r="AM108" s="124">
        <v>0</v>
      </c>
      <c r="AN108" s="124">
        <v>0</v>
      </c>
      <c r="AO108" s="124">
        <v>0</v>
      </c>
      <c r="AP108" s="124">
        <v>0</v>
      </c>
      <c r="AQ108" s="124">
        <v>0</v>
      </c>
      <c r="AR108" s="124">
        <v>0</v>
      </c>
      <c r="AS108" s="124">
        <v>0</v>
      </c>
      <c r="AT108" s="124">
        <v>0</v>
      </c>
      <c r="AU108" s="124">
        <v>0</v>
      </c>
      <c r="AV108" s="124">
        <v>0</v>
      </c>
      <c r="AW108" s="124">
        <v>0</v>
      </c>
      <c r="AX108" s="124">
        <v>0</v>
      </c>
      <c r="AY108" s="124">
        <v>0</v>
      </c>
      <c r="AZ108" s="106">
        <f>SUM($D108:$AY108)</f>
        <v>0</v>
      </c>
    </row>
    <row r="109" spans="1:52">
      <c r="A109" s="130" t="s">
        <v>134</v>
      </c>
      <c r="B109" s="118">
        <v>1</v>
      </c>
      <c r="C109" s="105"/>
      <c r="D109" s="105">
        <v>0</v>
      </c>
      <c r="E109" s="105">
        <v>0</v>
      </c>
      <c r="F109" s="105">
        <v>0</v>
      </c>
      <c r="G109" s="105">
        <v>336.74508300835635</v>
      </c>
      <c r="H109" s="105">
        <v>235.73049365065856</v>
      </c>
      <c r="I109" s="105">
        <v>895.18961454202304</v>
      </c>
      <c r="J109" s="105">
        <v>851.52591019512874</v>
      </c>
      <c r="K109" s="105">
        <v>713.80093210956056</v>
      </c>
      <c r="L109" s="105">
        <v>96.920643907501045</v>
      </c>
      <c r="M109" s="105">
        <v>1144.9511533180298</v>
      </c>
      <c r="N109" s="105">
        <v>822.65012979135668</v>
      </c>
      <c r="O109" s="105">
        <v>654.78370075272983</v>
      </c>
      <c r="P109" s="105">
        <v>629.50187029997642</v>
      </c>
      <c r="Q109" s="105">
        <v>617.38066040444539</v>
      </c>
      <c r="R109" s="105">
        <v>642.8818811110101</v>
      </c>
      <c r="S109" s="105">
        <v>652.34257863651624</v>
      </c>
      <c r="T109" s="105">
        <v>101.29897501394841</v>
      </c>
      <c r="U109" s="105">
        <v>909.22065966737125</v>
      </c>
      <c r="V109" s="105">
        <v>976.72022092767713</v>
      </c>
      <c r="W109" s="105">
        <v>752.86257799471525</v>
      </c>
      <c r="X109" s="105">
        <v>661.32053066921719</v>
      </c>
      <c r="Y109" s="105">
        <v>421.78307867460603</v>
      </c>
      <c r="Z109" s="105">
        <v>244.72492980669895</v>
      </c>
      <c r="AA109" s="105">
        <v>1144.9511533180298</v>
      </c>
      <c r="AB109" s="105">
        <v>818.55488979135669</v>
      </c>
      <c r="AC109" s="105">
        <v>706.06411197217903</v>
      </c>
      <c r="AD109" s="105">
        <v>647.14642964570282</v>
      </c>
      <c r="AE109" s="105">
        <v>646.8710022143398</v>
      </c>
      <c r="AF109" s="105">
        <v>631.0851450219792</v>
      </c>
      <c r="AG109" s="105">
        <v>649.28012679769245</v>
      </c>
      <c r="AH109" s="105">
        <v>650.27852571221035</v>
      </c>
      <c r="AI109" s="105">
        <v>425.10308378095459</v>
      </c>
      <c r="AJ109" s="105">
        <v>235.73486421364373</v>
      </c>
      <c r="AK109" s="105">
        <v>1144.9598944440002</v>
      </c>
      <c r="AL109" s="105">
        <v>222.19318809019222</v>
      </c>
      <c r="AM109" s="105">
        <v>909.22503023035642</v>
      </c>
      <c r="AN109" s="105">
        <v>378.31388231057264</v>
      </c>
      <c r="AO109" s="105">
        <v>336.74508300835635</v>
      </c>
      <c r="AP109" s="105">
        <v>0</v>
      </c>
      <c r="AQ109" s="105">
        <v>1137.9443718813259</v>
      </c>
      <c r="AR109" s="105">
        <v>949.196545019273</v>
      </c>
      <c r="AS109" s="105">
        <v>714.3942908695326</v>
      </c>
      <c r="AT109" s="105">
        <v>75.267731579441801</v>
      </c>
      <c r="AU109" s="105">
        <v>0</v>
      </c>
      <c r="AV109" s="105">
        <v>0</v>
      </c>
      <c r="AW109" s="105">
        <v>572.47994722200008</v>
      </c>
      <c r="AX109" s="105">
        <v>599.27848070411108</v>
      </c>
      <c r="AY109" s="105">
        <v>408.91260949268343</v>
      </c>
    </row>
    <row r="110" spans="1:52">
      <c r="A110" s="108"/>
      <c r="B110" s="118">
        <v>2</v>
      </c>
      <c r="C110" s="105"/>
      <c r="D110" s="105">
        <v>0</v>
      </c>
      <c r="E110" s="105">
        <v>0</v>
      </c>
      <c r="F110" s="105">
        <v>0</v>
      </c>
      <c r="G110" s="105">
        <v>0</v>
      </c>
      <c r="H110" s="105">
        <v>0</v>
      </c>
      <c r="I110" s="105">
        <v>0</v>
      </c>
      <c r="J110" s="105">
        <v>385.18961454202304</v>
      </c>
      <c r="K110" s="105">
        <v>737.71552473715178</v>
      </c>
      <c r="L110" s="105">
        <v>713.80093210956056</v>
      </c>
      <c r="M110" s="105">
        <v>96.920643907501045</v>
      </c>
      <c r="N110" s="105">
        <v>1144.9511533180298</v>
      </c>
      <c r="O110" s="105">
        <v>822.65012979135668</v>
      </c>
      <c r="P110" s="105">
        <v>654.78370075272983</v>
      </c>
      <c r="Q110" s="105">
        <v>629.50187029997642</v>
      </c>
      <c r="R110" s="105">
        <v>617.38066040444539</v>
      </c>
      <c r="S110" s="105">
        <v>642.8818811110101</v>
      </c>
      <c r="T110" s="105">
        <v>652.34257863651624</v>
      </c>
      <c r="U110" s="105">
        <v>101.29897501394841</v>
      </c>
      <c r="V110" s="105">
        <v>909.22065966737125</v>
      </c>
      <c r="W110" s="105">
        <v>976.72022092767713</v>
      </c>
      <c r="X110" s="105">
        <v>752.86257799471525</v>
      </c>
      <c r="Y110" s="105">
        <v>661.32053066921719</v>
      </c>
      <c r="Z110" s="105">
        <v>421.78307867460603</v>
      </c>
      <c r="AA110" s="105">
        <v>244.72492980669895</v>
      </c>
      <c r="AB110" s="105">
        <v>1144.9511533180298</v>
      </c>
      <c r="AC110" s="105">
        <v>818.55488979135669</v>
      </c>
      <c r="AD110" s="105">
        <v>706.06411197217903</v>
      </c>
      <c r="AE110" s="105">
        <v>647.14642964570282</v>
      </c>
      <c r="AF110" s="105">
        <v>646.8710022143398</v>
      </c>
      <c r="AG110" s="105">
        <v>631.0851450219792</v>
      </c>
      <c r="AH110" s="105">
        <v>649.28012679769245</v>
      </c>
      <c r="AI110" s="105">
        <v>650.27852571221035</v>
      </c>
      <c r="AJ110" s="105">
        <v>425.10308378095459</v>
      </c>
      <c r="AK110" s="105">
        <v>235.73486421364373</v>
      </c>
      <c r="AL110" s="105">
        <v>1144.9598944440002</v>
      </c>
      <c r="AM110" s="105">
        <v>222.19318809019222</v>
      </c>
      <c r="AN110" s="105">
        <v>909.22503023035642</v>
      </c>
      <c r="AO110" s="105">
        <v>378.31388231057264</v>
      </c>
      <c r="AP110" s="105">
        <v>336.74508300835635</v>
      </c>
      <c r="AQ110" s="105">
        <v>0</v>
      </c>
      <c r="AR110" s="105">
        <v>1137.9443718813259</v>
      </c>
      <c r="AS110" s="105">
        <v>949.196545019273</v>
      </c>
      <c r="AT110" s="105">
        <v>714.3942908695326</v>
      </c>
      <c r="AU110" s="105">
        <v>75.267731579441801</v>
      </c>
      <c r="AV110" s="105">
        <v>0</v>
      </c>
      <c r="AW110" s="105">
        <v>0</v>
      </c>
      <c r="AX110" s="105">
        <v>572.47994722200008</v>
      </c>
      <c r="AY110" s="105">
        <v>599.27848070411108</v>
      </c>
    </row>
    <row r="111" spans="1:52">
      <c r="A111" s="108"/>
      <c r="B111" s="118">
        <v>3</v>
      </c>
      <c r="C111" s="105"/>
      <c r="D111" s="105">
        <v>0</v>
      </c>
      <c r="E111" s="105">
        <v>0</v>
      </c>
      <c r="F111" s="105">
        <v>0</v>
      </c>
      <c r="G111" s="105">
        <v>0</v>
      </c>
      <c r="H111" s="105">
        <v>0</v>
      </c>
      <c r="I111" s="105">
        <v>0</v>
      </c>
      <c r="J111" s="105">
        <v>0</v>
      </c>
      <c r="K111" s="105">
        <v>0</v>
      </c>
      <c r="L111" s="105">
        <v>305.3369946852435</v>
      </c>
      <c r="M111" s="105">
        <v>619.13792679480412</v>
      </c>
      <c r="N111" s="105">
        <v>96.920643907501045</v>
      </c>
      <c r="O111" s="105">
        <v>973.00972402033494</v>
      </c>
      <c r="P111" s="105">
        <v>822.65012979135668</v>
      </c>
      <c r="Q111" s="105">
        <v>654.78370075272983</v>
      </c>
      <c r="R111" s="105">
        <v>629.50187029997642</v>
      </c>
      <c r="S111" s="105">
        <v>617.38066040444539</v>
      </c>
      <c r="T111" s="105">
        <v>642.8818811110101</v>
      </c>
      <c r="U111" s="105">
        <v>652.34257863651624</v>
      </c>
      <c r="V111" s="105">
        <v>101.29897501394841</v>
      </c>
      <c r="W111" s="105">
        <v>909.22065966737125</v>
      </c>
      <c r="X111" s="105">
        <v>976.72022092767713</v>
      </c>
      <c r="Y111" s="105">
        <v>752.86257799471525</v>
      </c>
      <c r="Z111" s="105">
        <v>661.32053066921719</v>
      </c>
      <c r="AA111" s="105">
        <v>421.78307867460603</v>
      </c>
      <c r="AB111" s="105">
        <v>244.72492980669895</v>
      </c>
      <c r="AC111" s="105">
        <v>1144.9511533180298</v>
      </c>
      <c r="AD111" s="105">
        <v>818.55488979135669</v>
      </c>
      <c r="AE111" s="105">
        <v>706.06411197217903</v>
      </c>
      <c r="AF111" s="105">
        <v>647.14642964570282</v>
      </c>
      <c r="AG111" s="105">
        <v>646.8710022143398</v>
      </c>
      <c r="AH111" s="105">
        <v>631.0851450219792</v>
      </c>
      <c r="AI111" s="105">
        <v>649.28012679769245</v>
      </c>
      <c r="AJ111" s="105">
        <v>650.27852571221035</v>
      </c>
      <c r="AK111" s="105">
        <v>425.10308378095459</v>
      </c>
      <c r="AL111" s="105">
        <v>235.73486421364373</v>
      </c>
      <c r="AM111" s="105">
        <v>1144.9598944440002</v>
      </c>
      <c r="AN111" s="105">
        <v>222.19318809019222</v>
      </c>
      <c r="AO111" s="105">
        <v>909.22503023035642</v>
      </c>
      <c r="AP111" s="105">
        <v>378.31388231057264</v>
      </c>
      <c r="AQ111" s="105">
        <v>336.74508300835635</v>
      </c>
      <c r="AR111" s="105">
        <v>0</v>
      </c>
      <c r="AS111" s="105">
        <v>1137.9443718813259</v>
      </c>
      <c r="AT111" s="105">
        <v>949.196545019273</v>
      </c>
      <c r="AU111" s="105">
        <v>714.3942908695326</v>
      </c>
      <c r="AV111" s="105">
        <v>75.267731579441801</v>
      </c>
      <c r="AW111" s="105">
        <v>0</v>
      </c>
      <c r="AX111" s="105">
        <v>0</v>
      </c>
      <c r="AY111" s="105">
        <v>572.47994722200008</v>
      </c>
    </row>
    <row r="112" spans="1:52">
      <c r="A112" s="108"/>
      <c r="B112" s="119">
        <v>4</v>
      </c>
      <c r="C112" s="105"/>
      <c r="D112" s="105">
        <v>0</v>
      </c>
      <c r="E112" s="105">
        <v>0</v>
      </c>
      <c r="F112" s="105">
        <v>0</v>
      </c>
      <c r="G112" s="105">
        <v>0</v>
      </c>
      <c r="H112" s="105">
        <v>0</v>
      </c>
      <c r="I112" s="105">
        <v>0</v>
      </c>
      <c r="J112" s="105">
        <v>0</v>
      </c>
      <c r="K112" s="105">
        <v>0</v>
      </c>
      <c r="L112" s="105">
        <v>0</v>
      </c>
      <c r="M112" s="105">
        <v>0</v>
      </c>
      <c r="N112" s="105">
        <v>228.13792679480412</v>
      </c>
      <c r="O112" s="105">
        <v>0</v>
      </c>
      <c r="P112" s="105">
        <v>456.00972402033494</v>
      </c>
      <c r="Q112" s="105">
        <v>769.65985381169162</v>
      </c>
      <c r="R112" s="105">
        <v>654.78370075272983</v>
      </c>
      <c r="S112" s="105">
        <v>629.50187029997642</v>
      </c>
      <c r="T112" s="105">
        <v>617.38066040444539</v>
      </c>
      <c r="U112" s="105">
        <v>642.8818811110101</v>
      </c>
      <c r="V112" s="105">
        <v>652.34257863651624</v>
      </c>
      <c r="W112" s="105">
        <v>101.29897501394841</v>
      </c>
      <c r="X112" s="105">
        <v>909.22065966737125</v>
      </c>
      <c r="Y112" s="105">
        <v>976.72022092767713</v>
      </c>
      <c r="Z112" s="105">
        <v>752.86257799471525</v>
      </c>
      <c r="AA112" s="105">
        <v>661.32053066921719</v>
      </c>
      <c r="AB112" s="105">
        <v>421.78307867460603</v>
      </c>
      <c r="AC112" s="105">
        <v>244.72492980669895</v>
      </c>
      <c r="AD112" s="105">
        <v>1144.9511533180298</v>
      </c>
      <c r="AE112" s="105">
        <v>818.55488979135669</v>
      </c>
      <c r="AF112" s="105">
        <v>706.06411197217903</v>
      </c>
      <c r="AG112" s="105">
        <v>647.14642964570282</v>
      </c>
      <c r="AH112" s="105">
        <v>646.8710022143398</v>
      </c>
      <c r="AI112" s="105">
        <v>631.0851450219792</v>
      </c>
      <c r="AJ112" s="105">
        <v>649.28012679769245</v>
      </c>
      <c r="AK112" s="105">
        <v>650.27852571221035</v>
      </c>
      <c r="AL112" s="105">
        <v>425.10308378095459</v>
      </c>
      <c r="AM112" s="105">
        <v>235.73486421364373</v>
      </c>
      <c r="AN112" s="105">
        <v>1144.9598944440002</v>
      </c>
      <c r="AO112" s="105">
        <v>222.19318809019222</v>
      </c>
      <c r="AP112" s="105">
        <v>909.22503023035642</v>
      </c>
      <c r="AQ112" s="105">
        <v>378.31388231057264</v>
      </c>
      <c r="AR112" s="105">
        <v>336.74508300835635</v>
      </c>
      <c r="AS112" s="105">
        <v>0</v>
      </c>
      <c r="AT112" s="105">
        <v>1137.9443718813259</v>
      </c>
      <c r="AU112" s="105">
        <v>949.196545019273</v>
      </c>
      <c r="AV112" s="105">
        <v>714.3942908695326</v>
      </c>
      <c r="AW112" s="105">
        <v>75.267731579441801</v>
      </c>
      <c r="AX112" s="105">
        <v>0</v>
      </c>
      <c r="AY112" s="105">
        <v>0</v>
      </c>
    </row>
    <row r="113" spans="1:52">
      <c r="A113" s="108"/>
      <c r="B113" s="119">
        <v>5</v>
      </c>
      <c r="C113" s="105"/>
      <c r="D113" s="105">
        <v>0</v>
      </c>
      <c r="E113" s="105">
        <v>0</v>
      </c>
      <c r="F113" s="105">
        <v>0</v>
      </c>
      <c r="G113" s="105">
        <v>0</v>
      </c>
      <c r="H113" s="105">
        <v>0</v>
      </c>
      <c r="I113" s="105">
        <v>0</v>
      </c>
      <c r="J113" s="105">
        <v>0</v>
      </c>
      <c r="K113" s="105">
        <v>0</v>
      </c>
      <c r="L113" s="105">
        <v>0</v>
      </c>
      <c r="M113" s="105">
        <v>0</v>
      </c>
      <c r="N113" s="105">
        <v>0</v>
      </c>
      <c r="O113" s="105">
        <v>0</v>
      </c>
      <c r="P113" s="105">
        <v>0</v>
      </c>
      <c r="Q113" s="105">
        <v>0</v>
      </c>
      <c r="R113" s="105">
        <v>388.65985381169162</v>
      </c>
      <c r="S113" s="105">
        <v>609.44355456442145</v>
      </c>
      <c r="T113" s="105">
        <v>629.50187029997642</v>
      </c>
      <c r="U113" s="105">
        <v>617.38066040444539</v>
      </c>
      <c r="V113" s="105">
        <v>642.8818811110101</v>
      </c>
      <c r="W113" s="105">
        <v>652.34257863651624</v>
      </c>
      <c r="X113" s="105">
        <v>101.29897501394841</v>
      </c>
      <c r="Y113" s="105">
        <v>909.22065966737125</v>
      </c>
      <c r="Z113" s="105">
        <v>976.72022092767713</v>
      </c>
      <c r="AA113" s="105">
        <v>752.86257799471525</v>
      </c>
      <c r="AB113" s="105">
        <v>661.32053066921719</v>
      </c>
      <c r="AC113" s="105">
        <v>421.78307867460603</v>
      </c>
      <c r="AD113" s="105">
        <v>244.72492980669895</v>
      </c>
      <c r="AE113" s="105">
        <v>1144.9511533180298</v>
      </c>
      <c r="AF113" s="105">
        <v>818.55488979135669</v>
      </c>
      <c r="AG113" s="105">
        <v>706.06411197217903</v>
      </c>
      <c r="AH113" s="105">
        <v>647.14642964570282</v>
      </c>
      <c r="AI113" s="105">
        <v>646.8710022143398</v>
      </c>
      <c r="AJ113" s="105">
        <v>631.0851450219792</v>
      </c>
      <c r="AK113" s="105">
        <v>649.28012679769245</v>
      </c>
      <c r="AL113" s="105">
        <v>650.27852571221035</v>
      </c>
      <c r="AM113" s="105">
        <v>425.10308378095459</v>
      </c>
      <c r="AN113" s="105">
        <v>235.73486421364373</v>
      </c>
      <c r="AO113" s="105">
        <v>1144.9598944440002</v>
      </c>
      <c r="AP113" s="105">
        <v>222.19318809019222</v>
      </c>
      <c r="AQ113" s="105">
        <v>909.22503023035642</v>
      </c>
      <c r="AR113" s="105">
        <v>378.31388231057264</v>
      </c>
      <c r="AS113" s="105">
        <v>336.74508300835635</v>
      </c>
      <c r="AT113" s="105">
        <v>0</v>
      </c>
      <c r="AU113" s="105">
        <v>1137.9443718813259</v>
      </c>
      <c r="AV113" s="105">
        <v>949.196545019273</v>
      </c>
      <c r="AW113" s="105">
        <v>714.3942908695326</v>
      </c>
      <c r="AX113" s="105">
        <v>75.267731579441801</v>
      </c>
      <c r="AY113" s="105">
        <v>0</v>
      </c>
    </row>
    <row r="114" spans="1:52">
      <c r="A114" s="108"/>
      <c r="B114" s="119">
        <v>6</v>
      </c>
      <c r="C114" s="105"/>
      <c r="D114" s="105">
        <v>0</v>
      </c>
      <c r="E114" s="105">
        <v>0</v>
      </c>
      <c r="F114" s="105">
        <v>0</v>
      </c>
      <c r="G114" s="105">
        <v>0</v>
      </c>
      <c r="H114" s="105">
        <v>0</v>
      </c>
      <c r="I114" s="105">
        <v>0</v>
      </c>
      <c r="J114" s="105">
        <v>0</v>
      </c>
      <c r="K114" s="105">
        <v>0</v>
      </c>
      <c r="L114" s="105">
        <v>0</v>
      </c>
      <c r="M114" s="105">
        <v>0</v>
      </c>
      <c r="N114" s="105">
        <v>0</v>
      </c>
      <c r="O114" s="105">
        <v>0</v>
      </c>
      <c r="P114" s="105">
        <v>0</v>
      </c>
      <c r="Q114" s="105">
        <v>0</v>
      </c>
      <c r="R114" s="105">
        <v>0</v>
      </c>
      <c r="S114" s="105">
        <v>0</v>
      </c>
      <c r="T114" s="105">
        <v>133.44355456442145</v>
      </c>
      <c r="U114" s="105">
        <v>265.94542486439786</v>
      </c>
      <c r="V114" s="105">
        <v>416.32608526884326</v>
      </c>
      <c r="W114" s="105">
        <v>642.8818811110101</v>
      </c>
      <c r="X114" s="105">
        <v>652.34257863651624</v>
      </c>
      <c r="Y114" s="105">
        <v>101.29897501394841</v>
      </c>
      <c r="Z114" s="105">
        <v>819.77079634997051</v>
      </c>
      <c r="AA114" s="105">
        <v>976.72022092767713</v>
      </c>
      <c r="AB114" s="105">
        <v>752.86257799471525</v>
      </c>
      <c r="AC114" s="105">
        <v>661.32053066921719</v>
      </c>
      <c r="AD114" s="105">
        <v>421.78307867460603</v>
      </c>
      <c r="AE114" s="105">
        <v>244.72492980669895</v>
      </c>
      <c r="AF114" s="105">
        <v>1144.9511533180298</v>
      </c>
      <c r="AG114" s="105">
        <v>818.55488979135669</v>
      </c>
      <c r="AH114" s="105">
        <v>706.06411197217903</v>
      </c>
      <c r="AI114" s="105">
        <v>647.14642964570282</v>
      </c>
      <c r="AJ114" s="105">
        <v>646.8710022143398</v>
      </c>
      <c r="AK114" s="105">
        <v>631.0851450219792</v>
      </c>
      <c r="AL114" s="105">
        <v>649.28012679769245</v>
      </c>
      <c r="AM114" s="105">
        <v>650.27852571221035</v>
      </c>
      <c r="AN114" s="105">
        <v>425.10308378095459</v>
      </c>
      <c r="AO114" s="105">
        <v>235.73486421364373</v>
      </c>
      <c r="AP114" s="105">
        <v>1144.9598944440002</v>
      </c>
      <c r="AQ114" s="105">
        <v>222.19318809019222</v>
      </c>
      <c r="AR114" s="105">
        <v>909.22503023035642</v>
      </c>
      <c r="AS114" s="105">
        <v>378.31388231057264</v>
      </c>
      <c r="AT114" s="105">
        <v>336.74508300835635</v>
      </c>
      <c r="AU114" s="105">
        <v>0</v>
      </c>
      <c r="AV114" s="105">
        <v>1137.9443718813259</v>
      </c>
      <c r="AW114" s="105">
        <v>949.196545019273</v>
      </c>
      <c r="AX114" s="105">
        <v>714.3942908695326</v>
      </c>
      <c r="AY114" s="105">
        <v>75.267731579441801</v>
      </c>
    </row>
    <row r="115" spans="1:52">
      <c r="A115" s="108"/>
      <c r="B115" s="126">
        <v>7</v>
      </c>
      <c r="C115" s="105"/>
      <c r="D115" s="105">
        <v>0</v>
      </c>
      <c r="E115" s="105">
        <v>0</v>
      </c>
      <c r="F115" s="105">
        <v>0</v>
      </c>
      <c r="G115" s="105">
        <v>0</v>
      </c>
      <c r="H115" s="105">
        <v>0</v>
      </c>
      <c r="I115" s="105">
        <v>0</v>
      </c>
      <c r="J115" s="105">
        <v>0</v>
      </c>
      <c r="K115" s="105">
        <v>0</v>
      </c>
      <c r="L115" s="105">
        <v>0</v>
      </c>
      <c r="M115" s="105">
        <v>0</v>
      </c>
      <c r="N115" s="105">
        <v>0</v>
      </c>
      <c r="O115" s="105">
        <v>0</v>
      </c>
      <c r="P115" s="105">
        <v>0</v>
      </c>
      <c r="Q115" s="105">
        <v>0</v>
      </c>
      <c r="R115" s="105">
        <v>0</v>
      </c>
      <c r="S115" s="105">
        <v>0</v>
      </c>
      <c r="T115" s="105">
        <v>0</v>
      </c>
      <c r="U115" s="105">
        <v>0</v>
      </c>
      <c r="V115" s="105">
        <v>0</v>
      </c>
      <c r="W115" s="105">
        <v>3.3260852688432578</v>
      </c>
      <c r="X115" s="105">
        <v>172.20796637985336</v>
      </c>
      <c r="Y115" s="105">
        <v>325.5505450163696</v>
      </c>
      <c r="Z115" s="105">
        <v>0</v>
      </c>
      <c r="AA115" s="105">
        <v>448.77079634997051</v>
      </c>
      <c r="AB115" s="105">
        <v>976.72022092767713</v>
      </c>
      <c r="AC115" s="105">
        <v>752.86257799471525</v>
      </c>
      <c r="AD115" s="105">
        <v>661.32053066921719</v>
      </c>
      <c r="AE115" s="105">
        <v>421.78307867460603</v>
      </c>
      <c r="AF115" s="105">
        <v>244.72492980669895</v>
      </c>
      <c r="AG115" s="105">
        <v>1144.9511533180298</v>
      </c>
      <c r="AH115" s="105">
        <v>818.55488979135669</v>
      </c>
      <c r="AI115" s="105">
        <v>706.06411197217903</v>
      </c>
      <c r="AJ115" s="105">
        <v>647.14642964570282</v>
      </c>
      <c r="AK115" s="105">
        <v>646.8710022143398</v>
      </c>
      <c r="AL115" s="105">
        <v>631.0851450219792</v>
      </c>
      <c r="AM115" s="105">
        <v>649.28012679769245</v>
      </c>
      <c r="AN115" s="105">
        <v>650.27852571221035</v>
      </c>
      <c r="AO115" s="105">
        <v>425.10308378095459</v>
      </c>
      <c r="AP115" s="105">
        <v>235.73486421364373</v>
      </c>
      <c r="AQ115" s="105">
        <v>1144.9598944440002</v>
      </c>
      <c r="AR115" s="105">
        <v>222.19318809019222</v>
      </c>
      <c r="AS115" s="105">
        <v>909.22503023035642</v>
      </c>
      <c r="AT115" s="105">
        <v>378.31388231057264</v>
      </c>
      <c r="AU115" s="105">
        <v>336.74508300835635</v>
      </c>
      <c r="AV115" s="105">
        <v>0</v>
      </c>
      <c r="AW115" s="105">
        <v>1137.9443718813259</v>
      </c>
      <c r="AX115" s="105">
        <v>949.196545019273</v>
      </c>
      <c r="AY115" s="105">
        <v>714.3942908695326</v>
      </c>
    </row>
    <row r="116" spans="1:52">
      <c r="A116" s="108"/>
      <c r="B116" s="126">
        <v>8</v>
      </c>
      <c r="C116" s="105"/>
      <c r="D116" s="105">
        <v>0</v>
      </c>
      <c r="E116" s="105">
        <v>0</v>
      </c>
      <c r="F116" s="105">
        <v>0</v>
      </c>
      <c r="G116" s="105">
        <v>0</v>
      </c>
      <c r="H116" s="105">
        <v>0</v>
      </c>
      <c r="I116" s="105">
        <v>0</v>
      </c>
      <c r="J116" s="105">
        <v>0</v>
      </c>
      <c r="K116" s="105">
        <v>0</v>
      </c>
      <c r="L116" s="105">
        <v>0</v>
      </c>
      <c r="M116" s="105">
        <v>0</v>
      </c>
      <c r="N116" s="105">
        <v>0</v>
      </c>
      <c r="O116" s="105">
        <v>0</v>
      </c>
      <c r="P116" s="105">
        <v>0</v>
      </c>
      <c r="Q116" s="105">
        <v>0</v>
      </c>
      <c r="R116" s="105">
        <v>0</v>
      </c>
      <c r="S116" s="105">
        <v>0</v>
      </c>
      <c r="T116" s="105">
        <v>0</v>
      </c>
      <c r="U116" s="105">
        <v>0</v>
      </c>
      <c r="V116" s="105">
        <v>0</v>
      </c>
      <c r="W116" s="105">
        <v>0</v>
      </c>
      <c r="X116" s="105">
        <v>0</v>
      </c>
      <c r="Y116" s="105">
        <v>0</v>
      </c>
      <c r="Z116" s="105">
        <v>0</v>
      </c>
      <c r="AA116" s="105">
        <v>0</v>
      </c>
      <c r="AB116" s="105">
        <v>88.77079634997051</v>
      </c>
      <c r="AC116" s="105">
        <v>570.49101727764764</v>
      </c>
      <c r="AD116" s="105">
        <v>752.86257799471525</v>
      </c>
      <c r="AE116" s="105">
        <v>661.32053066921719</v>
      </c>
      <c r="AF116" s="105">
        <v>421.78307867460603</v>
      </c>
      <c r="AG116" s="105">
        <v>244.72492980669895</v>
      </c>
      <c r="AH116" s="105">
        <v>1144.9511533180298</v>
      </c>
      <c r="AI116" s="105">
        <v>818.55488979135669</v>
      </c>
      <c r="AJ116" s="105">
        <v>706.06411197217903</v>
      </c>
      <c r="AK116" s="105">
        <v>647.14642964570282</v>
      </c>
      <c r="AL116" s="105">
        <v>646.8710022143398</v>
      </c>
      <c r="AM116" s="105">
        <v>631.0851450219792</v>
      </c>
      <c r="AN116" s="105">
        <v>649.28012679769245</v>
      </c>
      <c r="AO116" s="105">
        <v>650.27852571221035</v>
      </c>
      <c r="AP116" s="105">
        <v>425.10308378095459</v>
      </c>
      <c r="AQ116" s="105">
        <v>235.73486421364373</v>
      </c>
      <c r="AR116" s="105">
        <v>1144.9598944440002</v>
      </c>
      <c r="AS116" s="105">
        <v>222.19318809019222</v>
      </c>
      <c r="AT116" s="105">
        <v>909.22503023035642</v>
      </c>
      <c r="AU116" s="105">
        <v>378.31388231057264</v>
      </c>
      <c r="AV116" s="105">
        <v>336.74508300835635</v>
      </c>
      <c r="AW116" s="105">
        <v>0</v>
      </c>
      <c r="AX116" s="105">
        <v>1137.9443718813259</v>
      </c>
      <c r="AY116" s="105">
        <v>949.196545019273</v>
      </c>
    </row>
    <row r="117" spans="1:52">
      <c r="A117" s="108"/>
      <c r="B117" s="126">
        <v>9</v>
      </c>
      <c r="C117" s="105"/>
      <c r="D117" s="105">
        <v>0</v>
      </c>
      <c r="E117" s="105">
        <v>0</v>
      </c>
      <c r="F117" s="105">
        <v>0</v>
      </c>
      <c r="G117" s="105">
        <v>0</v>
      </c>
      <c r="H117" s="105">
        <v>0</v>
      </c>
      <c r="I117" s="105">
        <v>0</v>
      </c>
      <c r="J117" s="105">
        <v>0</v>
      </c>
      <c r="K117" s="105">
        <v>0</v>
      </c>
      <c r="L117" s="105">
        <v>0</v>
      </c>
      <c r="M117" s="105">
        <v>0</v>
      </c>
      <c r="N117" s="105">
        <v>0</v>
      </c>
      <c r="O117" s="105">
        <v>0</v>
      </c>
      <c r="P117" s="105">
        <v>0</v>
      </c>
      <c r="Q117" s="105">
        <v>0</v>
      </c>
      <c r="R117" s="105">
        <v>0</v>
      </c>
      <c r="S117" s="105">
        <v>0</v>
      </c>
      <c r="T117" s="105">
        <v>0</v>
      </c>
      <c r="U117" s="105">
        <v>0</v>
      </c>
      <c r="V117" s="105">
        <v>0</v>
      </c>
      <c r="W117" s="105">
        <v>0</v>
      </c>
      <c r="X117" s="105">
        <v>0</v>
      </c>
      <c r="Y117" s="105">
        <v>0</v>
      </c>
      <c r="Z117" s="105">
        <v>0</v>
      </c>
      <c r="AA117" s="105">
        <v>0</v>
      </c>
      <c r="AB117" s="105">
        <v>0</v>
      </c>
      <c r="AC117" s="105">
        <v>0</v>
      </c>
      <c r="AD117" s="105">
        <v>162.49101727764764</v>
      </c>
      <c r="AE117" s="105">
        <v>458.3535952723629</v>
      </c>
      <c r="AF117" s="105">
        <v>595.67412594158009</v>
      </c>
      <c r="AG117" s="105">
        <v>421.78307867460603</v>
      </c>
      <c r="AH117" s="105">
        <v>244.72492980669895</v>
      </c>
      <c r="AI117" s="105">
        <v>962.13328774091485</v>
      </c>
      <c r="AJ117" s="105">
        <v>818.55488979135669</v>
      </c>
      <c r="AK117" s="105">
        <v>706.06411197217903</v>
      </c>
      <c r="AL117" s="105">
        <v>647.14642964570282</v>
      </c>
      <c r="AM117" s="105">
        <v>646.8710022143398</v>
      </c>
      <c r="AN117" s="105">
        <v>631.0851450219792</v>
      </c>
      <c r="AO117" s="105">
        <v>649.28012679769245</v>
      </c>
      <c r="AP117" s="105">
        <v>650.27852571221035</v>
      </c>
      <c r="AQ117" s="105">
        <v>425.10308378095459</v>
      </c>
      <c r="AR117" s="105">
        <v>235.73486421364373</v>
      </c>
      <c r="AS117" s="105">
        <v>1144.9598944440002</v>
      </c>
      <c r="AT117" s="105">
        <v>222.19318809019222</v>
      </c>
      <c r="AU117" s="105">
        <v>909.22503023035642</v>
      </c>
      <c r="AV117" s="105">
        <v>378.31388231057264</v>
      </c>
      <c r="AW117" s="105">
        <v>336.74508300835635</v>
      </c>
      <c r="AX117" s="105">
        <v>0</v>
      </c>
      <c r="AY117" s="105">
        <v>1137.9443718813259</v>
      </c>
    </row>
    <row r="118" spans="1:52">
      <c r="A118" s="108"/>
      <c r="B118" s="129">
        <v>10</v>
      </c>
      <c r="C118" s="105"/>
      <c r="D118" s="105">
        <v>0</v>
      </c>
      <c r="E118" s="105">
        <v>0</v>
      </c>
      <c r="F118" s="105">
        <v>0</v>
      </c>
      <c r="G118" s="105">
        <v>0</v>
      </c>
      <c r="H118" s="105">
        <v>0</v>
      </c>
      <c r="I118" s="105">
        <v>0</v>
      </c>
      <c r="J118" s="105">
        <v>0</v>
      </c>
      <c r="K118" s="105">
        <v>0</v>
      </c>
      <c r="L118" s="105">
        <v>0</v>
      </c>
      <c r="M118" s="105">
        <v>0</v>
      </c>
      <c r="N118" s="105">
        <v>0</v>
      </c>
      <c r="O118" s="105">
        <v>0</v>
      </c>
      <c r="P118" s="105">
        <v>0</v>
      </c>
      <c r="Q118" s="105">
        <v>0</v>
      </c>
      <c r="R118" s="105">
        <v>0</v>
      </c>
      <c r="S118" s="105">
        <v>0</v>
      </c>
      <c r="T118" s="105">
        <v>0</v>
      </c>
      <c r="U118" s="105">
        <v>0</v>
      </c>
      <c r="V118" s="105">
        <v>0</v>
      </c>
      <c r="W118" s="105">
        <v>0</v>
      </c>
      <c r="X118" s="105">
        <v>0</v>
      </c>
      <c r="Y118" s="105">
        <v>0</v>
      </c>
      <c r="Z118" s="105">
        <v>0</v>
      </c>
      <c r="AA118" s="105">
        <v>0</v>
      </c>
      <c r="AB118" s="105">
        <v>0</v>
      </c>
      <c r="AC118" s="105">
        <v>0</v>
      </c>
      <c r="AD118" s="105">
        <v>0</v>
      </c>
      <c r="AE118" s="105">
        <v>0</v>
      </c>
      <c r="AF118" s="105">
        <v>0</v>
      </c>
      <c r="AG118" s="105">
        <v>157.67412594158009</v>
      </c>
      <c r="AH118" s="105">
        <v>143.45720461618612</v>
      </c>
      <c r="AI118" s="105">
        <v>0</v>
      </c>
      <c r="AJ118" s="105">
        <v>515.12274036755753</v>
      </c>
      <c r="AK118" s="105">
        <v>818.55488979135669</v>
      </c>
      <c r="AL118" s="105">
        <v>706.06411197217903</v>
      </c>
      <c r="AM118" s="105">
        <v>647.14642964570282</v>
      </c>
      <c r="AN118" s="105">
        <v>646.8710022143398</v>
      </c>
      <c r="AO118" s="105">
        <v>631.0851450219792</v>
      </c>
      <c r="AP118" s="105">
        <v>649.28012679769245</v>
      </c>
      <c r="AQ118" s="105">
        <v>650.27852571221035</v>
      </c>
      <c r="AR118" s="105">
        <v>425.10308378095459</v>
      </c>
      <c r="AS118" s="105">
        <v>235.73486421364373</v>
      </c>
      <c r="AT118" s="105">
        <v>1144.9598944440002</v>
      </c>
      <c r="AU118" s="105">
        <v>222.19318809019222</v>
      </c>
      <c r="AV118" s="105">
        <v>909.22503023035642</v>
      </c>
      <c r="AW118" s="105">
        <v>378.31388231057264</v>
      </c>
      <c r="AX118" s="105">
        <v>336.74508300835635</v>
      </c>
      <c r="AY118" s="105">
        <v>0</v>
      </c>
    </row>
    <row r="119" spans="1:52">
      <c r="A119" s="108"/>
      <c r="B119" s="129">
        <v>11</v>
      </c>
      <c r="C119" s="105"/>
      <c r="D119" s="105">
        <v>0</v>
      </c>
      <c r="E119" s="105">
        <v>0</v>
      </c>
      <c r="F119" s="105">
        <v>0</v>
      </c>
      <c r="G119" s="105">
        <v>0</v>
      </c>
      <c r="H119" s="105">
        <v>0</v>
      </c>
      <c r="I119" s="105">
        <v>0</v>
      </c>
      <c r="J119" s="105">
        <v>0</v>
      </c>
      <c r="K119" s="105">
        <v>0</v>
      </c>
      <c r="L119" s="105">
        <v>0</v>
      </c>
      <c r="M119" s="105">
        <v>0</v>
      </c>
      <c r="N119" s="105">
        <v>0</v>
      </c>
      <c r="O119" s="105">
        <v>0</v>
      </c>
      <c r="P119" s="105">
        <v>0</v>
      </c>
      <c r="Q119" s="105">
        <v>0</v>
      </c>
      <c r="R119" s="105">
        <v>0</v>
      </c>
      <c r="S119" s="105">
        <v>0</v>
      </c>
      <c r="T119" s="105">
        <v>0</v>
      </c>
      <c r="U119" s="105">
        <v>0</v>
      </c>
      <c r="V119" s="105">
        <v>0</v>
      </c>
      <c r="W119" s="105">
        <v>0</v>
      </c>
      <c r="X119" s="105">
        <v>0</v>
      </c>
      <c r="Y119" s="105">
        <v>0</v>
      </c>
      <c r="Z119" s="105">
        <v>0</v>
      </c>
      <c r="AA119" s="105">
        <v>0</v>
      </c>
      <c r="AB119" s="105">
        <v>0</v>
      </c>
      <c r="AC119" s="105">
        <v>0</v>
      </c>
      <c r="AD119" s="105">
        <v>0</v>
      </c>
      <c r="AE119" s="105">
        <v>0</v>
      </c>
      <c r="AF119" s="105">
        <v>0</v>
      </c>
      <c r="AG119" s="105">
        <v>0</v>
      </c>
      <c r="AH119" s="105">
        <v>0</v>
      </c>
      <c r="AI119" s="105">
        <v>0</v>
      </c>
      <c r="AJ119" s="105">
        <v>0</v>
      </c>
      <c r="AK119" s="105">
        <v>31.122740367557526</v>
      </c>
      <c r="AL119" s="105">
        <v>386.67763015891421</v>
      </c>
      <c r="AM119" s="105">
        <v>636.74174213109325</v>
      </c>
      <c r="AN119" s="105">
        <v>647.14642964570282</v>
      </c>
      <c r="AO119" s="105">
        <v>646.8710022143398</v>
      </c>
      <c r="AP119" s="105">
        <v>631.0851450219792</v>
      </c>
      <c r="AQ119" s="105">
        <v>649.28012679769245</v>
      </c>
      <c r="AR119" s="105">
        <v>650.27852571221035</v>
      </c>
      <c r="AS119" s="105">
        <v>425.10308378095459</v>
      </c>
      <c r="AT119" s="105">
        <v>235.73486421364373</v>
      </c>
      <c r="AU119" s="105">
        <v>1144.9598944440002</v>
      </c>
      <c r="AV119" s="105">
        <v>222.19318809019222</v>
      </c>
      <c r="AW119" s="105">
        <v>909.22503023035642</v>
      </c>
      <c r="AX119" s="105">
        <v>378.31388231057264</v>
      </c>
      <c r="AY119" s="105">
        <v>336.74508300835635</v>
      </c>
    </row>
    <row r="120" spans="1:52">
      <c r="A120" s="108"/>
      <c r="B120" s="129">
        <v>12</v>
      </c>
      <c r="C120" s="105"/>
      <c r="D120" s="105">
        <v>0</v>
      </c>
      <c r="E120" s="105">
        <v>0</v>
      </c>
      <c r="F120" s="105">
        <v>0</v>
      </c>
      <c r="G120" s="105">
        <v>0</v>
      </c>
      <c r="H120" s="105">
        <v>0</v>
      </c>
      <c r="I120" s="105">
        <v>0</v>
      </c>
      <c r="J120" s="105">
        <v>0</v>
      </c>
      <c r="K120" s="105">
        <v>0</v>
      </c>
      <c r="L120" s="105">
        <v>0</v>
      </c>
      <c r="M120" s="105">
        <v>0</v>
      </c>
      <c r="N120" s="105">
        <v>0</v>
      </c>
      <c r="O120" s="105">
        <v>0</v>
      </c>
      <c r="P120" s="105">
        <v>0</v>
      </c>
      <c r="Q120" s="105">
        <v>0</v>
      </c>
      <c r="R120" s="105">
        <v>0</v>
      </c>
      <c r="S120" s="105">
        <v>0</v>
      </c>
      <c r="T120" s="105">
        <v>0</v>
      </c>
      <c r="U120" s="105">
        <v>0</v>
      </c>
      <c r="V120" s="105">
        <v>0</v>
      </c>
      <c r="W120" s="105">
        <v>0</v>
      </c>
      <c r="X120" s="105">
        <v>0</v>
      </c>
      <c r="Y120" s="105">
        <v>0</v>
      </c>
      <c r="Z120" s="105">
        <v>0</v>
      </c>
      <c r="AA120" s="105">
        <v>0</v>
      </c>
      <c r="AB120" s="105">
        <v>0</v>
      </c>
      <c r="AC120" s="105">
        <v>0</v>
      </c>
      <c r="AD120" s="105">
        <v>0</v>
      </c>
      <c r="AE120" s="105">
        <v>0</v>
      </c>
      <c r="AF120" s="105">
        <v>0</v>
      </c>
      <c r="AG120" s="105">
        <v>0</v>
      </c>
      <c r="AH120" s="105">
        <v>0</v>
      </c>
      <c r="AI120" s="105">
        <v>0</v>
      </c>
      <c r="AJ120" s="105">
        <v>0</v>
      </c>
      <c r="AK120" s="105">
        <v>0</v>
      </c>
      <c r="AL120" s="105">
        <v>0</v>
      </c>
      <c r="AM120" s="105">
        <v>0</v>
      </c>
      <c r="AN120" s="105">
        <v>110.74174213109325</v>
      </c>
      <c r="AO120" s="105">
        <v>313.33961332545806</v>
      </c>
      <c r="AP120" s="105">
        <v>590.2106155397978</v>
      </c>
      <c r="AQ120" s="105">
        <v>631.0851450219792</v>
      </c>
      <c r="AR120" s="105">
        <v>649.28012679769245</v>
      </c>
      <c r="AS120" s="105">
        <v>650.27852571221035</v>
      </c>
      <c r="AT120" s="105">
        <v>425.10308378095459</v>
      </c>
      <c r="AU120" s="105">
        <v>157.83794799459832</v>
      </c>
      <c r="AV120" s="105">
        <v>683.79784243859854</v>
      </c>
      <c r="AW120" s="105">
        <v>222.19318809019222</v>
      </c>
      <c r="AX120" s="105">
        <v>530.4182183205487</v>
      </c>
      <c r="AY120" s="105">
        <v>378.31388231057264</v>
      </c>
    </row>
    <row r="121" spans="1:52">
      <c r="A121" s="127"/>
      <c r="B121" s="131" t="s">
        <v>295</v>
      </c>
      <c r="C121" s="113"/>
      <c r="D121" s="124">
        <v>0</v>
      </c>
      <c r="E121" s="124">
        <v>0</v>
      </c>
      <c r="F121" s="124">
        <v>0</v>
      </c>
      <c r="G121" s="124">
        <v>0</v>
      </c>
      <c r="H121" s="124">
        <v>0</v>
      </c>
      <c r="I121" s="124">
        <v>0</v>
      </c>
      <c r="J121" s="124">
        <v>0</v>
      </c>
      <c r="K121" s="124">
        <v>0</v>
      </c>
      <c r="L121" s="124">
        <v>0</v>
      </c>
      <c r="M121" s="124">
        <v>0</v>
      </c>
      <c r="N121" s="124">
        <v>0</v>
      </c>
      <c r="O121" s="124">
        <v>0</v>
      </c>
      <c r="P121" s="124">
        <v>0</v>
      </c>
      <c r="Q121" s="124">
        <v>0</v>
      </c>
      <c r="R121" s="124">
        <v>0</v>
      </c>
      <c r="S121" s="124">
        <v>0</v>
      </c>
      <c r="T121" s="124">
        <v>0</v>
      </c>
      <c r="U121" s="124">
        <v>0</v>
      </c>
      <c r="V121" s="124">
        <v>0</v>
      </c>
      <c r="W121" s="124">
        <v>0</v>
      </c>
      <c r="X121" s="124">
        <v>0</v>
      </c>
      <c r="Y121" s="124">
        <v>0</v>
      </c>
      <c r="Z121" s="124">
        <v>0</v>
      </c>
      <c r="AA121" s="124">
        <v>0</v>
      </c>
      <c r="AB121" s="124">
        <v>0</v>
      </c>
      <c r="AC121" s="124">
        <v>0</v>
      </c>
      <c r="AD121" s="124">
        <v>0</v>
      </c>
      <c r="AE121" s="124">
        <v>0</v>
      </c>
      <c r="AF121" s="124">
        <v>0</v>
      </c>
      <c r="AG121" s="124">
        <v>0</v>
      </c>
      <c r="AH121" s="124">
        <v>0</v>
      </c>
      <c r="AI121" s="124">
        <v>0</v>
      </c>
      <c r="AJ121" s="124">
        <v>0</v>
      </c>
      <c r="AK121" s="124">
        <v>0</v>
      </c>
      <c r="AL121" s="124">
        <v>0</v>
      </c>
      <c r="AM121" s="124">
        <v>0</v>
      </c>
      <c r="AN121" s="124">
        <v>0</v>
      </c>
      <c r="AO121" s="124">
        <v>0</v>
      </c>
      <c r="AP121" s="124">
        <v>0</v>
      </c>
      <c r="AQ121" s="124">
        <v>101.2106155397978</v>
      </c>
      <c r="AR121" s="124">
        <v>229.0851450219792</v>
      </c>
      <c r="AS121" s="124">
        <v>171.28012679769245</v>
      </c>
      <c r="AT121" s="124">
        <v>126.27852571221035</v>
      </c>
      <c r="AU121" s="124">
        <v>0</v>
      </c>
      <c r="AV121" s="124">
        <v>0</v>
      </c>
      <c r="AW121" s="124">
        <v>111.79784243859854</v>
      </c>
      <c r="AX121" s="124">
        <v>0</v>
      </c>
      <c r="AY121" s="124">
        <v>54.411652631666072</v>
      </c>
      <c r="AZ121" s="106">
        <f>SUM($D121:$AY121)</f>
        <v>794.06390814194447</v>
      </c>
    </row>
    <row r="122" spans="1:52">
      <c r="A122" s="130" t="s">
        <v>123</v>
      </c>
      <c r="B122" s="118">
        <v>1</v>
      </c>
      <c r="C122" s="105"/>
      <c r="D122" s="105">
        <v>0</v>
      </c>
      <c r="E122" s="105">
        <v>0</v>
      </c>
      <c r="F122" s="105">
        <v>493.37047353760414</v>
      </c>
      <c r="G122" s="105">
        <v>0</v>
      </c>
      <c r="H122" s="105">
        <v>472.8133704735373</v>
      </c>
      <c r="I122" s="105">
        <v>838.74289662000012</v>
      </c>
      <c r="J122" s="105">
        <v>838.74289662000012</v>
      </c>
      <c r="K122" s="105">
        <v>0</v>
      </c>
      <c r="L122" s="105">
        <v>838.74289662000012</v>
      </c>
      <c r="M122" s="105">
        <v>838.74289662000012</v>
      </c>
      <c r="N122" s="105">
        <v>771.70640628998399</v>
      </c>
      <c r="O122" s="105">
        <v>838.74289662000012</v>
      </c>
      <c r="P122" s="105">
        <v>838.74289662000012</v>
      </c>
      <c r="Q122" s="105">
        <v>838.74289662000012</v>
      </c>
      <c r="R122" s="105">
        <v>838.74289662000012</v>
      </c>
      <c r="S122" s="105">
        <v>0</v>
      </c>
      <c r="T122" s="105">
        <v>493.37047353760414</v>
      </c>
      <c r="U122" s="105">
        <v>838.74289662000012</v>
      </c>
      <c r="V122" s="105">
        <v>838.74289662000012</v>
      </c>
      <c r="W122" s="105">
        <v>838.74289662000012</v>
      </c>
      <c r="X122" s="105">
        <v>493.37047353760414</v>
      </c>
      <c r="Y122" s="105">
        <v>0</v>
      </c>
      <c r="Z122" s="105">
        <v>838.74289662000012</v>
      </c>
      <c r="AA122" s="105">
        <v>838.74289662000012</v>
      </c>
      <c r="AB122" s="105">
        <v>838.74289662000012</v>
      </c>
      <c r="AC122" s="105">
        <v>838.74289662000012</v>
      </c>
      <c r="AD122" s="105">
        <v>838.74289662000012</v>
      </c>
      <c r="AE122" s="105">
        <v>838.74289662000012</v>
      </c>
      <c r="AF122" s="105">
        <v>838.74289662000012</v>
      </c>
      <c r="AG122" s="105">
        <v>838.74289662000012</v>
      </c>
      <c r="AH122" s="105">
        <v>493.37047353760414</v>
      </c>
      <c r="AI122" s="105">
        <v>0</v>
      </c>
      <c r="AJ122" s="105">
        <v>838.74930000000006</v>
      </c>
      <c r="AK122" s="105">
        <v>0</v>
      </c>
      <c r="AL122" s="105">
        <v>493.37047353760414</v>
      </c>
      <c r="AM122" s="105">
        <v>0</v>
      </c>
      <c r="AN122" s="105">
        <v>493.37047353760414</v>
      </c>
      <c r="AO122" s="105">
        <v>0</v>
      </c>
      <c r="AP122" s="105">
        <v>483.09192200557067</v>
      </c>
      <c r="AQ122" s="105">
        <v>772.49636342559052</v>
      </c>
      <c r="AR122" s="105">
        <v>805.18410010799994</v>
      </c>
      <c r="AS122" s="105">
        <v>0</v>
      </c>
      <c r="AT122" s="105">
        <v>0</v>
      </c>
      <c r="AU122" s="105">
        <v>0</v>
      </c>
      <c r="AV122" s="105">
        <v>838.74930000000006</v>
      </c>
      <c r="AW122" s="105">
        <v>838.74289662000012</v>
      </c>
      <c r="AX122" s="105">
        <v>493.37047353760414</v>
      </c>
      <c r="AY122" s="105">
        <v>0</v>
      </c>
    </row>
    <row r="123" spans="1:52">
      <c r="A123" s="108"/>
      <c r="B123" s="118">
        <v>2</v>
      </c>
      <c r="C123" s="105"/>
      <c r="D123" s="105">
        <v>0</v>
      </c>
      <c r="E123" s="105">
        <v>0</v>
      </c>
      <c r="F123" s="105">
        <v>0</v>
      </c>
      <c r="G123" s="105">
        <v>345.37242308239598</v>
      </c>
      <c r="H123" s="105">
        <v>838.74289662000012</v>
      </c>
      <c r="I123" s="105">
        <v>408.84099618500585</v>
      </c>
      <c r="J123" s="105">
        <v>207.05798260987717</v>
      </c>
      <c r="K123" s="105">
        <v>141.99994712031682</v>
      </c>
      <c r="L123" s="105">
        <v>838.74289662000012</v>
      </c>
      <c r="M123" s="105">
        <v>266.26731996098522</v>
      </c>
      <c r="N123" s="105">
        <v>187.62740675061394</v>
      </c>
      <c r="O123" s="105">
        <v>83.550112287868188</v>
      </c>
      <c r="P123" s="105">
        <v>65.791138607891867</v>
      </c>
      <c r="Q123" s="105">
        <v>103.15337482344657</v>
      </c>
      <c r="R123" s="105">
        <v>117.01439033243656</v>
      </c>
      <c r="S123" s="105">
        <v>148.41470831592054</v>
      </c>
      <c r="T123" s="105">
        <v>838.74289662000012</v>
      </c>
      <c r="U123" s="105">
        <v>501.99781361164378</v>
      </c>
      <c r="V123" s="105">
        <v>264.28780926495199</v>
      </c>
      <c r="W123" s="105">
        <v>130.16812789023686</v>
      </c>
      <c r="X123" s="105">
        <v>124.59049384101979</v>
      </c>
      <c r="Y123" s="105">
        <v>358.55031178641389</v>
      </c>
      <c r="Z123" s="105">
        <v>838.74289662000012</v>
      </c>
      <c r="AA123" s="105">
        <v>266.26731996098522</v>
      </c>
      <c r="AB123" s="105">
        <v>195.72264675061393</v>
      </c>
      <c r="AC123" s="105">
        <v>109.40143139843511</v>
      </c>
      <c r="AD123" s="105">
        <v>108.99789837273244</v>
      </c>
      <c r="AE123" s="105">
        <v>85.869792778392849</v>
      </c>
      <c r="AF123" s="105">
        <v>112.5275443764138</v>
      </c>
      <c r="AG123" s="105">
        <v>113.99031419872153</v>
      </c>
      <c r="AH123" s="105">
        <v>129.45468510651136</v>
      </c>
      <c r="AI123" s="105">
        <v>345.37882646239592</v>
      </c>
      <c r="AJ123" s="105">
        <v>838.74930000000006</v>
      </c>
      <c r="AK123" s="105">
        <v>266.26935277799998</v>
      </c>
      <c r="AL123" s="105">
        <v>838.74930000000006</v>
      </c>
      <c r="AM123" s="105">
        <v>502.00421699164372</v>
      </c>
      <c r="AN123" s="105">
        <v>0</v>
      </c>
      <c r="AO123" s="105">
        <v>0</v>
      </c>
      <c r="AP123" s="105">
        <v>838.74930000000006</v>
      </c>
      <c r="AQ123" s="105">
        <v>442.27298486302777</v>
      </c>
      <c r="AR123" s="105">
        <v>241.48611829609743</v>
      </c>
      <c r="AS123" s="105">
        <v>110.27592753456472</v>
      </c>
      <c r="AT123" s="105">
        <v>0</v>
      </c>
      <c r="AU123" s="105">
        <v>0</v>
      </c>
      <c r="AV123" s="105">
        <v>0</v>
      </c>
      <c r="AW123" s="105">
        <v>39.269352777999984</v>
      </c>
      <c r="AX123" s="105">
        <v>105.73376869388909</v>
      </c>
      <c r="AY123" s="105">
        <v>328.61572644439599</v>
      </c>
    </row>
    <row r="124" spans="1:52">
      <c r="A124" s="108"/>
      <c r="B124" s="118">
        <v>3</v>
      </c>
      <c r="C124" s="105"/>
      <c r="D124" s="105">
        <v>0</v>
      </c>
      <c r="E124" s="105">
        <v>0</v>
      </c>
      <c r="F124" s="105">
        <v>0</v>
      </c>
      <c r="G124" s="105">
        <v>0</v>
      </c>
      <c r="H124" s="105">
        <v>0</v>
      </c>
      <c r="I124" s="105">
        <v>0</v>
      </c>
      <c r="J124" s="105">
        <v>0</v>
      </c>
      <c r="K124" s="105">
        <v>0</v>
      </c>
      <c r="L124" s="105">
        <v>0</v>
      </c>
      <c r="M124" s="105">
        <v>100.26731996098522</v>
      </c>
      <c r="N124" s="105">
        <v>0</v>
      </c>
      <c r="O124" s="105">
        <v>0</v>
      </c>
      <c r="P124" s="105">
        <v>0</v>
      </c>
      <c r="Q124" s="105">
        <v>0</v>
      </c>
      <c r="R124" s="105">
        <v>0</v>
      </c>
      <c r="S124" s="105">
        <v>0</v>
      </c>
      <c r="T124" s="105">
        <v>0</v>
      </c>
      <c r="U124" s="105">
        <v>90.267319960985219</v>
      </c>
      <c r="V124" s="105">
        <v>0</v>
      </c>
      <c r="W124" s="105">
        <v>0</v>
      </c>
      <c r="X124" s="105">
        <v>0</v>
      </c>
      <c r="Y124" s="105">
        <v>0</v>
      </c>
      <c r="Z124" s="105">
        <v>0</v>
      </c>
      <c r="AA124" s="105">
        <v>94.267319960985219</v>
      </c>
      <c r="AB124" s="105">
        <v>0</v>
      </c>
      <c r="AC124" s="105">
        <v>0</v>
      </c>
      <c r="AD124" s="105">
        <v>0</v>
      </c>
      <c r="AE124" s="105">
        <v>0</v>
      </c>
      <c r="AF124" s="105">
        <v>0</v>
      </c>
      <c r="AG124" s="105">
        <v>0</v>
      </c>
      <c r="AH124" s="105">
        <v>0</v>
      </c>
      <c r="AI124" s="105">
        <v>0</v>
      </c>
      <c r="AJ124" s="105">
        <v>0</v>
      </c>
      <c r="AK124" s="105">
        <v>59.269352777999984</v>
      </c>
      <c r="AL124" s="105">
        <v>0</v>
      </c>
      <c r="AM124" s="105">
        <v>52.269352777999984</v>
      </c>
      <c r="AN124" s="105">
        <v>0</v>
      </c>
      <c r="AO124" s="105">
        <v>0</v>
      </c>
      <c r="AP124" s="105">
        <v>345.37882646239592</v>
      </c>
      <c r="AQ124" s="105">
        <v>175.91331502675217</v>
      </c>
      <c r="AR124" s="105">
        <v>0</v>
      </c>
      <c r="AS124" s="105">
        <v>0</v>
      </c>
      <c r="AT124" s="105">
        <v>0</v>
      </c>
      <c r="AU124" s="105">
        <v>0</v>
      </c>
      <c r="AV124" s="105">
        <v>0</v>
      </c>
      <c r="AW124" s="105">
        <v>0</v>
      </c>
      <c r="AX124" s="105">
        <v>0</v>
      </c>
      <c r="AY124" s="105">
        <v>0</v>
      </c>
    </row>
    <row r="125" spans="1:52">
      <c r="A125" s="108"/>
      <c r="B125" s="118">
        <v>4</v>
      </c>
      <c r="C125" s="105"/>
      <c r="D125" s="105">
        <v>0</v>
      </c>
      <c r="E125" s="105">
        <v>0</v>
      </c>
      <c r="F125" s="105">
        <v>0</v>
      </c>
      <c r="G125" s="105">
        <v>0</v>
      </c>
      <c r="H125" s="105">
        <v>0</v>
      </c>
      <c r="I125" s="105">
        <v>0</v>
      </c>
      <c r="J125" s="105">
        <v>0</v>
      </c>
      <c r="K125" s="105">
        <v>0</v>
      </c>
      <c r="L125" s="105">
        <v>0</v>
      </c>
      <c r="M125" s="105">
        <v>0</v>
      </c>
      <c r="N125" s="105">
        <v>0</v>
      </c>
      <c r="O125" s="105">
        <v>0</v>
      </c>
      <c r="P125" s="105">
        <v>0</v>
      </c>
      <c r="Q125" s="105">
        <v>0</v>
      </c>
      <c r="R125" s="105">
        <v>0</v>
      </c>
      <c r="S125" s="105">
        <v>0</v>
      </c>
      <c r="T125" s="105">
        <v>0</v>
      </c>
      <c r="U125" s="105">
        <v>0</v>
      </c>
      <c r="V125" s="105">
        <v>0</v>
      </c>
      <c r="W125" s="105">
        <v>0</v>
      </c>
      <c r="X125" s="105">
        <v>0</v>
      </c>
      <c r="Y125" s="105">
        <v>0</v>
      </c>
      <c r="Z125" s="105">
        <v>0</v>
      </c>
      <c r="AA125" s="105">
        <v>0</v>
      </c>
      <c r="AB125" s="105">
        <v>0</v>
      </c>
      <c r="AC125" s="105">
        <v>0</v>
      </c>
      <c r="AD125" s="105">
        <v>0</v>
      </c>
      <c r="AE125" s="105">
        <v>0</v>
      </c>
      <c r="AF125" s="105">
        <v>0</v>
      </c>
      <c r="AG125" s="105">
        <v>0</v>
      </c>
      <c r="AH125" s="105">
        <v>0</v>
      </c>
      <c r="AI125" s="105">
        <v>0</v>
      </c>
      <c r="AJ125" s="105">
        <v>0</v>
      </c>
      <c r="AK125" s="105">
        <v>0</v>
      </c>
      <c r="AL125" s="105">
        <v>0</v>
      </c>
      <c r="AM125" s="105">
        <v>0</v>
      </c>
      <c r="AN125" s="105">
        <v>0</v>
      </c>
      <c r="AO125" s="105">
        <v>0</v>
      </c>
      <c r="AP125" s="105">
        <v>0</v>
      </c>
      <c r="AQ125" s="105">
        <v>0</v>
      </c>
      <c r="AR125" s="105">
        <v>0</v>
      </c>
      <c r="AS125" s="105">
        <v>0</v>
      </c>
      <c r="AT125" s="105">
        <v>0</v>
      </c>
      <c r="AU125" s="105">
        <v>0</v>
      </c>
      <c r="AV125" s="105">
        <v>0</v>
      </c>
      <c r="AW125" s="105">
        <v>0</v>
      </c>
      <c r="AX125" s="105">
        <v>0</v>
      </c>
      <c r="AY125" s="105">
        <v>0</v>
      </c>
    </row>
    <row r="126" spans="1:52">
      <c r="A126" s="108"/>
      <c r="B126" s="118">
        <v>5</v>
      </c>
      <c r="C126" s="105"/>
      <c r="D126" s="105">
        <v>0</v>
      </c>
      <c r="E126" s="105">
        <v>0</v>
      </c>
      <c r="F126" s="105">
        <v>0</v>
      </c>
      <c r="G126" s="105">
        <v>0</v>
      </c>
      <c r="H126" s="105">
        <v>0</v>
      </c>
      <c r="I126" s="105">
        <v>0</v>
      </c>
      <c r="J126" s="105">
        <v>0</v>
      </c>
      <c r="K126" s="105">
        <v>0</v>
      </c>
      <c r="L126" s="105">
        <v>0</v>
      </c>
      <c r="M126" s="105">
        <v>0</v>
      </c>
      <c r="N126" s="105">
        <v>0</v>
      </c>
      <c r="O126" s="105">
        <v>0</v>
      </c>
      <c r="P126" s="105">
        <v>0</v>
      </c>
      <c r="Q126" s="105">
        <v>0</v>
      </c>
      <c r="R126" s="105">
        <v>0</v>
      </c>
      <c r="S126" s="105">
        <v>0</v>
      </c>
      <c r="T126" s="105">
        <v>0</v>
      </c>
      <c r="U126" s="105">
        <v>0</v>
      </c>
      <c r="V126" s="105">
        <v>0</v>
      </c>
      <c r="W126" s="105">
        <v>0</v>
      </c>
      <c r="X126" s="105">
        <v>0</v>
      </c>
      <c r="Y126" s="105">
        <v>0</v>
      </c>
      <c r="Z126" s="105">
        <v>0</v>
      </c>
      <c r="AA126" s="105">
        <v>0</v>
      </c>
      <c r="AB126" s="105">
        <v>0</v>
      </c>
      <c r="AC126" s="105">
        <v>0</v>
      </c>
      <c r="AD126" s="105">
        <v>0</v>
      </c>
      <c r="AE126" s="105">
        <v>0</v>
      </c>
      <c r="AF126" s="105">
        <v>0</v>
      </c>
      <c r="AG126" s="105">
        <v>0</v>
      </c>
      <c r="AH126" s="105">
        <v>0</v>
      </c>
      <c r="AI126" s="105">
        <v>0</v>
      </c>
      <c r="AJ126" s="105">
        <v>0</v>
      </c>
      <c r="AK126" s="105">
        <v>0</v>
      </c>
      <c r="AL126" s="105">
        <v>0</v>
      </c>
      <c r="AM126" s="105">
        <v>0</v>
      </c>
      <c r="AN126" s="105">
        <v>0</v>
      </c>
      <c r="AO126" s="105">
        <v>0</v>
      </c>
      <c r="AP126" s="105">
        <v>0</v>
      </c>
      <c r="AQ126" s="105">
        <v>0</v>
      </c>
      <c r="AR126" s="105">
        <v>0</v>
      </c>
      <c r="AS126" s="105">
        <v>0</v>
      </c>
      <c r="AT126" s="105">
        <v>0</v>
      </c>
      <c r="AU126" s="105">
        <v>0</v>
      </c>
      <c r="AV126" s="105">
        <v>0</v>
      </c>
      <c r="AW126" s="105">
        <v>0</v>
      </c>
      <c r="AX126" s="105">
        <v>0</v>
      </c>
      <c r="AY126" s="105">
        <v>0</v>
      </c>
    </row>
    <row r="127" spans="1:52">
      <c r="A127" s="108"/>
      <c r="B127" s="118">
        <v>6</v>
      </c>
      <c r="C127" s="105"/>
      <c r="D127" s="105">
        <v>0</v>
      </c>
      <c r="E127" s="105">
        <v>0</v>
      </c>
      <c r="F127" s="105">
        <v>0</v>
      </c>
      <c r="G127" s="105">
        <v>0</v>
      </c>
      <c r="H127" s="105">
        <v>0</v>
      </c>
      <c r="I127" s="105">
        <v>0</v>
      </c>
      <c r="J127" s="105">
        <v>0</v>
      </c>
      <c r="K127" s="105">
        <v>0</v>
      </c>
      <c r="L127" s="105">
        <v>0</v>
      </c>
      <c r="M127" s="105">
        <v>0</v>
      </c>
      <c r="N127" s="105">
        <v>0</v>
      </c>
      <c r="O127" s="105">
        <v>0</v>
      </c>
      <c r="P127" s="105">
        <v>0</v>
      </c>
      <c r="Q127" s="105">
        <v>0</v>
      </c>
      <c r="R127" s="105">
        <v>0</v>
      </c>
      <c r="S127" s="105">
        <v>0</v>
      </c>
      <c r="T127" s="105">
        <v>0</v>
      </c>
      <c r="U127" s="105">
        <v>0</v>
      </c>
      <c r="V127" s="105">
        <v>0</v>
      </c>
      <c r="W127" s="105">
        <v>0</v>
      </c>
      <c r="X127" s="105">
        <v>0</v>
      </c>
      <c r="Y127" s="105">
        <v>0</v>
      </c>
      <c r="Z127" s="105">
        <v>0</v>
      </c>
      <c r="AA127" s="105">
        <v>0</v>
      </c>
      <c r="AB127" s="105">
        <v>0</v>
      </c>
      <c r="AC127" s="105">
        <v>0</v>
      </c>
      <c r="AD127" s="105">
        <v>0</v>
      </c>
      <c r="AE127" s="105">
        <v>0</v>
      </c>
      <c r="AF127" s="105">
        <v>0</v>
      </c>
      <c r="AG127" s="105">
        <v>0</v>
      </c>
      <c r="AH127" s="105">
        <v>0</v>
      </c>
      <c r="AI127" s="105">
        <v>0</v>
      </c>
      <c r="AJ127" s="105">
        <v>0</v>
      </c>
      <c r="AK127" s="105">
        <v>0</v>
      </c>
      <c r="AL127" s="105">
        <v>0</v>
      </c>
      <c r="AM127" s="105">
        <v>0</v>
      </c>
      <c r="AN127" s="105">
        <v>0</v>
      </c>
      <c r="AO127" s="105">
        <v>0</v>
      </c>
      <c r="AP127" s="105">
        <v>0</v>
      </c>
      <c r="AQ127" s="105">
        <v>0</v>
      </c>
      <c r="AR127" s="105">
        <v>0</v>
      </c>
      <c r="AS127" s="105">
        <v>0</v>
      </c>
      <c r="AT127" s="105">
        <v>0</v>
      </c>
      <c r="AU127" s="105">
        <v>0</v>
      </c>
      <c r="AV127" s="105">
        <v>0</v>
      </c>
      <c r="AW127" s="105">
        <v>0</v>
      </c>
      <c r="AX127" s="105">
        <v>0</v>
      </c>
      <c r="AY127" s="105">
        <v>0</v>
      </c>
    </row>
    <row r="128" spans="1:52">
      <c r="A128" s="108"/>
      <c r="B128" s="118">
        <v>7</v>
      </c>
      <c r="C128" s="105"/>
      <c r="D128" s="105">
        <v>0</v>
      </c>
      <c r="E128" s="105">
        <v>0</v>
      </c>
      <c r="F128" s="105">
        <v>0</v>
      </c>
      <c r="G128" s="105">
        <v>0</v>
      </c>
      <c r="H128" s="105">
        <v>0</v>
      </c>
      <c r="I128" s="105">
        <v>0</v>
      </c>
      <c r="J128" s="105">
        <v>0</v>
      </c>
      <c r="K128" s="105">
        <v>0</v>
      </c>
      <c r="L128" s="105">
        <v>0</v>
      </c>
      <c r="M128" s="105">
        <v>0</v>
      </c>
      <c r="N128" s="105">
        <v>0</v>
      </c>
      <c r="O128" s="105">
        <v>0</v>
      </c>
      <c r="P128" s="105">
        <v>0</v>
      </c>
      <c r="Q128" s="105">
        <v>0</v>
      </c>
      <c r="R128" s="105">
        <v>0</v>
      </c>
      <c r="S128" s="105">
        <v>0</v>
      </c>
      <c r="T128" s="105">
        <v>0</v>
      </c>
      <c r="U128" s="105">
        <v>0</v>
      </c>
      <c r="V128" s="105">
        <v>0</v>
      </c>
      <c r="W128" s="105">
        <v>0</v>
      </c>
      <c r="X128" s="105">
        <v>0</v>
      </c>
      <c r="Y128" s="105">
        <v>0</v>
      </c>
      <c r="Z128" s="105">
        <v>0</v>
      </c>
      <c r="AA128" s="105">
        <v>0</v>
      </c>
      <c r="AB128" s="105">
        <v>0</v>
      </c>
      <c r="AC128" s="105">
        <v>0</v>
      </c>
      <c r="AD128" s="105">
        <v>0</v>
      </c>
      <c r="AE128" s="105">
        <v>0</v>
      </c>
      <c r="AF128" s="105">
        <v>0</v>
      </c>
      <c r="AG128" s="105">
        <v>0</v>
      </c>
      <c r="AH128" s="105">
        <v>0</v>
      </c>
      <c r="AI128" s="105">
        <v>0</v>
      </c>
      <c r="AJ128" s="105">
        <v>0</v>
      </c>
      <c r="AK128" s="105">
        <v>0</v>
      </c>
      <c r="AL128" s="105">
        <v>0</v>
      </c>
      <c r="AM128" s="105">
        <v>0</v>
      </c>
      <c r="AN128" s="105">
        <v>0</v>
      </c>
      <c r="AO128" s="105">
        <v>0</v>
      </c>
      <c r="AP128" s="105">
        <v>0</v>
      </c>
      <c r="AQ128" s="105">
        <v>0</v>
      </c>
      <c r="AR128" s="105">
        <v>0</v>
      </c>
      <c r="AS128" s="105">
        <v>0</v>
      </c>
      <c r="AT128" s="105">
        <v>0</v>
      </c>
      <c r="AU128" s="105">
        <v>0</v>
      </c>
      <c r="AV128" s="105">
        <v>0</v>
      </c>
      <c r="AW128" s="105">
        <v>0</v>
      </c>
      <c r="AX128" s="105">
        <v>0</v>
      </c>
      <c r="AY128" s="105">
        <v>0</v>
      </c>
    </row>
    <row r="129" spans="1:51">
      <c r="A129" s="108"/>
      <c r="B129" s="118">
        <v>8</v>
      </c>
      <c r="C129" s="105"/>
      <c r="D129" s="105">
        <v>0</v>
      </c>
      <c r="E129" s="105">
        <v>0</v>
      </c>
      <c r="F129" s="105">
        <v>0</v>
      </c>
      <c r="G129" s="105">
        <v>0</v>
      </c>
      <c r="H129" s="105">
        <v>0</v>
      </c>
      <c r="I129" s="105">
        <v>0</v>
      </c>
      <c r="J129" s="105">
        <v>0</v>
      </c>
      <c r="K129" s="105">
        <v>0</v>
      </c>
      <c r="L129" s="105">
        <v>0</v>
      </c>
      <c r="M129" s="105">
        <v>0</v>
      </c>
      <c r="N129" s="105">
        <v>0</v>
      </c>
      <c r="O129" s="105">
        <v>0</v>
      </c>
      <c r="P129" s="105">
        <v>0</v>
      </c>
      <c r="Q129" s="105">
        <v>0</v>
      </c>
      <c r="R129" s="105">
        <v>0</v>
      </c>
      <c r="S129" s="105">
        <v>0</v>
      </c>
      <c r="T129" s="105">
        <v>0</v>
      </c>
      <c r="U129" s="105">
        <v>0</v>
      </c>
      <c r="V129" s="105">
        <v>0</v>
      </c>
      <c r="W129" s="105">
        <v>0</v>
      </c>
      <c r="X129" s="105">
        <v>0</v>
      </c>
      <c r="Y129" s="105">
        <v>0</v>
      </c>
      <c r="Z129" s="105">
        <v>0</v>
      </c>
      <c r="AA129" s="105">
        <v>0</v>
      </c>
      <c r="AB129" s="105">
        <v>0</v>
      </c>
      <c r="AC129" s="105">
        <v>0</v>
      </c>
      <c r="AD129" s="105">
        <v>0</v>
      </c>
      <c r="AE129" s="105">
        <v>0</v>
      </c>
      <c r="AF129" s="105">
        <v>0</v>
      </c>
      <c r="AG129" s="105">
        <v>0</v>
      </c>
      <c r="AH129" s="105">
        <v>0</v>
      </c>
      <c r="AI129" s="105">
        <v>0</v>
      </c>
      <c r="AJ129" s="105">
        <v>0</v>
      </c>
      <c r="AK129" s="105">
        <v>0</v>
      </c>
      <c r="AL129" s="105">
        <v>0</v>
      </c>
      <c r="AM129" s="105">
        <v>0</v>
      </c>
      <c r="AN129" s="105">
        <v>0</v>
      </c>
      <c r="AO129" s="105">
        <v>0</v>
      </c>
      <c r="AP129" s="105">
        <v>0</v>
      </c>
      <c r="AQ129" s="105">
        <v>0</v>
      </c>
      <c r="AR129" s="105">
        <v>0</v>
      </c>
      <c r="AS129" s="105">
        <v>0</v>
      </c>
      <c r="AT129" s="105">
        <v>0</v>
      </c>
      <c r="AU129" s="105">
        <v>0</v>
      </c>
      <c r="AV129" s="105">
        <v>0</v>
      </c>
      <c r="AW129" s="105">
        <v>0</v>
      </c>
      <c r="AX129" s="105">
        <v>0</v>
      </c>
      <c r="AY129" s="105">
        <v>0</v>
      </c>
    </row>
    <row r="130" spans="1:51">
      <c r="A130" s="108"/>
      <c r="B130" s="118">
        <v>9</v>
      </c>
      <c r="C130" s="105"/>
      <c r="D130" s="105">
        <v>0</v>
      </c>
      <c r="E130" s="105">
        <v>0</v>
      </c>
      <c r="F130" s="105">
        <v>0</v>
      </c>
      <c r="G130" s="105">
        <v>0</v>
      </c>
      <c r="H130" s="105">
        <v>0</v>
      </c>
      <c r="I130" s="105">
        <v>0</v>
      </c>
      <c r="J130" s="105">
        <v>0</v>
      </c>
      <c r="K130" s="105">
        <v>0</v>
      </c>
      <c r="L130" s="105">
        <v>0</v>
      </c>
      <c r="M130" s="105">
        <v>0</v>
      </c>
      <c r="N130" s="105">
        <v>0</v>
      </c>
      <c r="O130" s="105">
        <v>0</v>
      </c>
      <c r="P130" s="105">
        <v>0</v>
      </c>
      <c r="Q130" s="105">
        <v>0</v>
      </c>
      <c r="R130" s="105">
        <v>0</v>
      </c>
      <c r="S130" s="105">
        <v>0</v>
      </c>
      <c r="T130" s="105">
        <v>0</v>
      </c>
      <c r="U130" s="105">
        <v>0</v>
      </c>
      <c r="V130" s="105">
        <v>0</v>
      </c>
      <c r="W130" s="105">
        <v>0</v>
      </c>
      <c r="X130" s="105">
        <v>0</v>
      </c>
      <c r="Y130" s="105">
        <v>0</v>
      </c>
      <c r="Z130" s="105">
        <v>0</v>
      </c>
      <c r="AA130" s="105">
        <v>0</v>
      </c>
      <c r="AB130" s="105">
        <v>0</v>
      </c>
      <c r="AC130" s="105">
        <v>0</v>
      </c>
      <c r="AD130" s="105">
        <v>0</v>
      </c>
      <c r="AE130" s="105">
        <v>0</v>
      </c>
      <c r="AF130" s="105">
        <v>0</v>
      </c>
      <c r="AG130" s="105">
        <v>0</v>
      </c>
      <c r="AH130" s="105">
        <v>0</v>
      </c>
      <c r="AI130" s="105">
        <v>0</v>
      </c>
      <c r="AJ130" s="105">
        <v>0</v>
      </c>
      <c r="AK130" s="105">
        <v>0</v>
      </c>
      <c r="AL130" s="105">
        <v>0</v>
      </c>
      <c r="AM130" s="105">
        <v>0</v>
      </c>
      <c r="AN130" s="105">
        <v>0</v>
      </c>
      <c r="AO130" s="105">
        <v>0</v>
      </c>
      <c r="AP130" s="105">
        <v>0</v>
      </c>
      <c r="AQ130" s="105">
        <v>0</v>
      </c>
      <c r="AR130" s="105">
        <v>0</v>
      </c>
      <c r="AS130" s="105">
        <v>0</v>
      </c>
      <c r="AT130" s="105">
        <v>0</v>
      </c>
      <c r="AU130" s="105">
        <v>0</v>
      </c>
      <c r="AV130" s="105">
        <v>0</v>
      </c>
      <c r="AW130" s="105">
        <v>0</v>
      </c>
      <c r="AX130" s="105">
        <v>0</v>
      </c>
      <c r="AY130" s="105">
        <v>0</v>
      </c>
    </row>
    <row r="131" spans="1:51">
      <c r="A131" s="108"/>
      <c r="B131" s="118">
        <v>10</v>
      </c>
      <c r="C131" s="105"/>
      <c r="D131" s="105">
        <v>0</v>
      </c>
      <c r="E131" s="105">
        <v>0</v>
      </c>
      <c r="F131" s="105">
        <v>0</v>
      </c>
      <c r="G131" s="105">
        <v>0</v>
      </c>
      <c r="H131" s="105">
        <v>0</v>
      </c>
      <c r="I131" s="105">
        <v>0</v>
      </c>
      <c r="J131" s="105">
        <v>0</v>
      </c>
      <c r="K131" s="105">
        <v>0</v>
      </c>
      <c r="L131" s="105">
        <v>0</v>
      </c>
      <c r="M131" s="105">
        <v>0</v>
      </c>
      <c r="N131" s="105">
        <v>0</v>
      </c>
      <c r="O131" s="105">
        <v>0</v>
      </c>
      <c r="P131" s="105">
        <v>0</v>
      </c>
      <c r="Q131" s="105">
        <v>0</v>
      </c>
      <c r="R131" s="105">
        <v>0</v>
      </c>
      <c r="S131" s="105">
        <v>0</v>
      </c>
      <c r="T131" s="105">
        <v>0</v>
      </c>
      <c r="U131" s="105">
        <v>0</v>
      </c>
      <c r="V131" s="105">
        <v>0</v>
      </c>
      <c r="W131" s="105">
        <v>0</v>
      </c>
      <c r="X131" s="105">
        <v>0</v>
      </c>
      <c r="Y131" s="105">
        <v>0</v>
      </c>
      <c r="Z131" s="105">
        <v>0</v>
      </c>
      <c r="AA131" s="105">
        <v>0</v>
      </c>
      <c r="AB131" s="105">
        <v>0</v>
      </c>
      <c r="AC131" s="105">
        <v>0</v>
      </c>
      <c r="AD131" s="105">
        <v>0</v>
      </c>
      <c r="AE131" s="105">
        <v>0</v>
      </c>
      <c r="AF131" s="105">
        <v>0</v>
      </c>
      <c r="AG131" s="105">
        <v>0</v>
      </c>
      <c r="AH131" s="105">
        <v>0</v>
      </c>
      <c r="AI131" s="105">
        <v>0</v>
      </c>
      <c r="AJ131" s="105">
        <v>0</v>
      </c>
      <c r="AK131" s="105">
        <v>0</v>
      </c>
      <c r="AL131" s="105">
        <v>0</v>
      </c>
      <c r="AM131" s="105">
        <v>0</v>
      </c>
      <c r="AN131" s="105">
        <v>0</v>
      </c>
      <c r="AO131" s="105">
        <v>0</v>
      </c>
      <c r="AP131" s="105">
        <v>0</v>
      </c>
      <c r="AQ131" s="105">
        <v>0</v>
      </c>
      <c r="AR131" s="105">
        <v>0</v>
      </c>
      <c r="AS131" s="105">
        <v>0</v>
      </c>
      <c r="AT131" s="105">
        <v>0</v>
      </c>
      <c r="AU131" s="105">
        <v>0</v>
      </c>
      <c r="AV131" s="105">
        <v>0</v>
      </c>
      <c r="AW131" s="105">
        <v>0</v>
      </c>
      <c r="AX131" s="105">
        <v>0</v>
      </c>
      <c r="AY131" s="105">
        <v>0</v>
      </c>
    </row>
    <row r="132" spans="1:51">
      <c r="A132" s="108"/>
      <c r="B132" s="118">
        <v>11</v>
      </c>
      <c r="C132" s="105"/>
      <c r="D132" s="105">
        <v>0</v>
      </c>
      <c r="E132" s="105">
        <v>0</v>
      </c>
      <c r="F132" s="105">
        <v>0</v>
      </c>
      <c r="G132" s="105">
        <v>0</v>
      </c>
      <c r="H132" s="105">
        <v>0</v>
      </c>
      <c r="I132" s="105">
        <v>0</v>
      </c>
      <c r="J132" s="105">
        <v>0</v>
      </c>
      <c r="K132" s="105">
        <v>0</v>
      </c>
      <c r="L132" s="105">
        <v>0</v>
      </c>
      <c r="M132" s="105">
        <v>0</v>
      </c>
      <c r="N132" s="105">
        <v>0</v>
      </c>
      <c r="O132" s="105">
        <v>0</v>
      </c>
      <c r="P132" s="105">
        <v>0</v>
      </c>
      <c r="Q132" s="105">
        <v>0</v>
      </c>
      <c r="R132" s="105">
        <v>0</v>
      </c>
      <c r="S132" s="105">
        <v>0</v>
      </c>
      <c r="T132" s="105">
        <v>0</v>
      </c>
      <c r="U132" s="105">
        <v>0</v>
      </c>
      <c r="V132" s="105">
        <v>0</v>
      </c>
      <c r="W132" s="105">
        <v>0</v>
      </c>
      <c r="X132" s="105">
        <v>0</v>
      </c>
      <c r="Y132" s="105">
        <v>0</v>
      </c>
      <c r="Z132" s="105">
        <v>0</v>
      </c>
      <c r="AA132" s="105">
        <v>0</v>
      </c>
      <c r="AB132" s="105">
        <v>0</v>
      </c>
      <c r="AC132" s="105">
        <v>0</v>
      </c>
      <c r="AD132" s="105">
        <v>0</v>
      </c>
      <c r="AE132" s="105">
        <v>0</v>
      </c>
      <c r="AF132" s="105">
        <v>0</v>
      </c>
      <c r="AG132" s="105">
        <v>0</v>
      </c>
      <c r="AH132" s="105">
        <v>0</v>
      </c>
      <c r="AI132" s="105">
        <v>0</v>
      </c>
      <c r="AJ132" s="105">
        <v>0</v>
      </c>
      <c r="AK132" s="105">
        <v>0</v>
      </c>
      <c r="AL132" s="105">
        <v>0</v>
      </c>
      <c r="AM132" s="105">
        <v>0</v>
      </c>
      <c r="AN132" s="105">
        <v>0</v>
      </c>
      <c r="AO132" s="105">
        <v>0</v>
      </c>
      <c r="AP132" s="105">
        <v>0</v>
      </c>
      <c r="AQ132" s="105">
        <v>0</v>
      </c>
      <c r="AR132" s="105">
        <v>0</v>
      </c>
      <c r="AS132" s="105">
        <v>0</v>
      </c>
      <c r="AT132" s="105">
        <v>0</v>
      </c>
      <c r="AU132" s="105">
        <v>0</v>
      </c>
      <c r="AV132" s="105">
        <v>0</v>
      </c>
      <c r="AW132" s="105">
        <v>0</v>
      </c>
      <c r="AX132" s="105">
        <v>0</v>
      </c>
      <c r="AY132" s="105">
        <v>0</v>
      </c>
    </row>
    <row r="133" spans="1:51">
      <c r="A133" s="108"/>
      <c r="B133" s="118">
        <v>12</v>
      </c>
      <c r="C133" s="105"/>
      <c r="D133" s="105">
        <v>0</v>
      </c>
      <c r="E133" s="105">
        <v>0</v>
      </c>
      <c r="F133" s="105">
        <v>0</v>
      </c>
      <c r="G133" s="105">
        <v>0</v>
      </c>
      <c r="H133" s="105">
        <v>0</v>
      </c>
      <c r="I133" s="105">
        <v>0</v>
      </c>
      <c r="J133" s="105">
        <v>0</v>
      </c>
      <c r="K133" s="105">
        <v>0</v>
      </c>
      <c r="L133" s="105">
        <v>0</v>
      </c>
      <c r="M133" s="105">
        <v>0</v>
      </c>
      <c r="N133" s="105">
        <v>0</v>
      </c>
      <c r="O133" s="105">
        <v>0</v>
      </c>
      <c r="P133" s="105">
        <v>0</v>
      </c>
      <c r="Q133" s="105">
        <v>0</v>
      </c>
      <c r="R133" s="105">
        <v>0</v>
      </c>
      <c r="S133" s="105">
        <v>0</v>
      </c>
      <c r="T133" s="105">
        <v>0</v>
      </c>
      <c r="U133" s="105">
        <v>0</v>
      </c>
      <c r="V133" s="105">
        <v>0</v>
      </c>
      <c r="W133" s="105">
        <v>0</v>
      </c>
      <c r="X133" s="105">
        <v>0</v>
      </c>
      <c r="Y133" s="105">
        <v>0</v>
      </c>
      <c r="Z133" s="105">
        <v>0</v>
      </c>
      <c r="AA133" s="105">
        <v>0</v>
      </c>
      <c r="AB133" s="105">
        <v>0</v>
      </c>
      <c r="AC133" s="105">
        <v>0</v>
      </c>
      <c r="AD133" s="105">
        <v>0</v>
      </c>
      <c r="AE133" s="105">
        <v>0</v>
      </c>
      <c r="AF133" s="105">
        <v>0</v>
      </c>
      <c r="AG133" s="105">
        <v>0</v>
      </c>
      <c r="AH133" s="105">
        <v>0</v>
      </c>
      <c r="AI133" s="105">
        <v>0</v>
      </c>
      <c r="AJ133" s="105">
        <v>0</v>
      </c>
      <c r="AK133" s="105">
        <v>0</v>
      </c>
      <c r="AL133" s="105">
        <v>0</v>
      </c>
      <c r="AM133" s="105">
        <v>0</v>
      </c>
      <c r="AN133" s="105">
        <v>0</v>
      </c>
      <c r="AO133" s="105">
        <v>0</v>
      </c>
      <c r="AP133" s="105">
        <v>0</v>
      </c>
      <c r="AQ133" s="105">
        <v>0</v>
      </c>
      <c r="AR133" s="105">
        <v>0</v>
      </c>
      <c r="AS133" s="105">
        <v>0</v>
      </c>
      <c r="AT133" s="105">
        <v>0</v>
      </c>
      <c r="AU133" s="105">
        <v>0</v>
      </c>
      <c r="AV133" s="105">
        <v>0</v>
      </c>
      <c r="AW133" s="105">
        <v>0</v>
      </c>
      <c r="AX133" s="105">
        <v>0</v>
      </c>
      <c r="AY133" s="105">
        <v>0</v>
      </c>
    </row>
    <row r="134" spans="1:51">
      <c r="A134" s="108"/>
      <c r="B134" s="119">
        <v>13</v>
      </c>
      <c r="C134" s="105"/>
      <c r="D134" s="105">
        <v>0</v>
      </c>
      <c r="E134" s="105">
        <v>0</v>
      </c>
      <c r="F134" s="105">
        <v>0</v>
      </c>
      <c r="G134" s="105">
        <v>0</v>
      </c>
      <c r="H134" s="105">
        <v>0</v>
      </c>
      <c r="I134" s="105">
        <v>0</v>
      </c>
      <c r="J134" s="105">
        <v>0</v>
      </c>
      <c r="K134" s="105">
        <v>0</v>
      </c>
      <c r="L134" s="105">
        <v>0</v>
      </c>
      <c r="M134" s="105">
        <v>0</v>
      </c>
      <c r="N134" s="105">
        <v>0</v>
      </c>
      <c r="O134" s="105">
        <v>0</v>
      </c>
      <c r="P134" s="105">
        <v>0</v>
      </c>
      <c r="Q134" s="105">
        <v>0</v>
      </c>
      <c r="R134" s="105">
        <v>0</v>
      </c>
      <c r="S134" s="105">
        <v>0</v>
      </c>
      <c r="T134" s="105">
        <v>0</v>
      </c>
      <c r="U134" s="105">
        <v>0</v>
      </c>
      <c r="V134" s="105">
        <v>0</v>
      </c>
      <c r="W134" s="105">
        <v>0</v>
      </c>
      <c r="X134" s="105">
        <v>0</v>
      </c>
      <c r="Y134" s="105">
        <v>0</v>
      </c>
      <c r="Z134" s="105">
        <v>0</v>
      </c>
      <c r="AA134" s="105">
        <v>0</v>
      </c>
      <c r="AB134" s="105">
        <v>0</v>
      </c>
      <c r="AC134" s="105">
        <v>0</v>
      </c>
      <c r="AD134" s="105">
        <v>0</v>
      </c>
      <c r="AE134" s="105">
        <v>0</v>
      </c>
      <c r="AF134" s="105">
        <v>0</v>
      </c>
      <c r="AG134" s="105">
        <v>0</v>
      </c>
      <c r="AH134" s="105">
        <v>0</v>
      </c>
      <c r="AI134" s="105">
        <v>0</v>
      </c>
      <c r="AJ134" s="105">
        <v>0</v>
      </c>
      <c r="AK134" s="105">
        <v>0</v>
      </c>
      <c r="AL134" s="105">
        <v>0</v>
      </c>
      <c r="AM134" s="105">
        <v>0</v>
      </c>
      <c r="AN134" s="105">
        <v>0</v>
      </c>
      <c r="AO134" s="105">
        <v>0</v>
      </c>
      <c r="AP134" s="105">
        <v>0</v>
      </c>
      <c r="AQ134" s="105">
        <v>0</v>
      </c>
      <c r="AR134" s="105">
        <v>0</v>
      </c>
      <c r="AS134" s="105">
        <v>0</v>
      </c>
      <c r="AT134" s="105">
        <v>0</v>
      </c>
      <c r="AU134" s="105">
        <v>0</v>
      </c>
      <c r="AV134" s="105">
        <v>0</v>
      </c>
      <c r="AW134" s="105">
        <v>0</v>
      </c>
      <c r="AX134" s="105">
        <v>0</v>
      </c>
      <c r="AY134" s="105">
        <v>0</v>
      </c>
    </row>
    <row r="135" spans="1:51">
      <c r="A135" s="108"/>
      <c r="B135" s="119">
        <v>14</v>
      </c>
      <c r="C135" s="105"/>
      <c r="D135" s="105">
        <v>0</v>
      </c>
      <c r="E135" s="105">
        <v>0</v>
      </c>
      <c r="F135" s="105">
        <v>0</v>
      </c>
      <c r="G135" s="105">
        <v>0</v>
      </c>
      <c r="H135" s="105">
        <v>0</v>
      </c>
      <c r="I135" s="105">
        <v>0</v>
      </c>
      <c r="J135" s="105">
        <v>0</v>
      </c>
      <c r="K135" s="105">
        <v>0</v>
      </c>
      <c r="L135" s="105">
        <v>0</v>
      </c>
      <c r="M135" s="105">
        <v>0</v>
      </c>
      <c r="N135" s="105">
        <v>0</v>
      </c>
      <c r="O135" s="105">
        <v>0</v>
      </c>
      <c r="P135" s="105">
        <v>0</v>
      </c>
      <c r="Q135" s="105">
        <v>0</v>
      </c>
      <c r="R135" s="105">
        <v>0</v>
      </c>
      <c r="S135" s="105">
        <v>0</v>
      </c>
      <c r="T135" s="105">
        <v>0</v>
      </c>
      <c r="U135" s="105">
        <v>0</v>
      </c>
      <c r="V135" s="105">
        <v>0</v>
      </c>
      <c r="W135" s="105">
        <v>0</v>
      </c>
      <c r="X135" s="105">
        <v>0</v>
      </c>
      <c r="Y135" s="105">
        <v>0</v>
      </c>
      <c r="Z135" s="105">
        <v>0</v>
      </c>
      <c r="AA135" s="105">
        <v>0</v>
      </c>
      <c r="AB135" s="105">
        <v>0</v>
      </c>
      <c r="AC135" s="105">
        <v>0</v>
      </c>
      <c r="AD135" s="105">
        <v>0</v>
      </c>
      <c r="AE135" s="105">
        <v>0</v>
      </c>
      <c r="AF135" s="105">
        <v>0</v>
      </c>
      <c r="AG135" s="105">
        <v>0</v>
      </c>
      <c r="AH135" s="105">
        <v>0</v>
      </c>
      <c r="AI135" s="105">
        <v>0</v>
      </c>
      <c r="AJ135" s="105">
        <v>0</v>
      </c>
      <c r="AK135" s="105">
        <v>0</v>
      </c>
      <c r="AL135" s="105">
        <v>0</v>
      </c>
      <c r="AM135" s="105">
        <v>0</v>
      </c>
      <c r="AN135" s="105">
        <v>0</v>
      </c>
      <c r="AO135" s="105">
        <v>0</v>
      </c>
      <c r="AP135" s="105">
        <v>0</v>
      </c>
      <c r="AQ135" s="105">
        <v>0</v>
      </c>
      <c r="AR135" s="105">
        <v>0</v>
      </c>
      <c r="AS135" s="105">
        <v>0</v>
      </c>
      <c r="AT135" s="105">
        <v>0</v>
      </c>
      <c r="AU135" s="105">
        <v>0</v>
      </c>
      <c r="AV135" s="105">
        <v>0</v>
      </c>
      <c r="AW135" s="105">
        <v>0</v>
      </c>
      <c r="AX135" s="105">
        <v>0</v>
      </c>
      <c r="AY135" s="105">
        <v>0</v>
      </c>
    </row>
    <row r="136" spans="1:51">
      <c r="A136" s="108"/>
      <c r="B136" s="119">
        <v>15</v>
      </c>
      <c r="C136" s="105"/>
      <c r="D136" s="105">
        <v>0</v>
      </c>
      <c r="E136" s="105">
        <v>0</v>
      </c>
      <c r="F136" s="105">
        <v>0</v>
      </c>
      <c r="G136" s="105">
        <v>0</v>
      </c>
      <c r="H136" s="105">
        <v>0</v>
      </c>
      <c r="I136" s="105">
        <v>0</v>
      </c>
      <c r="J136" s="105">
        <v>0</v>
      </c>
      <c r="K136" s="105">
        <v>0</v>
      </c>
      <c r="L136" s="105">
        <v>0</v>
      </c>
      <c r="M136" s="105">
        <v>0</v>
      </c>
      <c r="N136" s="105">
        <v>0</v>
      </c>
      <c r="O136" s="105">
        <v>0</v>
      </c>
      <c r="P136" s="105">
        <v>0</v>
      </c>
      <c r="Q136" s="105">
        <v>0</v>
      </c>
      <c r="R136" s="105">
        <v>0</v>
      </c>
      <c r="S136" s="105">
        <v>0</v>
      </c>
      <c r="T136" s="105">
        <v>0</v>
      </c>
      <c r="U136" s="105">
        <v>0</v>
      </c>
      <c r="V136" s="105">
        <v>0</v>
      </c>
      <c r="W136" s="105">
        <v>0</v>
      </c>
      <c r="X136" s="105">
        <v>0</v>
      </c>
      <c r="Y136" s="105">
        <v>0</v>
      </c>
      <c r="Z136" s="105">
        <v>0</v>
      </c>
      <c r="AA136" s="105">
        <v>0</v>
      </c>
      <c r="AB136" s="105">
        <v>0</v>
      </c>
      <c r="AC136" s="105">
        <v>0</v>
      </c>
      <c r="AD136" s="105">
        <v>0</v>
      </c>
      <c r="AE136" s="105">
        <v>0</v>
      </c>
      <c r="AF136" s="105">
        <v>0</v>
      </c>
      <c r="AG136" s="105">
        <v>0</v>
      </c>
      <c r="AH136" s="105">
        <v>0</v>
      </c>
      <c r="AI136" s="105">
        <v>0</v>
      </c>
      <c r="AJ136" s="105">
        <v>0</v>
      </c>
      <c r="AK136" s="105">
        <v>0</v>
      </c>
      <c r="AL136" s="105">
        <v>0</v>
      </c>
      <c r="AM136" s="105">
        <v>0</v>
      </c>
      <c r="AN136" s="105">
        <v>0</v>
      </c>
      <c r="AO136" s="105">
        <v>0</v>
      </c>
      <c r="AP136" s="105">
        <v>0</v>
      </c>
      <c r="AQ136" s="105">
        <v>0</v>
      </c>
      <c r="AR136" s="105">
        <v>0</v>
      </c>
      <c r="AS136" s="105">
        <v>0</v>
      </c>
      <c r="AT136" s="105">
        <v>0</v>
      </c>
      <c r="AU136" s="105">
        <v>0</v>
      </c>
      <c r="AV136" s="105">
        <v>0</v>
      </c>
      <c r="AW136" s="105">
        <v>0</v>
      </c>
      <c r="AX136" s="105">
        <v>0</v>
      </c>
      <c r="AY136" s="105">
        <v>0</v>
      </c>
    </row>
    <row r="137" spans="1:51">
      <c r="A137" s="108"/>
      <c r="B137" s="119">
        <v>16</v>
      </c>
      <c r="C137" s="105"/>
      <c r="D137" s="105">
        <v>0</v>
      </c>
      <c r="E137" s="105">
        <v>0</v>
      </c>
      <c r="F137" s="105">
        <v>0</v>
      </c>
      <c r="G137" s="105">
        <v>0</v>
      </c>
      <c r="H137" s="105">
        <v>0</v>
      </c>
      <c r="I137" s="105">
        <v>0</v>
      </c>
      <c r="J137" s="105">
        <v>0</v>
      </c>
      <c r="K137" s="105">
        <v>0</v>
      </c>
      <c r="L137" s="105">
        <v>0</v>
      </c>
      <c r="M137" s="105">
        <v>0</v>
      </c>
      <c r="N137" s="105">
        <v>0</v>
      </c>
      <c r="O137" s="105">
        <v>0</v>
      </c>
      <c r="P137" s="105">
        <v>0</v>
      </c>
      <c r="Q137" s="105">
        <v>0</v>
      </c>
      <c r="R137" s="105">
        <v>0</v>
      </c>
      <c r="S137" s="105">
        <v>0</v>
      </c>
      <c r="T137" s="105">
        <v>0</v>
      </c>
      <c r="U137" s="105">
        <v>0</v>
      </c>
      <c r="V137" s="105">
        <v>0</v>
      </c>
      <c r="W137" s="105">
        <v>0</v>
      </c>
      <c r="X137" s="105">
        <v>0</v>
      </c>
      <c r="Y137" s="105">
        <v>0</v>
      </c>
      <c r="Z137" s="105">
        <v>0</v>
      </c>
      <c r="AA137" s="105">
        <v>0</v>
      </c>
      <c r="AB137" s="105">
        <v>0</v>
      </c>
      <c r="AC137" s="105">
        <v>0</v>
      </c>
      <c r="AD137" s="105">
        <v>0</v>
      </c>
      <c r="AE137" s="105">
        <v>0</v>
      </c>
      <c r="AF137" s="105">
        <v>0</v>
      </c>
      <c r="AG137" s="105">
        <v>0</v>
      </c>
      <c r="AH137" s="105">
        <v>0</v>
      </c>
      <c r="AI137" s="105">
        <v>0</v>
      </c>
      <c r="AJ137" s="105">
        <v>0</v>
      </c>
      <c r="AK137" s="105">
        <v>0</v>
      </c>
      <c r="AL137" s="105">
        <v>0</v>
      </c>
      <c r="AM137" s="105">
        <v>0</v>
      </c>
      <c r="AN137" s="105">
        <v>0</v>
      </c>
      <c r="AO137" s="105">
        <v>0</v>
      </c>
      <c r="AP137" s="105">
        <v>0</v>
      </c>
      <c r="AQ137" s="105">
        <v>0</v>
      </c>
      <c r="AR137" s="105">
        <v>0</v>
      </c>
      <c r="AS137" s="105">
        <v>0</v>
      </c>
      <c r="AT137" s="105">
        <v>0</v>
      </c>
      <c r="AU137" s="105">
        <v>0</v>
      </c>
      <c r="AV137" s="105">
        <v>0</v>
      </c>
      <c r="AW137" s="105">
        <v>0</v>
      </c>
      <c r="AX137" s="105">
        <v>0</v>
      </c>
      <c r="AY137" s="105">
        <v>0</v>
      </c>
    </row>
    <row r="138" spans="1:51">
      <c r="A138" s="108"/>
      <c r="B138" s="119">
        <v>17</v>
      </c>
      <c r="C138" s="105"/>
      <c r="D138" s="105">
        <v>0</v>
      </c>
      <c r="E138" s="105">
        <v>0</v>
      </c>
      <c r="F138" s="105">
        <v>0</v>
      </c>
      <c r="G138" s="105">
        <v>0</v>
      </c>
      <c r="H138" s="105">
        <v>0</v>
      </c>
      <c r="I138" s="105">
        <v>0</v>
      </c>
      <c r="J138" s="105">
        <v>0</v>
      </c>
      <c r="K138" s="105">
        <v>0</v>
      </c>
      <c r="L138" s="105">
        <v>0</v>
      </c>
      <c r="M138" s="105">
        <v>0</v>
      </c>
      <c r="N138" s="105">
        <v>0</v>
      </c>
      <c r="O138" s="105">
        <v>0</v>
      </c>
      <c r="P138" s="105">
        <v>0</v>
      </c>
      <c r="Q138" s="105">
        <v>0</v>
      </c>
      <c r="R138" s="105">
        <v>0</v>
      </c>
      <c r="S138" s="105">
        <v>0</v>
      </c>
      <c r="T138" s="105">
        <v>0</v>
      </c>
      <c r="U138" s="105">
        <v>0</v>
      </c>
      <c r="V138" s="105">
        <v>0</v>
      </c>
      <c r="W138" s="105">
        <v>0</v>
      </c>
      <c r="X138" s="105">
        <v>0</v>
      </c>
      <c r="Y138" s="105">
        <v>0</v>
      </c>
      <c r="Z138" s="105">
        <v>0</v>
      </c>
      <c r="AA138" s="105">
        <v>0</v>
      </c>
      <c r="AB138" s="105">
        <v>0</v>
      </c>
      <c r="AC138" s="105">
        <v>0</v>
      </c>
      <c r="AD138" s="105">
        <v>0</v>
      </c>
      <c r="AE138" s="105">
        <v>0</v>
      </c>
      <c r="AF138" s="105">
        <v>0</v>
      </c>
      <c r="AG138" s="105">
        <v>0</v>
      </c>
      <c r="AH138" s="105">
        <v>0</v>
      </c>
      <c r="AI138" s="105">
        <v>0</v>
      </c>
      <c r="AJ138" s="105">
        <v>0</v>
      </c>
      <c r="AK138" s="105">
        <v>0</v>
      </c>
      <c r="AL138" s="105">
        <v>0</v>
      </c>
      <c r="AM138" s="105">
        <v>0</v>
      </c>
      <c r="AN138" s="105">
        <v>0</v>
      </c>
      <c r="AO138" s="105">
        <v>0</v>
      </c>
      <c r="AP138" s="105">
        <v>0</v>
      </c>
      <c r="AQ138" s="105">
        <v>0</v>
      </c>
      <c r="AR138" s="105">
        <v>0</v>
      </c>
      <c r="AS138" s="105">
        <v>0</v>
      </c>
      <c r="AT138" s="105">
        <v>0</v>
      </c>
      <c r="AU138" s="105">
        <v>0</v>
      </c>
      <c r="AV138" s="105">
        <v>0</v>
      </c>
      <c r="AW138" s="105">
        <v>0</v>
      </c>
      <c r="AX138" s="105">
        <v>0</v>
      </c>
      <c r="AY138" s="105">
        <v>0</v>
      </c>
    </row>
    <row r="139" spans="1:51">
      <c r="A139" s="108"/>
      <c r="B139" s="119">
        <v>18</v>
      </c>
      <c r="C139" s="105"/>
      <c r="D139" s="105">
        <v>0</v>
      </c>
      <c r="E139" s="105">
        <v>0</v>
      </c>
      <c r="F139" s="105">
        <v>0</v>
      </c>
      <c r="G139" s="105">
        <v>0</v>
      </c>
      <c r="H139" s="105">
        <v>0</v>
      </c>
      <c r="I139" s="105">
        <v>0</v>
      </c>
      <c r="J139" s="105">
        <v>0</v>
      </c>
      <c r="K139" s="105">
        <v>0</v>
      </c>
      <c r="L139" s="105">
        <v>0</v>
      </c>
      <c r="M139" s="105">
        <v>0</v>
      </c>
      <c r="N139" s="105">
        <v>0</v>
      </c>
      <c r="O139" s="105">
        <v>0</v>
      </c>
      <c r="P139" s="105">
        <v>0</v>
      </c>
      <c r="Q139" s="105">
        <v>0</v>
      </c>
      <c r="R139" s="105">
        <v>0</v>
      </c>
      <c r="S139" s="105">
        <v>0</v>
      </c>
      <c r="T139" s="105">
        <v>0</v>
      </c>
      <c r="U139" s="105">
        <v>0</v>
      </c>
      <c r="V139" s="105">
        <v>0</v>
      </c>
      <c r="W139" s="105">
        <v>0</v>
      </c>
      <c r="X139" s="105">
        <v>0</v>
      </c>
      <c r="Y139" s="105">
        <v>0</v>
      </c>
      <c r="Z139" s="105">
        <v>0</v>
      </c>
      <c r="AA139" s="105">
        <v>0</v>
      </c>
      <c r="AB139" s="105">
        <v>0</v>
      </c>
      <c r="AC139" s="105">
        <v>0</v>
      </c>
      <c r="AD139" s="105">
        <v>0</v>
      </c>
      <c r="AE139" s="105">
        <v>0</v>
      </c>
      <c r="AF139" s="105">
        <v>0</v>
      </c>
      <c r="AG139" s="105">
        <v>0</v>
      </c>
      <c r="AH139" s="105">
        <v>0</v>
      </c>
      <c r="AI139" s="105">
        <v>0</v>
      </c>
      <c r="AJ139" s="105">
        <v>0</v>
      </c>
      <c r="AK139" s="105">
        <v>0</v>
      </c>
      <c r="AL139" s="105">
        <v>0</v>
      </c>
      <c r="AM139" s="105">
        <v>0</v>
      </c>
      <c r="AN139" s="105">
        <v>0</v>
      </c>
      <c r="AO139" s="105">
        <v>0</v>
      </c>
      <c r="AP139" s="105">
        <v>0</v>
      </c>
      <c r="AQ139" s="105">
        <v>0</v>
      </c>
      <c r="AR139" s="105">
        <v>0</v>
      </c>
      <c r="AS139" s="105">
        <v>0</v>
      </c>
      <c r="AT139" s="105">
        <v>0</v>
      </c>
      <c r="AU139" s="105">
        <v>0</v>
      </c>
      <c r="AV139" s="105">
        <v>0</v>
      </c>
      <c r="AW139" s="105">
        <v>0</v>
      </c>
      <c r="AX139" s="105">
        <v>0</v>
      </c>
      <c r="AY139" s="105">
        <v>0</v>
      </c>
    </row>
    <row r="140" spans="1:51">
      <c r="A140" s="108"/>
      <c r="B140" s="119">
        <v>19</v>
      </c>
      <c r="C140" s="105"/>
      <c r="D140" s="105">
        <v>0</v>
      </c>
      <c r="E140" s="105">
        <v>0</v>
      </c>
      <c r="F140" s="105">
        <v>0</v>
      </c>
      <c r="G140" s="105">
        <v>0</v>
      </c>
      <c r="H140" s="105">
        <v>0</v>
      </c>
      <c r="I140" s="105">
        <v>0</v>
      </c>
      <c r="J140" s="105">
        <v>0</v>
      </c>
      <c r="K140" s="105">
        <v>0</v>
      </c>
      <c r="L140" s="105">
        <v>0</v>
      </c>
      <c r="M140" s="105">
        <v>0</v>
      </c>
      <c r="N140" s="105">
        <v>0</v>
      </c>
      <c r="O140" s="105">
        <v>0</v>
      </c>
      <c r="P140" s="105">
        <v>0</v>
      </c>
      <c r="Q140" s="105">
        <v>0</v>
      </c>
      <c r="R140" s="105">
        <v>0</v>
      </c>
      <c r="S140" s="105">
        <v>0</v>
      </c>
      <c r="T140" s="105">
        <v>0</v>
      </c>
      <c r="U140" s="105">
        <v>0</v>
      </c>
      <c r="V140" s="105">
        <v>0</v>
      </c>
      <c r="W140" s="105">
        <v>0</v>
      </c>
      <c r="X140" s="105">
        <v>0</v>
      </c>
      <c r="Y140" s="105">
        <v>0</v>
      </c>
      <c r="Z140" s="105">
        <v>0</v>
      </c>
      <c r="AA140" s="105">
        <v>0</v>
      </c>
      <c r="AB140" s="105">
        <v>0</v>
      </c>
      <c r="AC140" s="105">
        <v>0</v>
      </c>
      <c r="AD140" s="105">
        <v>0</v>
      </c>
      <c r="AE140" s="105">
        <v>0</v>
      </c>
      <c r="AF140" s="105">
        <v>0</v>
      </c>
      <c r="AG140" s="105">
        <v>0</v>
      </c>
      <c r="AH140" s="105">
        <v>0</v>
      </c>
      <c r="AI140" s="105">
        <v>0</v>
      </c>
      <c r="AJ140" s="105">
        <v>0</v>
      </c>
      <c r="AK140" s="105">
        <v>0</v>
      </c>
      <c r="AL140" s="105">
        <v>0</v>
      </c>
      <c r="AM140" s="105">
        <v>0</v>
      </c>
      <c r="AN140" s="105">
        <v>0</v>
      </c>
      <c r="AO140" s="105">
        <v>0</v>
      </c>
      <c r="AP140" s="105">
        <v>0</v>
      </c>
      <c r="AQ140" s="105">
        <v>0</v>
      </c>
      <c r="AR140" s="105">
        <v>0</v>
      </c>
      <c r="AS140" s="105">
        <v>0</v>
      </c>
      <c r="AT140" s="105">
        <v>0</v>
      </c>
      <c r="AU140" s="105">
        <v>0</v>
      </c>
      <c r="AV140" s="105">
        <v>0</v>
      </c>
      <c r="AW140" s="105">
        <v>0</v>
      </c>
      <c r="AX140" s="105">
        <v>0</v>
      </c>
      <c r="AY140" s="105">
        <v>0</v>
      </c>
    </row>
    <row r="141" spans="1:51">
      <c r="A141" s="108"/>
      <c r="B141" s="119">
        <v>20</v>
      </c>
      <c r="C141" s="105"/>
      <c r="D141" s="105">
        <v>0</v>
      </c>
      <c r="E141" s="105">
        <v>0</v>
      </c>
      <c r="F141" s="105">
        <v>0</v>
      </c>
      <c r="G141" s="105">
        <v>0</v>
      </c>
      <c r="H141" s="105">
        <v>0</v>
      </c>
      <c r="I141" s="105">
        <v>0</v>
      </c>
      <c r="J141" s="105">
        <v>0</v>
      </c>
      <c r="K141" s="105">
        <v>0</v>
      </c>
      <c r="L141" s="105">
        <v>0</v>
      </c>
      <c r="M141" s="105">
        <v>0</v>
      </c>
      <c r="N141" s="105">
        <v>0</v>
      </c>
      <c r="O141" s="105">
        <v>0</v>
      </c>
      <c r="P141" s="105">
        <v>0</v>
      </c>
      <c r="Q141" s="105">
        <v>0</v>
      </c>
      <c r="R141" s="105">
        <v>0</v>
      </c>
      <c r="S141" s="105">
        <v>0</v>
      </c>
      <c r="T141" s="105">
        <v>0</v>
      </c>
      <c r="U141" s="105">
        <v>0</v>
      </c>
      <c r="V141" s="105">
        <v>0</v>
      </c>
      <c r="W141" s="105">
        <v>0</v>
      </c>
      <c r="X141" s="105">
        <v>0</v>
      </c>
      <c r="Y141" s="105">
        <v>0</v>
      </c>
      <c r="Z141" s="105">
        <v>0</v>
      </c>
      <c r="AA141" s="105">
        <v>0</v>
      </c>
      <c r="AB141" s="105">
        <v>0</v>
      </c>
      <c r="AC141" s="105">
        <v>0</v>
      </c>
      <c r="AD141" s="105">
        <v>0</v>
      </c>
      <c r="AE141" s="105">
        <v>0</v>
      </c>
      <c r="AF141" s="105">
        <v>0</v>
      </c>
      <c r="AG141" s="105">
        <v>0</v>
      </c>
      <c r="AH141" s="105">
        <v>0</v>
      </c>
      <c r="AI141" s="105">
        <v>0</v>
      </c>
      <c r="AJ141" s="105">
        <v>0</v>
      </c>
      <c r="AK141" s="105">
        <v>0</v>
      </c>
      <c r="AL141" s="105">
        <v>0</v>
      </c>
      <c r="AM141" s="105">
        <v>0</v>
      </c>
      <c r="AN141" s="105">
        <v>0</v>
      </c>
      <c r="AO141" s="105">
        <v>0</v>
      </c>
      <c r="AP141" s="105">
        <v>0</v>
      </c>
      <c r="AQ141" s="105">
        <v>0</v>
      </c>
      <c r="AR141" s="105">
        <v>0</v>
      </c>
      <c r="AS141" s="105">
        <v>0</v>
      </c>
      <c r="AT141" s="105">
        <v>0</v>
      </c>
      <c r="AU141" s="105">
        <v>0</v>
      </c>
      <c r="AV141" s="105">
        <v>0</v>
      </c>
      <c r="AW141" s="105">
        <v>0</v>
      </c>
      <c r="AX141" s="105">
        <v>0</v>
      </c>
      <c r="AY141" s="105">
        <v>0</v>
      </c>
    </row>
    <row r="142" spans="1:51">
      <c r="A142" s="108"/>
      <c r="B142" s="119">
        <v>21</v>
      </c>
      <c r="C142" s="105"/>
      <c r="D142" s="105">
        <v>0</v>
      </c>
      <c r="E142" s="105">
        <v>0</v>
      </c>
      <c r="F142" s="105">
        <v>0</v>
      </c>
      <c r="G142" s="105">
        <v>0</v>
      </c>
      <c r="H142" s="105">
        <v>0</v>
      </c>
      <c r="I142" s="105">
        <v>0</v>
      </c>
      <c r="J142" s="105">
        <v>0</v>
      </c>
      <c r="K142" s="105">
        <v>0</v>
      </c>
      <c r="L142" s="105">
        <v>0</v>
      </c>
      <c r="M142" s="105">
        <v>0</v>
      </c>
      <c r="N142" s="105">
        <v>0</v>
      </c>
      <c r="O142" s="105">
        <v>0</v>
      </c>
      <c r="P142" s="105">
        <v>0</v>
      </c>
      <c r="Q142" s="105">
        <v>0</v>
      </c>
      <c r="R142" s="105">
        <v>0</v>
      </c>
      <c r="S142" s="105">
        <v>0</v>
      </c>
      <c r="T142" s="105">
        <v>0</v>
      </c>
      <c r="U142" s="105">
        <v>0</v>
      </c>
      <c r="V142" s="105">
        <v>0</v>
      </c>
      <c r="W142" s="105">
        <v>0</v>
      </c>
      <c r="X142" s="105">
        <v>0</v>
      </c>
      <c r="Y142" s="105">
        <v>0</v>
      </c>
      <c r="Z142" s="105">
        <v>0</v>
      </c>
      <c r="AA142" s="105">
        <v>0</v>
      </c>
      <c r="AB142" s="105">
        <v>0</v>
      </c>
      <c r="AC142" s="105">
        <v>0</v>
      </c>
      <c r="AD142" s="105">
        <v>0</v>
      </c>
      <c r="AE142" s="105">
        <v>0</v>
      </c>
      <c r="AF142" s="105">
        <v>0</v>
      </c>
      <c r="AG142" s="105">
        <v>0</v>
      </c>
      <c r="AH142" s="105">
        <v>0</v>
      </c>
      <c r="AI142" s="105">
        <v>0</v>
      </c>
      <c r="AJ142" s="105">
        <v>0</v>
      </c>
      <c r="AK142" s="105">
        <v>0</v>
      </c>
      <c r="AL142" s="105">
        <v>0</v>
      </c>
      <c r="AM142" s="105">
        <v>0</v>
      </c>
      <c r="AN142" s="105">
        <v>0</v>
      </c>
      <c r="AO142" s="105">
        <v>0</v>
      </c>
      <c r="AP142" s="105">
        <v>0</v>
      </c>
      <c r="AQ142" s="105">
        <v>0</v>
      </c>
      <c r="AR142" s="105">
        <v>0</v>
      </c>
      <c r="AS142" s="105">
        <v>0</v>
      </c>
      <c r="AT142" s="105">
        <v>0</v>
      </c>
      <c r="AU142" s="105">
        <v>0</v>
      </c>
      <c r="AV142" s="105">
        <v>0</v>
      </c>
      <c r="AW142" s="105">
        <v>0</v>
      </c>
      <c r="AX142" s="105">
        <v>0</v>
      </c>
      <c r="AY142" s="105">
        <v>0</v>
      </c>
    </row>
    <row r="143" spans="1:51">
      <c r="A143" s="108"/>
      <c r="B143" s="119">
        <v>22</v>
      </c>
      <c r="C143" s="105"/>
      <c r="D143" s="105">
        <v>0</v>
      </c>
      <c r="E143" s="105">
        <v>0</v>
      </c>
      <c r="F143" s="105">
        <v>0</v>
      </c>
      <c r="G143" s="105">
        <v>0</v>
      </c>
      <c r="H143" s="105">
        <v>0</v>
      </c>
      <c r="I143" s="105">
        <v>0</v>
      </c>
      <c r="J143" s="105">
        <v>0</v>
      </c>
      <c r="K143" s="105">
        <v>0</v>
      </c>
      <c r="L143" s="105">
        <v>0</v>
      </c>
      <c r="M143" s="105">
        <v>0</v>
      </c>
      <c r="N143" s="105">
        <v>0</v>
      </c>
      <c r="O143" s="105">
        <v>0</v>
      </c>
      <c r="P143" s="105">
        <v>0</v>
      </c>
      <c r="Q143" s="105">
        <v>0</v>
      </c>
      <c r="R143" s="105">
        <v>0</v>
      </c>
      <c r="S143" s="105">
        <v>0</v>
      </c>
      <c r="T143" s="105">
        <v>0</v>
      </c>
      <c r="U143" s="105">
        <v>0</v>
      </c>
      <c r="V143" s="105">
        <v>0</v>
      </c>
      <c r="W143" s="105">
        <v>0</v>
      </c>
      <c r="X143" s="105">
        <v>0</v>
      </c>
      <c r="Y143" s="105">
        <v>0</v>
      </c>
      <c r="Z143" s="105">
        <v>0</v>
      </c>
      <c r="AA143" s="105">
        <v>0</v>
      </c>
      <c r="AB143" s="105">
        <v>0</v>
      </c>
      <c r="AC143" s="105">
        <v>0</v>
      </c>
      <c r="AD143" s="105">
        <v>0</v>
      </c>
      <c r="AE143" s="105">
        <v>0</v>
      </c>
      <c r="AF143" s="105">
        <v>0</v>
      </c>
      <c r="AG143" s="105">
        <v>0</v>
      </c>
      <c r="AH143" s="105">
        <v>0</v>
      </c>
      <c r="AI143" s="105">
        <v>0</v>
      </c>
      <c r="AJ143" s="105">
        <v>0</v>
      </c>
      <c r="AK143" s="105">
        <v>0</v>
      </c>
      <c r="AL143" s="105">
        <v>0</v>
      </c>
      <c r="AM143" s="105">
        <v>0</v>
      </c>
      <c r="AN143" s="105">
        <v>0</v>
      </c>
      <c r="AO143" s="105">
        <v>0</v>
      </c>
      <c r="AP143" s="105">
        <v>0</v>
      </c>
      <c r="AQ143" s="105">
        <v>0</v>
      </c>
      <c r="AR143" s="105">
        <v>0</v>
      </c>
      <c r="AS143" s="105">
        <v>0</v>
      </c>
      <c r="AT143" s="105">
        <v>0</v>
      </c>
      <c r="AU143" s="105">
        <v>0</v>
      </c>
      <c r="AV143" s="105">
        <v>0</v>
      </c>
      <c r="AW143" s="105">
        <v>0</v>
      </c>
      <c r="AX143" s="105">
        <v>0</v>
      </c>
      <c r="AY143" s="105">
        <v>0</v>
      </c>
    </row>
    <row r="144" spans="1:51">
      <c r="A144" s="108"/>
      <c r="B144" s="119">
        <v>23</v>
      </c>
      <c r="C144" s="105"/>
      <c r="D144" s="105">
        <v>0</v>
      </c>
      <c r="E144" s="105">
        <v>0</v>
      </c>
      <c r="F144" s="105">
        <v>0</v>
      </c>
      <c r="G144" s="105">
        <v>0</v>
      </c>
      <c r="H144" s="105">
        <v>0</v>
      </c>
      <c r="I144" s="105">
        <v>0</v>
      </c>
      <c r="J144" s="105">
        <v>0</v>
      </c>
      <c r="K144" s="105">
        <v>0</v>
      </c>
      <c r="L144" s="105">
        <v>0</v>
      </c>
      <c r="M144" s="105">
        <v>0</v>
      </c>
      <c r="N144" s="105">
        <v>0</v>
      </c>
      <c r="O144" s="105">
        <v>0</v>
      </c>
      <c r="P144" s="105">
        <v>0</v>
      </c>
      <c r="Q144" s="105">
        <v>0</v>
      </c>
      <c r="R144" s="105">
        <v>0</v>
      </c>
      <c r="S144" s="105">
        <v>0</v>
      </c>
      <c r="T144" s="105">
        <v>0</v>
      </c>
      <c r="U144" s="105">
        <v>0</v>
      </c>
      <c r="V144" s="105">
        <v>0</v>
      </c>
      <c r="W144" s="105">
        <v>0</v>
      </c>
      <c r="X144" s="105">
        <v>0</v>
      </c>
      <c r="Y144" s="105">
        <v>0</v>
      </c>
      <c r="Z144" s="105">
        <v>0</v>
      </c>
      <c r="AA144" s="105">
        <v>0</v>
      </c>
      <c r="AB144" s="105">
        <v>0</v>
      </c>
      <c r="AC144" s="105">
        <v>0</v>
      </c>
      <c r="AD144" s="105">
        <v>0</v>
      </c>
      <c r="AE144" s="105">
        <v>0</v>
      </c>
      <c r="AF144" s="105">
        <v>0</v>
      </c>
      <c r="AG144" s="105">
        <v>0</v>
      </c>
      <c r="AH144" s="105">
        <v>0</v>
      </c>
      <c r="AI144" s="105">
        <v>0</v>
      </c>
      <c r="AJ144" s="105">
        <v>0</v>
      </c>
      <c r="AK144" s="105">
        <v>0</v>
      </c>
      <c r="AL144" s="105">
        <v>0</v>
      </c>
      <c r="AM144" s="105">
        <v>0</v>
      </c>
      <c r="AN144" s="105">
        <v>0</v>
      </c>
      <c r="AO144" s="105">
        <v>0</v>
      </c>
      <c r="AP144" s="105">
        <v>0</v>
      </c>
      <c r="AQ144" s="105">
        <v>0</v>
      </c>
      <c r="AR144" s="105">
        <v>0</v>
      </c>
      <c r="AS144" s="105">
        <v>0</v>
      </c>
      <c r="AT144" s="105">
        <v>0</v>
      </c>
      <c r="AU144" s="105">
        <v>0</v>
      </c>
      <c r="AV144" s="105">
        <v>0</v>
      </c>
      <c r="AW144" s="105">
        <v>0</v>
      </c>
      <c r="AX144" s="105">
        <v>0</v>
      </c>
      <c r="AY144" s="105">
        <v>0</v>
      </c>
    </row>
    <row r="145" spans="1:51">
      <c r="A145" s="108"/>
      <c r="B145" s="119">
        <v>24</v>
      </c>
      <c r="C145" s="105"/>
      <c r="D145" s="105">
        <v>0</v>
      </c>
      <c r="E145" s="105">
        <v>0</v>
      </c>
      <c r="F145" s="105">
        <v>0</v>
      </c>
      <c r="G145" s="105">
        <v>0</v>
      </c>
      <c r="H145" s="105">
        <v>0</v>
      </c>
      <c r="I145" s="105">
        <v>0</v>
      </c>
      <c r="J145" s="105">
        <v>0</v>
      </c>
      <c r="K145" s="105">
        <v>0</v>
      </c>
      <c r="L145" s="105">
        <v>0</v>
      </c>
      <c r="M145" s="105">
        <v>0</v>
      </c>
      <c r="N145" s="105">
        <v>0</v>
      </c>
      <c r="O145" s="105">
        <v>0</v>
      </c>
      <c r="P145" s="105">
        <v>0</v>
      </c>
      <c r="Q145" s="105">
        <v>0</v>
      </c>
      <c r="R145" s="105">
        <v>0</v>
      </c>
      <c r="S145" s="105">
        <v>0</v>
      </c>
      <c r="T145" s="105">
        <v>0</v>
      </c>
      <c r="U145" s="105">
        <v>0</v>
      </c>
      <c r="V145" s="105">
        <v>0</v>
      </c>
      <c r="W145" s="105">
        <v>0</v>
      </c>
      <c r="X145" s="105">
        <v>0</v>
      </c>
      <c r="Y145" s="105">
        <v>0</v>
      </c>
      <c r="Z145" s="105">
        <v>0</v>
      </c>
      <c r="AA145" s="105">
        <v>0</v>
      </c>
      <c r="AB145" s="105">
        <v>0</v>
      </c>
      <c r="AC145" s="105">
        <v>0</v>
      </c>
      <c r="AD145" s="105">
        <v>0</v>
      </c>
      <c r="AE145" s="105">
        <v>0</v>
      </c>
      <c r="AF145" s="105">
        <v>0</v>
      </c>
      <c r="AG145" s="105">
        <v>0</v>
      </c>
      <c r="AH145" s="105">
        <v>0</v>
      </c>
      <c r="AI145" s="105">
        <v>0</v>
      </c>
      <c r="AJ145" s="105">
        <v>0</v>
      </c>
      <c r="AK145" s="105">
        <v>0</v>
      </c>
      <c r="AL145" s="105">
        <v>0</v>
      </c>
      <c r="AM145" s="105">
        <v>0</v>
      </c>
      <c r="AN145" s="105">
        <v>0</v>
      </c>
      <c r="AO145" s="105">
        <v>0</v>
      </c>
      <c r="AP145" s="105">
        <v>0</v>
      </c>
      <c r="AQ145" s="105">
        <v>0</v>
      </c>
      <c r="AR145" s="105">
        <v>0</v>
      </c>
      <c r="AS145" s="105">
        <v>0</v>
      </c>
      <c r="AT145" s="105">
        <v>0</v>
      </c>
      <c r="AU145" s="105">
        <v>0</v>
      </c>
      <c r="AV145" s="105">
        <v>0</v>
      </c>
      <c r="AW145" s="105">
        <v>0</v>
      </c>
      <c r="AX145" s="105">
        <v>0</v>
      </c>
      <c r="AY145" s="105">
        <v>0</v>
      </c>
    </row>
    <row r="146" spans="1:51">
      <c r="A146" s="108"/>
      <c r="B146" s="126">
        <v>25</v>
      </c>
      <c r="C146" s="105"/>
      <c r="D146" s="105">
        <v>0</v>
      </c>
      <c r="E146" s="105">
        <v>0</v>
      </c>
      <c r="F146" s="105">
        <v>0</v>
      </c>
      <c r="G146" s="105">
        <v>0</v>
      </c>
      <c r="H146" s="105">
        <v>0</v>
      </c>
      <c r="I146" s="105">
        <v>0</v>
      </c>
      <c r="J146" s="105">
        <v>0</v>
      </c>
      <c r="K146" s="105">
        <v>0</v>
      </c>
      <c r="L146" s="105">
        <v>0</v>
      </c>
      <c r="M146" s="105">
        <v>0</v>
      </c>
      <c r="N146" s="105">
        <v>0</v>
      </c>
      <c r="O146" s="105">
        <v>0</v>
      </c>
      <c r="P146" s="105">
        <v>0</v>
      </c>
      <c r="Q146" s="105">
        <v>0</v>
      </c>
      <c r="R146" s="105">
        <v>0</v>
      </c>
      <c r="S146" s="105">
        <v>0</v>
      </c>
      <c r="T146" s="105">
        <v>0</v>
      </c>
      <c r="U146" s="105">
        <v>0</v>
      </c>
      <c r="V146" s="105">
        <v>0</v>
      </c>
      <c r="W146" s="105">
        <v>0</v>
      </c>
      <c r="X146" s="105">
        <v>0</v>
      </c>
      <c r="Y146" s="105">
        <v>0</v>
      </c>
      <c r="Z146" s="105">
        <v>0</v>
      </c>
      <c r="AA146" s="105">
        <v>0</v>
      </c>
      <c r="AB146" s="105">
        <v>0</v>
      </c>
      <c r="AC146" s="105">
        <v>0</v>
      </c>
      <c r="AD146" s="105">
        <v>0</v>
      </c>
      <c r="AE146" s="105">
        <v>0</v>
      </c>
      <c r="AF146" s="105">
        <v>0</v>
      </c>
      <c r="AG146" s="105">
        <v>0</v>
      </c>
      <c r="AH146" s="105">
        <v>0</v>
      </c>
      <c r="AI146" s="105">
        <v>0</v>
      </c>
      <c r="AJ146" s="105">
        <v>0</v>
      </c>
      <c r="AK146" s="105">
        <v>0</v>
      </c>
      <c r="AL146" s="105">
        <v>0</v>
      </c>
      <c r="AM146" s="105">
        <v>0</v>
      </c>
      <c r="AN146" s="105">
        <v>0</v>
      </c>
      <c r="AO146" s="105">
        <v>0</v>
      </c>
      <c r="AP146" s="105">
        <v>0</v>
      </c>
      <c r="AQ146" s="105">
        <v>0</v>
      </c>
      <c r="AR146" s="105">
        <v>0</v>
      </c>
      <c r="AS146" s="105">
        <v>0</v>
      </c>
      <c r="AT146" s="105">
        <v>0</v>
      </c>
      <c r="AU146" s="105">
        <v>0</v>
      </c>
      <c r="AV146" s="105">
        <v>0</v>
      </c>
      <c r="AW146" s="105">
        <v>0</v>
      </c>
      <c r="AX146" s="105">
        <v>0</v>
      </c>
      <c r="AY146" s="105">
        <v>0</v>
      </c>
    </row>
    <row r="147" spans="1:51">
      <c r="A147" s="108"/>
      <c r="B147" s="126">
        <v>26</v>
      </c>
      <c r="C147" s="105"/>
      <c r="D147" s="105">
        <v>0</v>
      </c>
      <c r="E147" s="105">
        <v>0</v>
      </c>
      <c r="F147" s="105">
        <v>0</v>
      </c>
      <c r="G147" s="105">
        <v>0</v>
      </c>
      <c r="H147" s="105">
        <v>0</v>
      </c>
      <c r="I147" s="105">
        <v>0</v>
      </c>
      <c r="J147" s="105">
        <v>0</v>
      </c>
      <c r="K147" s="105">
        <v>0</v>
      </c>
      <c r="L147" s="105">
        <v>0</v>
      </c>
      <c r="M147" s="105">
        <v>0</v>
      </c>
      <c r="N147" s="105">
        <v>0</v>
      </c>
      <c r="O147" s="105">
        <v>0</v>
      </c>
      <c r="P147" s="105">
        <v>0</v>
      </c>
      <c r="Q147" s="105">
        <v>0</v>
      </c>
      <c r="R147" s="105">
        <v>0</v>
      </c>
      <c r="S147" s="105">
        <v>0</v>
      </c>
      <c r="T147" s="105">
        <v>0</v>
      </c>
      <c r="U147" s="105">
        <v>0</v>
      </c>
      <c r="V147" s="105">
        <v>0</v>
      </c>
      <c r="W147" s="105">
        <v>0</v>
      </c>
      <c r="X147" s="105">
        <v>0</v>
      </c>
      <c r="Y147" s="105">
        <v>0</v>
      </c>
      <c r="Z147" s="105">
        <v>0</v>
      </c>
      <c r="AA147" s="105">
        <v>0</v>
      </c>
      <c r="AB147" s="105">
        <v>0</v>
      </c>
      <c r="AC147" s="105">
        <v>0</v>
      </c>
      <c r="AD147" s="105">
        <v>0</v>
      </c>
      <c r="AE147" s="105">
        <v>0</v>
      </c>
      <c r="AF147" s="105">
        <v>0</v>
      </c>
      <c r="AG147" s="105">
        <v>0</v>
      </c>
      <c r="AH147" s="105">
        <v>0</v>
      </c>
      <c r="AI147" s="105">
        <v>0</v>
      </c>
      <c r="AJ147" s="105">
        <v>0</v>
      </c>
      <c r="AK147" s="105">
        <v>0</v>
      </c>
      <c r="AL147" s="105">
        <v>0</v>
      </c>
      <c r="AM147" s="105">
        <v>0</v>
      </c>
      <c r="AN147" s="105">
        <v>0</v>
      </c>
      <c r="AO147" s="105">
        <v>0</v>
      </c>
      <c r="AP147" s="105">
        <v>0</v>
      </c>
      <c r="AQ147" s="105">
        <v>0</v>
      </c>
      <c r="AR147" s="105">
        <v>0</v>
      </c>
      <c r="AS147" s="105">
        <v>0</v>
      </c>
      <c r="AT147" s="105">
        <v>0</v>
      </c>
      <c r="AU147" s="105">
        <v>0</v>
      </c>
      <c r="AV147" s="105">
        <v>0</v>
      </c>
      <c r="AW147" s="105">
        <v>0</v>
      </c>
      <c r="AX147" s="105">
        <v>0</v>
      </c>
      <c r="AY147" s="105">
        <v>0</v>
      </c>
    </row>
    <row r="148" spans="1:51">
      <c r="A148" s="108"/>
      <c r="B148" s="126">
        <v>27</v>
      </c>
      <c r="C148" s="105"/>
      <c r="D148" s="105">
        <v>0</v>
      </c>
      <c r="E148" s="105">
        <v>0</v>
      </c>
      <c r="F148" s="105">
        <v>0</v>
      </c>
      <c r="G148" s="105">
        <v>0</v>
      </c>
      <c r="H148" s="105">
        <v>0</v>
      </c>
      <c r="I148" s="105">
        <v>0</v>
      </c>
      <c r="J148" s="105">
        <v>0</v>
      </c>
      <c r="K148" s="105">
        <v>0</v>
      </c>
      <c r="L148" s="105">
        <v>0</v>
      </c>
      <c r="M148" s="105">
        <v>0</v>
      </c>
      <c r="N148" s="105">
        <v>0</v>
      </c>
      <c r="O148" s="105">
        <v>0</v>
      </c>
      <c r="P148" s="105">
        <v>0</v>
      </c>
      <c r="Q148" s="105">
        <v>0</v>
      </c>
      <c r="R148" s="105">
        <v>0</v>
      </c>
      <c r="S148" s="105">
        <v>0</v>
      </c>
      <c r="T148" s="105">
        <v>0</v>
      </c>
      <c r="U148" s="105">
        <v>0</v>
      </c>
      <c r="V148" s="105">
        <v>0</v>
      </c>
      <c r="W148" s="105">
        <v>0</v>
      </c>
      <c r="X148" s="105">
        <v>0</v>
      </c>
      <c r="Y148" s="105">
        <v>0</v>
      </c>
      <c r="Z148" s="105">
        <v>0</v>
      </c>
      <c r="AA148" s="105">
        <v>0</v>
      </c>
      <c r="AB148" s="105">
        <v>0</v>
      </c>
      <c r="AC148" s="105">
        <v>0</v>
      </c>
      <c r="AD148" s="105">
        <v>0</v>
      </c>
      <c r="AE148" s="105">
        <v>0</v>
      </c>
      <c r="AF148" s="105">
        <v>0</v>
      </c>
      <c r="AG148" s="105">
        <v>0</v>
      </c>
      <c r="AH148" s="105">
        <v>0</v>
      </c>
      <c r="AI148" s="105">
        <v>0</v>
      </c>
      <c r="AJ148" s="105">
        <v>0</v>
      </c>
      <c r="AK148" s="105">
        <v>0</v>
      </c>
      <c r="AL148" s="105">
        <v>0</v>
      </c>
      <c r="AM148" s="105">
        <v>0</v>
      </c>
      <c r="AN148" s="105">
        <v>0</v>
      </c>
      <c r="AO148" s="105">
        <v>0</v>
      </c>
      <c r="AP148" s="105">
        <v>0</v>
      </c>
      <c r="AQ148" s="105">
        <v>0</v>
      </c>
      <c r="AR148" s="105">
        <v>0</v>
      </c>
      <c r="AS148" s="105">
        <v>0</v>
      </c>
      <c r="AT148" s="105">
        <v>0</v>
      </c>
      <c r="AU148" s="105">
        <v>0</v>
      </c>
      <c r="AV148" s="105">
        <v>0</v>
      </c>
      <c r="AW148" s="105">
        <v>0</v>
      </c>
      <c r="AX148" s="105">
        <v>0</v>
      </c>
      <c r="AY148" s="105">
        <v>0</v>
      </c>
    </row>
    <row r="149" spans="1:51">
      <c r="A149" s="108"/>
      <c r="B149" s="126">
        <v>28</v>
      </c>
      <c r="C149" s="105"/>
      <c r="D149" s="105">
        <v>0</v>
      </c>
      <c r="E149" s="105">
        <v>0</v>
      </c>
      <c r="F149" s="105">
        <v>0</v>
      </c>
      <c r="G149" s="105">
        <v>0</v>
      </c>
      <c r="H149" s="105">
        <v>0</v>
      </c>
      <c r="I149" s="105">
        <v>0</v>
      </c>
      <c r="J149" s="105">
        <v>0</v>
      </c>
      <c r="K149" s="105">
        <v>0</v>
      </c>
      <c r="L149" s="105">
        <v>0</v>
      </c>
      <c r="M149" s="105">
        <v>0</v>
      </c>
      <c r="N149" s="105">
        <v>0</v>
      </c>
      <c r="O149" s="105">
        <v>0</v>
      </c>
      <c r="P149" s="105">
        <v>0</v>
      </c>
      <c r="Q149" s="105">
        <v>0</v>
      </c>
      <c r="R149" s="105">
        <v>0</v>
      </c>
      <c r="S149" s="105">
        <v>0</v>
      </c>
      <c r="T149" s="105">
        <v>0</v>
      </c>
      <c r="U149" s="105">
        <v>0</v>
      </c>
      <c r="V149" s="105">
        <v>0</v>
      </c>
      <c r="W149" s="105">
        <v>0</v>
      </c>
      <c r="X149" s="105">
        <v>0</v>
      </c>
      <c r="Y149" s="105">
        <v>0</v>
      </c>
      <c r="Z149" s="105">
        <v>0</v>
      </c>
      <c r="AA149" s="105">
        <v>0</v>
      </c>
      <c r="AB149" s="105">
        <v>0</v>
      </c>
      <c r="AC149" s="105">
        <v>0</v>
      </c>
      <c r="AD149" s="105">
        <v>0</v>
      </c>
      <c r="AE149" s="105">
        <v>0</v>
      </c>
      <c r="AF149" s="105">
        <v>0</v>
      </c>
      <c r="AG149" s="105">
        <v>0</v>
      </c>
      <c r="AH149" s="105">
        <v>0</v>
      </c>
      <c r="AI149" s="105">
        <v>0</v>
      </c>
      <c r="AJ149" s="105">
        <v>0</v>
      </c>
      <c r="AK149" s="105">
        <v>0</v>
      </c>
      <c r="AL149" s="105">
        <v>0</v>
      </c>
      <c r="AM149" s="105">
        <v>0</v>
      </c>
      <c r="AN149" s="105">
        <v>0</v>
      </c>
      <c r="AO149" s="105">
        <v>0</v>
      </c>
      <c r="AP149" s="105">
        <v>0</v>
      </c>
      <c r="AQ149" s="105">
        <v>0</v>
      </c>
      <c r="AR149" s="105">
        <v>0</v>
      </c>
      <c r="AS149" s="105">
        <v>0</v>
      </c>
      <c r="AT149" s="105">
        <v>0</v>
      </c>
      <c r="AU149" s="105">
        <v>0</v>
      </c>
      <c r="AV149" s="105">
        <v>0</v>
      </c>
      <c r="AW149" s="105">
        <v>0</v>
      </c>
      <c r="AX149" s="105">
        <v>0</v>
      </c>
      <c r="AY149" s="105">
        <v>0</v>
      </c>
    </row>
    <row r="150" spans="1:51">
      <c r="A150" s="108"/>
      <c r="B150" s="126">
        <v>29</v>
      </c>
      <c r="C150" s="105"/>
      <c r="D150" s="105">
        <v>0</v>
      </c>
      <c r="E150" s="105">
        <v>0</v>
      </c>
      <c r="F150" s="105">
        <v>0</v>
      </c>
      <c r="G150" s="105">
        <v>0</v>
      </c>
      <c r="H150" s="105">
        <v>0</v>
      </c>
      <c r="I150" s="105">
        <v>0</v>
      </c>
      <c r="J150" s="105">
        <v>0</v>
      </c>
      <c r="K150" s="105">
        <v>0</v>
      </c>
      <c r="L150" s="105">
        <v>0</v>
      </c>
      <c r="M150" s="105">
        <v>0</v>
      </c>
      <c r="N150" s="105">
        <v>0</v>
      </c>
      <c r="O150" s="105">
        <v>0</v>
      </c>
      <c r="P150" s="105">
        <v>0</v>
      </c>
      <c r="Q150" s="105">
        <v>0</v>
      </c>
      <c r="R150" s="105">
        <v>0</v>
      </c>
      <c r="S150" s="105">
        <v>0</v>
      </c>
      <c r="T150" s="105">
        <v>0</v>
      </c>
      <c r="U150" s="105">
        <v>0</v>
      </c>
      <c r="V150" s="105">
        <v>0</v>
      </c>
      <c r="W150" s="105">
        <v>0</v>
      </c>
      <c r="X150" s="105">
        <v>0</v>
      </c>
      <c r="Y150" s="105">
        <v>0</v>
      </c>
      <c r="Z150" s="105">
        <v>0</v>
      </c>
      <c r="AA150" s="105">
        <v>0</v>
      </c>
      <c r="AB150" s="105">
        <v>0</v>
      </c>
      <c r="AC150" s="105">
        <v>0</v>
      </c>
      <c r="AD150" s="105">
        <v>0</v>
      </c>
      <c r="AE150" s="105">
        <v>0</v>
      </c>
      <c r="AF150" s="105">
        <v>0</v>
      </c>
      <c r="AG150" s="105">
        <v>0</v>
      </c>
      <c r="AH150" s="105">
        <v>0</v>
      </c>
      <c r="AI150" s="105">
        <v>0</v>
      </c>
      <c r="AJ150" s="105">
        <v>0</v>
      </c>
      <c r="AK150" s="105">
        <v>0</v>
      </c>
      <c r="AL150" s="105">
        <v>0</v>
      </c>
      <c r="AM150" s="105">
        <v>0</v>
      </c>
      <c r="AN150" s="105">
        <v>0</v>
      </c>
      <c r="AO150" s="105">
        <v>0</v>
      </c>
      <c r="AP150" s="105">
        <v>0</v>
      </c>
      <c r="AQ150" s="105">
        <v>0</v>
      </c>
      <c r="AR150" s="105">
        <v>0</v>
      </c>
      <c r="AS150" s="105">
        <v>0</v>
      </c>
      <c r="AT150" s="105">
        <v>0</v>
      </c>
      <c r="AU150" s="105">
        <v>0</v>
      </c>
      <c r="AV150" s="105">
        <v>0</v>
      </c>
      <c r="AW150" s="105">
        <v>0</v>
      </c>
      <c r="AX150" s="105">
        <v>0</v>
      </c>
      <c r="AY150" s="105">
        <v>0</v>
      </c>
    </row>
    <row r="151" spans="1:51">
      <c r="A151" s="108"/>
      <c r="B151" s="126">
        <v>30</v>
      </c>
      <c r="C151" s="105"/>
      <c r="D151" s="105">
        <v>0</v>
      </c>
      <c r="E151" s="105">
        <v>0</v>
      </c>
      <c r="F151" s="105">
        <v>0</v>
      </c>
      <c r="G151" s="105">
        <v>0</v>
      </c>
      <c r="H151" s="105">
        <v>0</v>
      </c>
      <c r="I151" s="105">
        <v>0</v>
      </c>
      <c r="J151" s="105">
        <v>0</v>
      </c>
      <c r="K151" s="105">
        <v>0</v>
      </c>
      <c r="L151" s="105">
        <v>0</v>
      </c>
      <c r="M151" s="105">
        <v>0</v>
      </c>
      <c r="N151" s="105">
        <v>0</v>
      </c>
      <c r="O151" s="105">
        <v>0</v>
      </c>
      <c r="P151" s="105">
        <v>0</v>
      </c>
      <c r="Q151" s="105">
        <v>0</v>
      </c>
      <c r="R151" s="105">
        <v>0</v>
      </c>
      <c r="S151" s="105">
        <v>0</v>
      </c>
      <c r="T151" s="105">
        <v>0</v>
      </c>
      <c r="U151" s="105">
        <v>0</v>
      </c>
      <c r="V151" s="105">
        <v>0</v>
      </c>
      <c r="W151" s="105">
        <v>0</v>
      </c>
      <c r="X151" s="105">
        <v>0</v>
      </c>
      <c r="Y151" s="105">
        <v>0</v>
      </c>
      <c r="Z151" s="105">
        <v>0</v>
      </c>
      <c r="AA151" s="105">
        <v>0</v>
      </c>
      <c r="AB151" s="105">
        <v>0</v>
      </c>
      <c r="AC151" s="105">
        <v>0</v>
      </c>
      <c r="AD151" s="105">
        <v>0</v>
      </c>
      <c r="AE151" s="105">
        <v>0</v>
      </c>
      <c r="AF151" s="105">
        <v>0</v>
      </c>
      <c r="AG151" s="105">
        <v>0</v>
      </c>
      <c r="AH151" s="105">
        <v>0</v>
      </c>
      <c r="AI151" s="105">
        <v>0</v>
      </c>
      <c r="AJ151" s="105">
        <v>0</v>
      </c>
      <c r="AK151" s="105">
        <v>0</v>
      </c>
      <c r="AL151" s="105">
        <v>0</v>
      </c>
      <c r="AM151" s="105">
        <v>0</v>
      </c>
      <c r="AN151" s="105">
        <v>0</v>
      </c>
      <c r="AO151" s="105">
        <v>0</v>
      </c>
      <c r="AP151" s="105">
        <v>0</v>
      </c>
      <c r="AQ151" s="105">
        <v>0</v>
      </c>
      <c r="AR151" s="105">
        <v>0</v>
      </c>
      <c r="AS151" s="105">
        <v>0</v>
      </c>
      <c r="AT151" s="105">
        <v>0</v>
      </c>
      <c r="AU151" s="105">
        <v>0</v>
      </c>
      <c r="AV151" s="105">
        <v>0</v>
      </c>
      <c r="AW151" s="105">
        <v>0</v>
      </c>
      <c r="AX151" s="105">
        <v>0</v>
      </c>
      <c r="AY151" s="105">
        <v>0</v>
      </c>
    </row>
    <row r="152" spans="1:51">
      <c r="A152" s="108"/>
      <c r="B152" s="126">
        <v>31</v>
      </c>
      <c r="C152" s="105"/>
      <c r="D152" s="105">
        <v>0</v>
      </c>
      <c r="E152" s="105">
        <v>0</v>
      </c>
      <c r="F152" s="105">
        <v>0</v>
      </c>
      <c r="G152" s="105">
        <v>0</v>
      </c>
      <c r="H152" s="105">
        <v>0</v>
      </c>
      <c r="I152" s="105">
        <v>0</v>
      </c>
      <c r="J152" s="105">
        <v>0</v>
      </c>
      <c r="K152" s="105">
        <v>0</v>
      </c>
      <c r="L152" s="105">
        <v>0</v>
      </c>
      <c r="M152" s="105">
        <v>0</v>
      </c>
      <c r="N152" s="105">
        <v>0</v>
      </c>
      <c r="O152" s="105">
        <v>0</v>
      </c>
      <c r="P152" s="105">
        <v>0</v>
      </c>
      <c r="Q152" s="105">
        <v>0</v>
      </c>
      <c r="R152" s="105">
        <v>0</v>
      </c>
      <c r="S152" s="105">
        <v>0</v>
      </c>
      <c r="T152" s="105">
        <v>0</v>
      </c>
      <c r="U152" s="105">
        <v>0</v>
      </c>
      <c r="V152" s="105">
        <v>0</v>
      </c>
      <c r="W152" s="105">
        <v>0</v>
      </c>
      <c r="X152" s="105">
        <v>0</v>
      </c>
      <c r="Y152" s="105">
        <v>0</v>
      </c>
      <c r="Z152" s="105">
        <v>0</v>
      </c>
      <c r="AA152" s="105">
        <v>0</v>
      </c>
      <c r="AB152" s="105">
        <v>0</v>
      </c>
      <c r="AC152" s="105">
        <v>0</v>
      </c>
      <c r="AD152" s="105">
        <v>0</v>
      </c>
      <c r="AE152" s="105">
        <v>0</v>
      </c>
      <c r="AF152" s="105">
        <v>0</v>
      </c>
      <c r="AG152" s="105">
        <v>0</v>
      </c>
      <c r="AH152" s="105">
        <v>0</v>
      </c>
      <c r="AI152" s="105">
        <v>0</v>
      </c>
      <c r="AJ152" s="105">
        <v>0</v>
      </c>
      <c r="AK152" s="105">
        <v>0</v>
      </c>
      <c r="AL152" s="105">
        <v>0</v>
      </c>
      <c r="AM152" s="105">
        <v>0</v>
      </c>
      <c r="AN152" s="105">
        <v>0</v>
      </c>
      <c r="AO152" s="105">
        <v>0</v>
      </c>
      <c r="AP152" s="105">
        <v>0</v>
      </c>
      <c r="AQ152" s="105">
        <v>0</v>
      </c>
      <c r="AR152" s="105">
        <v>0</v>
      </c>
      <c r="AS152" s="105">
        <v>0</v>
      </c>
      <c r="AT152" s="105">
        <v>0</v>
      </c>
      <c r="AU152" s="105">
        <v>0</v>
      </c>
      <c r="AV152" s="105">
        <v>0</v>
      </c>
      <c r="AW152" s="105">
        <v>0</v>
      </c>
      <c r="AX152" s="105">
        <v>0</v>
      </c>
      <c r="AY152" s="105">
        <v>0</v>
      </c>
    </row>
    <row r="153" spans="1:51">
      <c r="A153" s="108"/>
      <c r="B153" s="126">
        <v>32</v>
      </c>
      <c r="C153" s="105"/>
      <c r="D153" s="105">
        <v>0</v>
      </c>
      <c r="E153" s="105">
        <v>0</v>
      </c>
      <c r="F153" s="105">
        <v>0</v>
      </c>
      <c r="G153" s="105">
        <v>0</v>
      </c>
      <c r="H153" s="105">
        <v>0</v>
      </c>
      <c r="I153" s="105">
        <v>0</v>
      </c>
      <c r="J153" s="105">
        <v>0</v>
      </c>
      <c r="K153" s="105">
        <v>0</v>
      </c>
      <c r="L153" s="105">
        <v>0</v>
      </c>
      <c r="M153" s="105">
        <v>0</v>
      </c>
      <c r="N153" s="105">
        <v>0</v>
      </c>
      <c r="O153" s="105">
        <v>0</v>
      </c>
      <c r="P153" s="105">
        <v>0</v>
      </c>
      <c r="Q153" s="105">
        <v>0</v>
      </c>
      <c r="R153" s="105">
        <v>0</v>
      </c>
      <c r="S153" s="105">
        <v>0</v>
      </c>
      <c r="T153" s="105">
        <v>0</v>
      </c>
      <c r="U153" s="105">
        <v>0</v>
      </c>
      <c r="V153" s="105">
        <v>0</v>
      </c>
      <c r="W153" s="105">
        <v>0</v>
      </c>
      <c r="X153" s="105">
        <v>0</v>
      </c>
      <c r="Y153" s="105">
        <v>0</v>
      </c>
      <c r="Z153" s="105">
        <v>0</v>
      </c>
      <c r="AA153" s="105">
        <v>0</v>
      </c>
      <c r="AB153" s="105">
        <v>0</v>
      </c>
      <c r="AC153" s="105">
        <v>0</v>
      </c>
      <c r="AD153" s="105">
        <v>0</v>
      </c>
      <c r="AE153" s="105">
        <v>0</v>
      </c>
      <c r="AF153" s="105">
        <v>0</v>
      </c>
      <c r="AG153" s="105">
        <v>0</v>
      </c>
      <c r="AH153" s="105">
        <v>0</v>
      </c>
      <c r="AI153" s="105">
        <v>0</v>
      </c>
      <c r="AJ153" s="105">
        <v>0</v>
      </c>
      <c r="AK153" s="105">
        <v>0</v>
      </c>
      <c r="AL153" s="105">
        <v>0</v>
      </c>
      <c r="AM153" s="105">
        <v>0</v>
      </c>
      <c r="AN153" s="105">
        <v>0</v>
      </c>
      <c r="AO153" s="105">
        <v>0</v>
      </c>
      <c r="AP153" s="105">
        <v>0</v>
      </c>
      <c r="AQ153" s="105">
        <v>0</v>
      </c>
      <c r="AR153" s="105">
        <v>0</v>
      </c>
      <c r="AS153" s="105">
        <v>0</v>
      </c>
      <c r="AT153" s="105">
        <v>0</v>
      </c>
      <c r="AU153" s="105">
        <v>0</v>
      </c>
      <c r="AV153" s="105">
        <v>0</v>
      </c>
      <c r="AW153" s="105">
        <v>0</v>
      </c>
      <c r="AX153" s="105">
        <v>0</v>
      </c>
      <c r="AY153" s="105">
        <v>0</v>
      </c>
    </row>
    <row r="154" spans="1:51">
      <c r="A154" s="108"/>
      <c r="B154" s="126">
        <v>33</v>
      </c>
      <c r="C154" s="105"/>
      <c r="D154" s="105">
        <v>0</v>
      </c>
      <c r="E154" s="105">
        <v>0</v>
      </c>
      <c r="F154" s="105">
        <v>0</v>
      </c>
      <c r="G154" s="105">
        <v>0</v>
      </c>
      <c r="H154" s="105">
        <v>0</v>
      </c>
      <c r="I154" s="105">
        <v>0</v>
      </c>
      <c r="J154" s="105">
        <v>0</v>
      </c>
      <c r="K154" s="105">
        <v>0</v>
      </c>
      <c r="L154" s="105">
        <v>0</v>
      </c>
      <c r="M154" s="105">
        <v>0</v>
      </c>
      <c r="N154" s="105">
        <v>0</v>
      </c>
      <c r="O154" s="105">
        <v>0</v>
      </c>
      <c r="P154" s="105">
        <v>0</v>
      </c>
      <c r="Q154" s="105">
        <v>0</v>
      </c>
      <c r="R154" s="105">
        <v>0</v>
      </c>
      <c r="S154" s="105">
        <v>0</v>
      </c>
      <c r="T154" s="105">
        <v>0</v>
      </c>
      <c r="U154" s="105">
        <v>0</v>
      </c>
      <c r="V154" s="105">
        <v>0</v>
      </c>
      <c r="W154" s="105">
        <v>0</v>
      </c>
      <c r="X154" s="105">
        <v>0</v>
      </c>
      <c r="Y154" s="105">
        <v>0</v>
      </c>
      <c r="Z154" s="105">
        <v>0</v>
      </c>
      <c r="AA154" s="105">
        <v>0</v>
      </c>
      <c r="AB154" s="105">
        <v>0</v>
      </c>
      <c r="AC154" s="105">
        <v>0</v>
      </c>
      <c r="AD154" s="105">
        <v>0</v>
      </c>
      <c r="AE154" s="105">
        <v>0</v>
      </c>
      <c r="AF154" s="105">
        <v>0</v>
      </c>
      <c r="AG154" s="105">
        <v>0</v>
      </c>
      <c r="AH154" s="105">
        <v>0</v>
      </c>
      <c r="AI154" s="105">
        <v>0</v>
      </c>
      <c r="AJ154" s="105">
        <v>0</v>
      </c>
      <c r="AK154" s="105">
        <v>0</v>
      </c>
      <c r="AL154" s="105">
        <v>0</v>
      </c>
      <c r="AM154" s="105">
        <v>0</v>
      </c>
      <c r="AN154" s="105">
        <v>0</v>
      </c>
      <c r="AO154" s="105">
        <v>0</v>
      </c>
      <c r="AP154" s="105">
        <v>0</v>
      </c>
      <c r="AQ154" s="105">
        <v>0</v>
      </c>
      <c r="AR154" s="105">
        <v>0</v>
      </c>
      <c r="AS154" s="105">
        <v>0</v>
      </c>
      <c r="AT154" s="105">
        <v>0</v>
      </c>
      <c r="AU154" s="105">
        <v>0</v>
      </c>
      <c r="AV154" s="105">
        <v>0</v>
      </c>
      <c r="AW154" s="105">
        <v>0</v>
      </c>
      <c r="AX154" s="105">
        <v>0</v>
      </c>
      <c r="AY154" s="105">
        <v>0</v>
      </c>
    </row>
    <row r="155" spans="1:51">
      <c r="A155" s="108"/>
      <c r="B155" s="126">
        <v>34</v>
      </c>
      <c r="C155" s="105"/>
      <c r="D155" s="105">
        <v>0</v>
      </c>
      <c r="E155" s="105">
        <v>0</v>
      </c>
      <c r="F155" s="105">
        <v>0</v>
      </c>
      <c r="G155" s="105">
        <v>0</v>
      </c>
      <c r="H155" s="105">
        <v>0</v>
      </c>
      <c r="I155" s="105">
        <v>0</v>
      </c>
      <c r="J155" s="105">
        <v>0</v>
      </c>
      <c r="K155" s="105">
        <v>0</v>
      </c>
      <c r="L155" s="105">
        <v>0</v>
      </c>
      <c r="M155" s="105">
        <v>0</v>
      </c>
      <c r="N155" s="105">
        <v>0</v>
      </c>
      <c r="O155" s="105">
        <v>0</v>
      </c>
      <c r="P155" s="105">
        <v>0</v>
      </c>
      <c r="Q155" s="105">
        <v>0</v>
      </c>
      <c r="R155" s="105">
        <v>0</v>
      </c>
      <c r="S155" s="105">
        <v>0</v>
      </c>
      <c r="T155" s="105">
        <v>0</v>
      </c>
      <c r="U155" s="105">
        <v>0</v>
      </c>
      <c r="V155" s="105">
        <v>0</v>
      </c>
      <c r="W155" s="105">
        <v>0</v>
      </c>
      <c r="X155" s="105">
        <v>0</v>
      </c>
      <c r="Y155" s="105">
        <v>0</v>
      </c>
      <c r="Z155" s="105">
        <v>0</v>
      </c>
      <c r="AA155" s="105">
        <v>0</v>
      </c>
      <c r="AB155" s="105">
        <v>0</v>
      </c>
      <c r="AC155" s="105">
        <v>0</v>
      </c>
      <c r="AD155" s="105">
        <v>0</v>
      </c>
      <c r="AE155" s="105">
        <v>0</v>
      </c>
      <c r="AF155" s="105">
        <v>0</v>
      </c>
      <c r="AG155" s="105">
        <v>0</v>
      </c>
      <c r="AH155" s="105">
        <v>0</v>
      </c>
      <c r="AI155" s="105">
        <v>0</v>
      </c>
      <c r="AJ155" s="105">
        <v>0</v>
      </c>
      <c r="AK155" s="105">
        <v>0</v>
      </c>
      <c r="AL155" s="105">
        <v>0</v>
      </c>
      <c r="AM155" s="105">
        <v>0</v>
      </c>
      <c r="AN155" s="105">
        <v>0</v>
      </c>
      <c r="AO155" s="105">
        <v>0</v>
      </c>
      <c r="AP155" s="105">
        <v>0</v>
      </c>
      <c r="AQ155" s="105">
        <v>0</v>
      </c>
      <c r="AR155" s="105">
        <v>0</v>
      </c>
      <c r="AS155" s="105">
        <v>0</v>
      </c>
      <c r="AT155" s="105">
        <v>0</v>
      </c>
      <c r="AU155" s="105">
        <v>0</v>
      </c>
      <c r="AV155" s="105">
        <v>0</v>
      </c>
      <c r="AW155" s="105">
        <v>0</v>
      </c>
      <c r="AX155" s="105">
        <v>0</v>
      </c>
      <c r="AY155" s="105">
        <v>0</v>
      </c>
    </row>
    <row r="156" spans="1:51">
      <c r="A156" s="108"/>
      <c r="B156" s="126">
        <v>35</v>
      </c>
      <c r="C156" s="105"/>
      <c r="D156" s="105">
        <v>0</v>
      </c>
      <c r="E156" s="105">
        <v>0</v>
      </c>
      <c r="F156" s="105">
        <v>0</v>
      </c>
      <c r="G156" s="105">
        <v>0</v>
      </c>
      <c r="H156" s="105">
        <v>0</v>
      </c>
      <c r="I156" s="105">
        <v>0</v>
      </c>
      <c r="J156" s="105">
        <v>0</v>
      </c>
      <c r="K156" s="105">
        <v>0</v>
      </c>
      <c r="L156" s="105">
        <v>0</v>
      </c>
      <c r="M156" s="105">
        <v>0</v>
      </c>
      <c r="N156" s="105">
        <v>0</v>
      </c>
      <c r="O156" s="105">
        <v>0</v>
      </c>
      <c r="P156" s="105">
        <v>0</v>
      </c>
      <c r="Q156" s="105">
        <v>0</v>
      </c>
      <c r="R156" s="105">
        <v>0</v>
      </c>
      <c r="S156" s="105">
        <v>0</v>
      </c>
      <c r="T156" s="105">
        <v>0</v>
      </c>
      <c r="U156" s="105">
        <v>0</v>
      </c>
      <c r="V156" s="105">
        <v>0</v>
      </c>
      <c r="W156" s="105">
        <v>0</v>
      </c>
      <c r="X156" s="105">
        <v>0</v>
      </c>
      <c r="Y156" s="105">
        <v>0</v>
      </c>
      <c r="Z156" s="105">
        <v>0</v>
      </c>
      <c r="AA156" s="105">
        <v>0</v>
      </c>
      <c r="AB156" s="105">
        <v>0</v>
      </c>
      <c r="AC156" s="105">
        <v>0</v>
      </c>
      <c r="AD156" s="105">
        <v>0</v>
      </c>
      <c r="AE156" s="105">
        <v>0</v>
      </c>
      <c r="AF156" s="105">
        <v>0</v>
      </c>
      <c r="AG156" s="105">
        <v>0</v>
      </c>
      <c r="AH156" s="105">
        <v>0</v>
      </c>
      <c r="AI156" s="105">
        <v>0</v>
      </c>
      <c r="AJ156" s="105">
        <v>0</v>
      </c>
      <c r="AK156" s="105">
        <v>0</v>
      </c>
      <c r="AL156" s="105">
        <v>0</v>
      </c>
      <c r="AM156" s="105">
        <v>0</v>
      </c>
      <c r="AN156" s="105">
        <v>0</v>
      </c>
      <c r="AO156" s="105">
        <v>0</v>
      </c>
      <c r="AP156" s="105">
        <v>0</v>
      </c>
      <c r="AQ156" s="105">
        <v>0</v>
      </c>
      <c r="AR156" s="105">
        <v>0</v>
      </c>
      <c r="AS156" s="105">
        <v>0</v>
      </c>
      <c r="AT156" s="105">
        <v>0</v>
      </c>
      <c r="AU156" s="105">
        <v>0</v>
      </c>
      <c r="AV156" s="105">
        <v>0</v>
      </c>
      <c r="AW156" s="105">
        <v>0</v>
      </c>
      <c r="AX156" s="105">
        <v>0</v>
      </c>
      <c r="AY156" s="105">
        <v>0</v>
      </c>
    </row>
    <row r="157" spans="1:51">
      <c r="A157" s="108"/>
      <c r="B157" s="126">
        <v>36</v>
      </c>
      <c r="C157" s="105"/>
      <c r="D157" s="105">
        <v>0</v>
      </c>
      <c r="E157" s="105">
        <v>0</v>
      </c>
      <c r="F157" s="105">
        <v>0</v>
      </c>
      <c r="G157" s="105">
        <v>0</v>
      </c>
      <c r="H157" s="105">
        <v>0</v>
      </c>
      <c r="I157" s="105">
        <v>0</v>
      </c>
      <c r="J157" s="105">
        <v>0</v>
      </c>
      <c r="K157" s="105">
        <v>0</v>
      </c>
      <c r="L157" s="105">
        <v>0</v>
      </c>
      <c r="M157" s="105">
        <v>0</v>
      </c>
      <c r="N157" s="105">
        <v>0</v>
      </c>
      <c r="O157" s="105">
        <v>0</v>
      </c>
      <c r="P157" s="105">
        <v>0</v>
      </c>
      <c r="Q157" s="105">
        <v>0</v>
      </c>
      <c r="R157" s="105">
        <v>0</v>
      </c>
      <c r="S157" s="105">
        <v>0</v>
      </c>
      <c r="T157" s="105">
        <v>0</v>
      </c>
      <c r="U157" s="105">
        <v>0</v>
      </c>
      <c r="V157" s="105">
        <v>0</v>
      </c>
      <c r="W157" s="105">
        <v>0</v>
      </c>
      <c r="X157" s="105">
        <v>0</v>
      </c>
      <c r="Y157" s="105">
        <v>0</v>
      </c>
      <c r="Z157" s="105">
        <v>0</v>
      </c>
      <c r="AA157" s="105">
        <v>0</v>
      </c>
      <c r="AB157" s="105">
        <v>0</v>
      </c>
      <c r="AC157" s="105">
        <v>0</v>
      </c>
      <c r="AD157" s="105">
        <v>0</v>
      </c>
      <c r="AE157" s="105">
        <v>0</v>
      </c>
      <c r="AF157" s="105">
        <v>0</v>
      </c>
      <c r="AG157" s="105">
        <v>0</v>
      </c>
      <c r="AH157" s="105">
        <v>0</v>
      </c>
      <c r="AI157" s="105">
        <v>0</v>
      </c>
      <c r="AJ157" s="105">
        <v>0</v>
      </c>
      <c r="AK157" s="105">
        <v>0</v>
      </c>
      <c r="AL157" s="105">
        <v>0</v>
      </c>
      <c r="AM157" s="105">
        <v>0</v>
      </c>
      <c r="AN157" s="105">
        <v>0</v>
      </c>
      <c r="AO157" s="105">
        <v>0</v>
      </c>
      <c r="AP157" s="105">
        <v>0</v>
      </c>
      <c r="AQ157" s="105">
        <v>0</v>
      </c>
      <c r="AR157" s="105">
        <v>0</v>
      </c>
      <c r="AS157" s="105">
        <v>0</v>
      </c>
      <c r="AT157" s="105">
        <v>0</v>
      </c>
      <c r="AU157" s="105">
        <v>0</v>
      </c>
      <c r="AV157" s="105">
        <v>0</v>
      </c>
      <c r="AW157" s="105">
        <v>0</v>
      </c>
      <c r="AX157" s="105">
        <v>0</v>
      </c>
      <c r="AY157" s="105">
        <v>0</v>
      </c>
    </row>
    <row r="158" spans="1:51">
      <c r="A158" s="108"/>
      <c r="B158" s="129">
        <v>37</v>
      </c>
      <c r="C158" s="105"/>
      <c r="D158" s="105">
        <v>0</v>
      </c>
      <c r="E158" s="105">
        <v>0</v>
      </c>
      <c r="F158" s="105">
        <v>0</v>
      </c>
      <c r="G158" s="105">
        <v>0</v>
      </c>
      <c r="H158" s="105">
        <v>0</v>
      </c>
      <c r="I158" s="105">
        <v>0</v>
      </c>
      <c r="J158" s="105">
        <v>0</v>
      </c>
      <c r="K158" s="105">
        <v>0</v>
      </c>
      <c r="L158" s="105">
        <v>0</v>
      </c>
      <c r="M158" s="105">
        <v>0</v>
      </c>
      <c r="N158" s="105">
        <v>0</v>
      </c>
      <c r="O158" s="105">
        <v>0</v>
      </c>
      <c r="P158" s="105">
        <v>0</v>
      </c>
      <c r="Q158" s="105">
        <v>0</v>
      </c>
      <c r="R158" s="105">
        <v>0</v>
      </c>
      <c r="S158" s="105">
        <v>0</v>
      </c>
      <c r="T158" s="105">
        <v>0</v>
      </c>
      <c r="U158" s="105">
        <v>0</v>
      </c>
      <c r="V158" s="105">
        <v>0</v>
      </c>
      <c r="W158" s="105">
        <v>0</v>
      </c>
      <c r="X158" s="105">
        <v>0</v>
      </c>
      <c r="Y158" s="105">
        <v>0</v>
      </c>
      <c r="Z158" s="105">
        <v>0</v>
      </c>
      <c r="AA158" s="105">
        <v>0</v>
      </c>
      <c r="AB158" s="105">
        <v>0</v>
      </c>
      <c r="AC158" s="105">
        <v>0</v>
      </c>
      <c r="AD158" s="105">
        <v>0</v>
      </c>
      <c r="AE158" s="105">
        <v>0</v>
      </c>
      <c r="AF158" s="105">
        <v>0</v>
      </c>
      <c r="AG158" s="105">
        <v>0</v>
      </c>
      <c r="AH158" s="105">
        <v>0</v>
      </c>
      <c r="AI158" s="105">
        <v>0</v>
      </c>
      <c r="AJ158" s="105">
        <v>0</v>
      </c>
      <c r="AK158" s="105">
        <v>0</v>
      </c>
      <c r="AL158" s="105">
        <v>0</v>
      </c>
      <c r="AM158" s="105">
        <v>0</v>
      </c>
      <c r="AN158" s="105">
        <v>0</v>
      </c>
      <c r="AO158" s="105">
        <v>0</v>
      </c>
      <c r="AP158" s="105">
        <v>0</v>
      </c>
      <c r="AQ158" s="105">
        <v>0</v>
      </c>
      <c r="AR158" s="105">
        <v>0</v>
      </c>
      <c r="AS158" s="105">
        <v>0</v>
      </c>
      <c r="AT158" s="105">
        <v>0</v>
      </c>
      <c r="AU158" s="105">
        <v>0</v>
      </c>
      <c r="AV158" s="105">
        <v>0</v>
      </c>
      <c r="AW158" s="105">
        <v>0</v>
      </c>
      <c r="AX158" s="105">
        <v>0</v>
      </c>
      <c r="AY158" s="105">
        <v>0</v>
      </c>
    </row>
    <row r="159" spans="1:51">
      <c r="A159" s="108"/>
      <c r="B159" s="129">
        <v>38</v>
      </c>
      <c r="C159" s="105"/>
      <c r="D159" s="105">
        <v>0</v>
      </c>
      <c r="E159" s="105">
        <v>0</v>
      </c>
      <c r="F159" s="105">
        <v>0</v>
      </c>
      <c r="G159" s="105">
        <v>0</v>
      </c>
      <c r="H159" s="105">
        <v>0</v>
      </c>
      <c r="I159" s="105">
        <v>0</v>
      </c>
      <c r="J159" s="105">
        <v>0</v>
      </c>
      <c r="K159" s="105">
        <v>0</v>
      </c>
      <c r="L159" s="105">
        <v>0</v>
      </c>
      <c r="M159" s="105">
        <v>0</v>
      </c>
      <c r="N159" s="105">
        <v>0</v>
      </c>
      <c r="O159" s="105">
        <v>0</v>
      </c>
      <c r="P159" s="105">
        <v>0</v>
      </c>
      <c r="Q159" s="105">
        <v>0</v>
      </c>
      <c r="R159" s="105">
        <v>0</v>
      </c>
      <c r="S159" s="105">
        <v>0</v>
      </c>
      <c r="T159" s="105">
        <v>0</v>
      </c>
      <c r="U159" s="105">
        <v>0</v>
      </c>
      <c r="V159" s="105">
        <v>0</v>
      </c>
      <c r="W159" s="105">
        <v>0</v>
      </c>
      <c r="X159" s="105">
        <v>0</v>
      </c>
      <c r="Y159" s="105">
        <v>0</v>
      </c>
      <c r="Z159" s="105">
        <v>0</v>
      </c>
      <c r="AA159" s="105">
        <v>0</v>
      </c>
      <c r="AB159" s="105">
        <v>0</v>
      </c>
      <c r="AC159" s="105">
        <v>0</v>
      </c>
      <c r="AD159" s="105">
        <v>0</v>
      </c>
      <c r="AE159" s="105">
        <v>0</v>
      </c>
      <c r="AF159" s="105">
        <v>0</v>
      </c>
      <c r="AG159" s="105">
        <v>0</v>
      </c>
      <c r="AH159" s="105">
        <v>0</v>
      </c>
      <c r="AI159" s="105">
        <v>0</v>
      </c>
      <c r="AJ159" s="105">
        <v>0</v>
      </c>
      <c r="AK159" s="105">
        <v>0</v>
      </c>
      <c r="AL159" s="105">
        <v>0</v>
      </c>
      <c r="AM159" s="105">
        <v>0</v>
      </c>
      <c r="AN159" s="105">
        <v>0</v>
      </c>
      <c r="AO159" s="105">
        <v>0</v>
      </c>
      <c r="AP159" s="105">
        <v>0</v>
      </c>
      <c r="AQ159" s="105">
        <v>0</v>
      </c>
      <c r="AR159" s="105">
        <v>0</v>
      </c>
      <c r="AS159" s="105">
        <v>0</v>
      </c>
      <c r="AT159" s="105">
        <v>0</v>
      </c>
      <c r="AU159" s="105">
        <v>0</v>
      </c>
      <c r="AV159" s="105">
        <v>0</v>
      </c>
      <c r="AW159" s="105">
        <v>0</v>
      </c>
      <c r="AX159" s="105">
        <v>0</v>
      </c>
      <c r="AY159" s="105">
        <v>0</v>
      </c>
    </row>
    <row r="160" spans="1:51">
      <c r="A160" s="108"/>
      <c r="B160" s="129">
        <v>39</v>
      </c>
      <c r="C160" s="105"/>
      <c r="D160" s="105">
        <v>0</v>
      </c>
      <c r="E160" s="105">
        <v>0</v>
      </c>
      <c r="F160" s="105">
        <v>0</v>
      </c>
      <c r="G160" s="105">
        <v>0</v>
      </c>
      <c r="H160" s="105">
        <v>0</v>
      </c>
      <c r="I160" s="105">
        <v>0</v>
      </c>
      <c r="J160" s="105">
        <v>0</v>
      </c>
      <c r="K160" s="105">
        <v>0</v>
      </c>
      <c r="L160" s="105">
        <v>0</v>
      </c>
      <c r="M160" s="105">
        <v>0</v>
      </c>
      <c r="N160" s="105">
        <v>0</v>
      </c>
      <c r="O160" s="105">
        <v>0</v>
      </c>
      <c r="P160" s="105">
        <v>0</v>
      </c>
      <c r="Q160" s="105">
        <v>0</v>
      </c>
      <c r="R160" s="105">
        <v>0</v>
      </c>
      <c r="S160" s="105">
        <v>0</v>
      </c>
      <c r="T160" s="105">
        <v>0</v>
      </c>
      <c r="U160" s="105">
        <v>0</v>
      </c>
      <c r="V160" s="105">
        <v>0</v>
      </c>
      <c r="W160" s="105">
        <v>0</v>
      </c>
      <c r="X160" s="105">
        <v>0</v>
      </c>
      <c r="Y160" s="105">
        <v>0</v>
      </c>
      <c r="Z160" s="105">
        <v>0</v>
      </c>
      <c r="AA160" s="105">
        <v>0</v>
      </c>
      <c r="AB160" s="105">
        <v>0</v>
      </c>
      <c r="AC160" s="105">
        <v>0</v>
      </c>
      <c r="AD160" s="105">
        <v>0</v>
      </c>
      <c r="AE160" s="105">
        <v>0</v>
      </c>
      <c r="AF160" s="105">
        <v>0</v>
      </c>
      <c r="AG160" s="105">
        <v>0</v>
      </c>
      <c r="AH160" s="105">
        <v>0</v>
      </c>
      <c r="AI160" s="105">
        <v>0</v>
      </c>
      <c r="AJ160" s="105">
        <v>0</v>
      </c>
      <c r="AK160" s="105">
        <v>0</v>
      </c>
      <c r="AL160" s="105">
        <v>0</v>
      </c>
      <c r="AM160" s="105">
        <v>0</v>
      </c>
      <c r="AN160" s="105">
        <v>0</v>
      </c>
      <c r="AO160" s="105">
        <v>0</v>
      </c>
      <c r="AP160" s="105">
        <v>0</v>
      </c>
      <c r="AQ160" s="105">
        <v>0</v>
      </c>
      <c r="AR160" s="105">
        <v>0</v>
      </c>
      <c r="AS160" s="105">
        <v>0</v>
      </c>
      <c r="AT160" s="105">
        <v>0</v>
      </c>
      <c r="AU160" s="105">
        <v>0</v>
      </c>
      <c r="AV160" s="105">
        <v>0</v>
      </c>
      <c r="AW160" s="105">
        <v>0</v>
      </c>
      <c r="AX160" s="105">
        <v>0</v>
      </c>
      <c r="AY160" s="105">
        <v>0</v>
      </c>
    </row>
    <row r="161" spans="1:52">
      <c r="A161" s="108"/>
      <c r="B161" s="129">
        <v>40</v>
      </c>
      <c r="C161" s="105"/>
      <c r="D161" s="105">
        <v>0</v>
      </c>
      <c r="E161" s="105">
        <v>0</v>
      </c>
      <c r="F161" s="105">
        <v>0</v>
      </c>
      <c r="G161" s="105">
        <v>0</v>
      </c>
      <c r="H161" s="105">
        <v>0</v>
      </c>
      <c r="I161" s="105">
        <v>0</v>
      </c>
      <c r="J161" s="105">
        <v>0</v>
      </c>
      <c r="K161" s="105">
        <v>0</v>
      </c>
      <c r="L161" s="105">
        <v>0</v>
      </c>
      <c r="M161" s="105">
        <v>0</v>
      </c>
      <c r="N161" s="105">
        <v>0</v>
      </c>
      <c r="O161" s="105">
        <v>0</v>
      </c>
      <c r="P161" s="105">
        <v>0</v>
      </c>
      <c r="Q161" s="105">
        <v>0</v>
      </c>
      <c r="R161" s="105">
        <v>0</v>
      </c>
      <c r="S161" s="105">
        <v>0</v>
      </c>
      <c r="T161" s="105">
        <v>0</v>
      </c>
      <c r="U161" s="105">
        <v>0</v>
      </c>
      <c r="V161" s="105">
        <v>0</v>
      </c>
      <c r="W161" s="105">
        <v>0</v>
      </c>
      <c r="X161" s="105">
        <v>0</v>
      </c>
      <c r="Y161" s="105">
        <v>0</v>
      </c>
      <c r="Z161" s="105">
        <v>0</v>
      </c>
      <c r="AA161" s="105">
        <v>0</v>
      </c>
      <c r="AB161" s="105">
        <v>0</v>
      </c>
      <c r="AC161" s="105">
        <v>0</v>
      </c>
      <c r="AD161" s="105">
        <v>0</v>
      </c>
      <c r="AE161" s="105">
        <v>0</v>
      </c>
      <c r="AF161" s="105">
        <v>0</v>
      </c>
      <c r="AG161" s="105">
        <v>0</v>
      </c>
      <c r="AH161" s="105">
        <v>0</v>
      </c>
      <c r="AI161" s="105">
        <v>0</v>
      </c>
      <c r="AJ161" s="105">
        <v>0</v>
      </c>
      <c r="AK161" s="105">
        <v>0</v>
      </c>
      <c r="AL161" s="105">
        <v>0</v>
      </c>
      <c r="AM161" s="105">
        <v>0</v>
      </c>
      <c r="AN161" s="105">
        <v>0</v>
      </c>
      <c r="AO161" s="105">
        <v>0</v>
      </c>
      <c r="AP161" s="105">
        <v>0</v>
      </c>
      <c r="AQ161" s="105">
        <v>0</v>
      </c>
      <c r="AR161" s="105">
        <v>0</v>
      </c>
      <c r="AS161" s="105">
        <v>0</v>
      </c>
      <c r="AT161" s="105">
        <v>0</v>
      </c>
      <c r="AU161" s="105">
        <v>0</v>
      </c>
      <c r="AV161" s="105">
        <v>0</v>
      </c>
      <c r="AW161" s="105">
        <v>0</v>
      </c>
      <c r="AX161" s="105">
        <v>0</v>
      </c>
      <c r="AY161" s="105">
        <v>0</v>
      </c>
    </row>
    <row r="162" spans="1:52">
      <c r="A162" s="108"/>
      <c r="B162" s="129">
        <v>41</v>
      </c>
      <c r="C162" s="105"/>
      <c r="D162" s="105">
        <v>0</v>
      </c>
      <c r="E162" s="105">
        <v>0</v>
      </c>
      <c r="F162" s="105">
        <v>0</v>
      </c>
      <c r="G162" s="105">
        <v>0</v>
      </c>
      <c r="H162" s="105">
        <v>0</v>
      </c>
      <c r="I162" s="105">
        <v>0</v>
      </c>
      <c r="J162" s="105">
        <v>0</v>
      </c>
      <c r="K162" s="105">
        <v>0</v>
      </c>
      <c r="L162" s="105">
        <v>0</v>
      </c>
      <c r="M162" s="105">
        <v>0</v>
      </c>
      <c r="N162" s="105">
        <v>0</v>
      </c>
      <c r="O162" s="105">
        <v>0</v>
      </c>
      <c r="P162" s="105">
        <v>0</v>
      </c>
      <c r="Q162" s="105">
        <v>0</v>
      </c>
      <c r="R162" s="105">
        <v>0</v>
      </c>
      <c r="S162" s="105">
        <v>0</v>
      </c>
      <c r="T162" s="105">
        <v>0</v>
      </c>
      <c r="U162" s="105">
        <v>0</v>
      </c>
      <c r="V162" s="105">
        <v>0</v>
      </c>
      <c r="W162" s="105">
        <v>0</v>
      </c>
      <c r="X162" s="105">
        <v>0</v>
      </c>
      <c r="Y162" s="105">
        <v>0</v>
      </c>
      <c r="Z162" s="105">
        <v>0</v>
      </c>
      <c r="AA162" s="105">
        <v>0</v>
      </c>
      <c r="AB162" s="105">
        <v>0</v>
      </c>
      <c r="AC162" s="105">
        <v>0</v>
      </c>
      <c r="AD162" s="105">
        <v>0</v>
      </c>
      <c r="AE162" s="105">
        <v>0</v>
      </c>
      <c r="AF162" s="105">
        <v>0</v>
      </c>
      <c r="AG162" s="105">
        <v>0</v>
      </c>
      <c r="AH162" s="105">
        <v>0</v>
      </c>
      <c r="AI162" s="105">
        <v>0</v>
      </c>
      <c r="AJ162" s="105">
        <v>0</v>
      </c>
      <c r="AK162" s="105">
        <v>0</v>
      </c>
      <c r="AL162" s="105">
        <v>0</v>
      </c>
      <c r="AM162" s="105">
        <v>0</v>
      </c>
      <c r="AN162" s="105">
        <v>0</v>
      </c>
      <c r="AO162" s="105">
        <v>0</v>
      </c>
      <c r="AP162" s="105">
        <v>0</v>
      </c>
      <c r="AQ162" s="105">
        <v>0</v>
      </c>
      <c r="AR162" s="105">
        <v>0</v>
      </c>
      <c r="AS162" s="105">
        <v>0</v>
      </c>
      <c r="AT162" s="105">
        <v>0</v>
      </c>
      <c r="AU162" s="105">
        <v>0</v>
      </c>
      <c r="AV162" s="105">
        <v>0</v>
      </c>
      <c r="AW162" s="105">
        <v>0</v>
      </c>
      <c r="AX162" s="105">
        <v>0</v>
      </c>
      <c r="AY162" s="105">
        <v>0</v>
      </c>
    </row>
    <row r="163" spans="1:52">
      <c r="A163" s="108"/>
      <c r="B163" s="129">
        <v>42</v>
      </c>
      <c r="C163" s="105"/>
      <c r="D163" s="105">
        <v>0</v>
      </c>
      <c r="E163" s="105">
        <v>0</v>
      </c>
      <c r="F163" s="105">
        <v>0</v>
      </c>
      <c r="G163" s="105">
        <v>0</v>
      </c>
      <c r="H163" s="105">
        <v>0</v>
      </c>
      <c r="I163" s="105">
        <v>0</v>
      </c>
      <c r="J163" s="105">
        <v>0</v>
      </c>
      <c r="K163" s="105">
        <v>0</v>
      </c>
      <c r="L163" s="105">
        <v>0</v>
      </c>
      <c r="M163" s="105">
        <v>0</v>
      </c>
      <c r="N163" s="105">
        <v>0</v>
      </c>
      <c r="O163" s="105">
        <v>0</v>
      </c>
      <c r="P163" s="105">
        <v>0</v>
      </c>
      <c r="Q163" s="105">
        <v>0</v>
      </c>
      <c r="R163" s="105">
        <v>0</v>
      </c>
      <c r="S163" s="105">
        <v>0</v>
      </c>
      <c r="T163" s="105">
        <v>0</v>
      </c>
      <c r="U163" s="105">
        <v>0</v>
      </c>
      <c r="V163" s="105">
        <v>0</v>
      </c>
      <c r="W163" s="105">
        <v>0</v>
      </c>
      <c r="X163" s="105">
        <v>0</v>
      </c>
      <c r="Y163" s="105">
        <v>0</v>
      </c>
      <c r="Z163" s="105">
        <v>0</v>
      </c>
      <c r="AA163" s="105">
        <v>0</v>
      </c>
      <c r="AB163" s="105">
        <v>0</v>
      </c>
      <c r="AC163" s="105">
        <v>0</v>
      </c>
      <c r="AD163" s="105">
        <v>0</v>
      </c>
      <c r="AE163" s="105">
        <v>0</v>
      </c>
      <c r="AF163" s="105">
        <v>0</v>
      </c>
      <c r="AG163" s="105">
        <v>0</v>
      </c>
      <c r="AH163" s="105">
        <v>0</v>
      </c>
      <c r="AI163" s="105">
        <v>0</v>
      </c>
      <c r="AJ163" s="105">
        <v>0</v>
      </c>
      <c r="AK163" s="105">
        <v>0</v>
      </c>
      <c r="AL163" s="105">
        <v>0</v>
      </c>
      <c r="AM163" s="105">
        <v>0</v>
      </c>
      <c r="AN163" s="105">
        <v>0</v>
      </c>
      <c r="AO163" s="105">
        <v>0</v>
      </c>
      <c r="AP163" s="105">
        <v>0</v>
      </c>
      <c r="AQ163" s="105">
        <v>0</v>
      </c>
      <c r="AR163" s="105">
        <v>0</v>
      </c>
      <c r="AS163" s="105">
        <v>0</v>
      </c>
      <c r="AT163" s="105">
        <v>0</v>
      </c>
      <c r="AU163" s="105">
        <v>0</v>
      </c>
      <c r="AV163" s="105">
        <v>0</v>
      </c>
      <c r="AW163" s="105">
        <v>0</v>
      </c>
      <c r="AX163" s="105">
        <v>0</v>
      </c>
      <c r="AY163" s="105">
        <v>0</v>
      </c>
    </row>
    <row r="164" spans="1:52">
      <c r="A164" s="108"/>
      <c r="B164" s="129">
        <v>43</v>
      </c>
      <c r="C164" s="105"/>
      <c r="D164" s="105">
        <v>0</v>
      </c>
      <c r="E164" s="105">
        <v>0</v>
      </c>
      <c r="F164" s="105">
        <v>0</v>
      </c>
      <c r="G164" s="105">
        <v>0</v>
      </c>
      <c r="H164" s="105">
        <v>0</v>
      </c>
      <c r="I164" s="105">
        <v>0</v>
      </c>
      <c r="J164" s="105">
        <v>0</v>
      </c>
      <c r="K164" s="105">
        <v>0</v>
      </c>
      <c r="L164" s="105">
        <v>0</v>
      </c>
      <c r="M164" s="105">
        <v>0</v>
      </c>
      <c r="N164" s="105">
        <v>0</v>
      </c>
      <c r="O164" s="105">
        <v>0</v>
      </c>
      <c r="P164" s="105">
        <v>0</v>
      </c>
      <c r="Q164" s="105">
        <v>0</v>
      </c>
      <c r="R164" s="105">
        <v>0</v>
      </c>
      <c r="S164" s="105">
        <v>0</v>
      </c>
      <c r="T164" s="105">
        <v>0</v>
      </c>
      <c r="U164" s="105">
        <v>0</v>
      </c>
      <c r="V164" s="105">
        <v>0</v>
      </c>
      <c r="W164" s="105">
        <v>0</v>
      </c>
      <c r="X164" s="105">
        <v>0</v>
      </c>
      <c r="Y164" s="105">
        <v>0</v>
      </c>
      <c r="Z164" s="105">
        <v>0</v>
      </c>
      <c r="AA164" s="105">
        <v>0</v>
      </c>
      <c r="AB164" s="105">
        <v>0</v>
      </c>
      <c r="AC164" s="105">
        <v>0</v>
      </c>
      <c r="AD164" s="105">
        <v>0</v>
      </c>
      <c r="AE164" s="105">
        <v>0</v>
      </c>
      <c r="AF164" s="105">
        <v>0</v>
      </c>
      <c r="AG164" s="105">
        <v>0</v>
      </c>
      <c r="AH164" s="105">
        <v>0</v>
      </c>
      <c r="AI164" s="105">
        <v>0</v>
      </c>
      <c r="AJ164" s="105">
        <v>0</v>
      </c>
      <c r="AK164" s="105">
        <v>0</v>
      </c>
      <c r="AL164" s="105">
        <v>0</v>
      </c>
      <c r="AM164" s="105">
        <v>0</v>
      </c>
      <c r="AN164" s="105">
        <v>0</v>
      </c>
      <c r="AO164" s="105">
        <v>0</v>
      </c>
      <c r="AP164" s="105">
        <v>0</v>
      </c>
      <c r="AQ164" s="105">
        <v>0</v>
      </c>
      <c r="AR164" s="105">
        <v>0</v>
      </c>
      <c r="AS164" s="105">
        <v>0</v>
      </c>
      <c r="AT164" s="105">
        <v>0</v>
      </c>
      <c r="AU164" s="105">
        <v>0</v>
      </c>
      <c r="AV164" s="105">
        <v>0</v>
      </c>
      <c r="AW164" s="105">
        <v>0</v>
      </c>
      <c r="AX164" s="105">
        <v>0</v>
      </c>
      <c r="AY164" s="105">
        <v>0</v>
      </c>
    </row>
    <row r="165" spans="1:52">
      <c r="A165" s="108"/>
      <c r="B165" s="129">
        <v>44</v>
      </c>
      <c r="C165" s="105"/>
      <c r="D165" s="105">
        <v>0</v>
      </c>
      <c r="E165" s="105">
        <v>0</v>
      </c>
      <c r="F165" s="105">
        <v>0</v>
      </c>
      <c r="G165" s="105">
        <v>0</v>
      </c>
      <c r="H165" s="105">
        <v>0</v>
      </c>
      <c r="I165" s="105">
        <v>0</v>
      </c>
      <c r="J165" s="105">
        <v>0</v>
      </c>
      <c r="K165" s="105">
        <v>0</v>
      </c>
      <c r="L165" s="105">
        <v>0</v>
      </c>
      <c r="M165" s="105">
        <v>0</v>
      </c>
      <c r="N165" s="105">
        <v>0</v>
      </c>
      <c r="O165" s="105">
        <v>0</v>
      </c>
      <c r="P165" s="105">
        <v>0</v>
      </c>
      <c r="Q165" s="105">
        <v>0</v>
      </c>
      <c r="R165" s="105">
        <v>0</v>
      </c>
      <c r="S165" s="105">
        <v>0</v>
      </c>
      <c r="T165" s="105">
        <v>0</v>
      </c>
      <c r="U165" s="105">
        <v>0</v>
      </c>
      <c r="V165" s="105">
        <v>0</v>
      </c>
      <c r="W165" s="105">
        <v>0</v>
      </c>
      <c r="X165" s="105">
        <v>0</v>
      </c>
      <c r="Y165" s="105">
        <v>0</v>
      </c>
      <c r="Z165" s="105">
        <v>0</v>
      </c>
      <c r="AA165" s="105">
        <v>0</v>
      </c>
      <c r="AB165" s="105">
        <v>0</v>
      </c>
      <c r="AC165" s="105">
        <v>0</v>
      </c>
      <c r="AD165" s="105">
        <v>0</v>
      </c>
      <c r="AE165" s="105">
        <v>0</v>
      </c>
      <c r="AF165" s="105">
        <v>0</v>
      </c>
      <c r="AG165" s="105">
        <v>0</v>
      </c>
      <c r="AH165" s="105">
        <v>0</v>
      </c>
      <c r="AI165" s="105">
        <v>0</v>
      </c>
      <c r="AJ165" s="105">
        <v>0</v>
      </c>
      <c r="AK165" s="105">
        <v>0</v>
      </c>
      <c r="AL165" s="105">
        <v>0</v>
      </c>
      <c r="AM165" s="105">
        <v>0</v>
      </c>
      <c r="AN165" s="105">
        <v>0</v>
      </c>
      <c r="AO165" s="105">
        <v>0</v>
      </c>
      <c r="AP165" s="105">
        <v>0</v>
      </c>
      <c r="AQ165" s="105">
        <v>0</v>
      </c>
      <c r="AR165" s="105">
        <v>0</v>
      </c>
      <c r="AS165" s="105">
        <v>0</v>
      </c>
      <c r="AT165" s="105">
        <v>0</v>
      </c>
      <c r="AU165" s="105">
        <v>0</v>
      </c>
      <c r="AV165" s="105">
        <v>0</v>
      </c>
      <c r="AW165" s="105">
        <v>0</v>
      </c>
      <c r="AX165" s="105">
        <v>0</v>
      </c>
      <c r="AY165" s="105">
        <v>0</v>
      </c>
    </row>
    <row r="166" spans="1:52">
      <c r="A166" s="108"/>
      <c r="B166" s="129">
        <v>45</v>
      </c>
      <c r="C166" s="105"/>
      <c r="D166" s="105">
        <v>0</v>
      </c>
      <c r="E166" s="105">
        <v>0</v>
      </c>
      <c r="F166" s="105">
        <v>0</v>
      </c>
      <c r="G166" s="105">
        <v>0</v>
      </c>
      <c r="H166" s="105">
        <v>0</v>
      </c>
      <c r="I166" s="105">
        <v>0</v>
      </c>
      <c r="J166" s="105">
        <v>0</v>
      </c>
      <c r="K166" s="105">
        <v>0</v>
      </c>
      <c r="L166" s="105">
        <v>0</v>
      </c>
      <c r="M166" s="105">
        <v>0</v>
      </c>
      <c r="N166" s="105">
        <v>0</v>
      </c>
      <c r="O166" s="105">
        <v>0</v>
      </c>
      <c r="P166" s="105">
        <v>0</v>
      </c>
      <c r="Q166" s="105">
        <v>0</v>
      </c>
      <c r="R166" s="105">
        <v>0</v>
      </c>
      <c r="S166" s="105">
        <v>0</v>
      </c>
      <c r="T166" s="105">
        <v>0</v>
      </c>
      <c r="U166" s="105">
        <v>0</v>
      </c>
      <c r="V166" s="105">
        <v>0</v>
      </c>
      <c r="W166" s="105">
        <v>0</v>
      </c>
      <c r="X166" s="105">
        <v>0</v>
      </c>
      <c r="Y166" s="105">
        <v>0</v>
      </c>
      <c r="Z166" s="105">
        <v>0</v>
      </c>
      <c r="AA166" s="105">
        <v>0</v>
      </c>
      <c r="AB166" s="105">
        <v>0</v>
      </c>
      <c r="AC166" s="105">
        <v>0</v>
      </c>
      <c r="AD166" s="105">
        <v>0</v>
      </c>
      <c r="AE166" s="105">
        <v>0</v>
      </c>
      <c r="AF166" s="105">
        <v>0</v>
      </c>
      <c r="AG166" s="105">
        <v>0</v>
      </c>
      <c r="AH166" s="105">
        <v>0</v>
      </c>
      <c r="AI166" s="105">
        <v>0</v>
      </c>
      <c r="AJ166" s="105">
        <v>0</v>
      </c>
      <c r="AK166" s="105">
        <v>0</v>
      </c>
      <c r="AL166" s="105">
        <v>0</v>
      </c>
      <c r="AM166" s="105">
        <v>0</v>
      </c>
      <c r="AN166" s="105">
        <v>0</v>
      </c>
      <c r="AO166" s="105">
        <v>0</v>
      </c>
      <c r="AP166" s="105">
        <v>0</v>
      </c>
      <c r="AQ166" s="105">
        <v>0</v>
      </c>
      <c r="AR166" s="105">
        <v>0</v>
      </c>
      <c r="AS166" s="105">
        <v>0</v>
      </c>
      <c r="AT166" s="105">
        <v>0</v>
      </c>
      <c r="AU166" s="105">
        <v>0</v>
      </c>
      <c r="AV166" s="105">
        <v>0</v>
      </c>
      <c r="AW166" s="105">
        <v>0</v>
      </c>
      <c r="AX166" s="105">
        <v>0</v>
      </c>
      <c r="AY166" s="105">
        <v>0</v>
      </c>
    </row>
    <row r="167" spans="1:52">
      <c r="A167" s="108"/>
      <c r="B167" s="129">
        <v>46</v>
      </c>
      <c r="C167" s="105"/>
      <c r="D167" s="105">
        <v>0</v>
      </c>
      <c r="E167" s="105">
        <v>0</v>
      </c>
      <c r="F167" s="105">
        <v>0</v>
      </c>
      <c r="G167" s="105">
        <v>0</v>
      </c>
      <c r="H167" s="105">
        <v>0</v>
      </c>
      <c r="I167" s="105">
        <v>0</v>
      </c>
      <c r="J167" s="105">
        <v>0</v>
      </c>
      <c r="K167" s="105">
        <v>0</v>
      </c>
      <c r="L167" s="105">
        <v>0</v>
      </c>
      <c r="M167" s="105">
        <v>0</v>
      </c>
      <c r="N167" s="105">
        <v>0</v>
      </c>
      <c r="O167" s="105">
        <v>0</v>
      </c>
      <c r="P167" s="105">
        <v>0</v>
      </c>
      <c r="Q167" s="105">
        <v>0</v>
      </c>
      <c r="R167" s="105">
        <v>0</v>
      </c>
      <c r="S167" s="105">
        <v>0</v>
      </c>
      <c r="T167" s="105">
        <v>0</v>
      </c>
      <c r="U167" s="105">
        <v>0</v>
      </c>
      <c r="V167" s="105">
        <v>0</v>
      </c>
      <c r="W167" s="105">
        <v>0</v>
      </c>
      <c r="X167" s="105">
        <v>0</v>
      </c>
      <c r="Y167" s="105">
        <v>0</v>
      </c>
      <c r="Z167" s="105">
        <v>0</v>
      </c>
      <c r="AA167" s="105">
        <v>0</v>
      </c>
      <c r="AB167" s="105">
        <v>0</v>
      </c>
      <c r="AC167" s="105">
        <v>0</v>
      </c>
      <c r="AD167" s="105">
        <v>0</v>
      </c>
      <c r="AE167" s="105">
        <v>0</v>
      </c>
      <c r="AF167" s="105">
        <v>0</v>
      </c>
      <c r="AG167" s="105">
        <v>0</v>
      </c>
      <c r="AH167" s="105">
        <v>0</v>
      </c>
      <c r="AI167" s="105">
        <v>0</v>
      </c>
      <c r="AJ167" s="105">
        <v>0</v>
      </c>
      <c r="AK167" s="105">
        <v>0</v>
      </c>
      <c r="AL167" s="105">
        <v>0</v>
      </c>
      <c r="AM167" s="105">
        <v>0</v>
      </c>
      <c r="AN167" s="105">
        <v>0</v>
      </c>
      <c r="AO167" s="105">
        <v>0</v>
      </c>
      <c r="AP167" s="105">
        <v>0</v>
      </c>
      <c r="AQ167" s="105">
        <v>0</v>
      </c>
      <c r="AR167" s="105">
        <v>0</v>
      </c>
      <c r="AS167" s="105">
        <v>0</v>
      </c>
      <c r="AT167" s="105">
        <v>0</v>
      </c>
      <c r="AU167" s="105">
        <v>0</v>
      </c>
      <c r="AV167" s="105">
        <v>0</v>
      </c>
      <c r="AW167" s="105">
        <v>0</v>
      </c>
      <c r="AX167" s="105">
        <v>0</v>
      </c>
      <c r="AY167" s="105">
        <v>0</v>
      </c>
    </row>
    <row r="168" spans="1:52">
      <c r="A168" s="108"/>
      <c r="B168" s="129">
        <v>47</v>
      </c>
      <c r="C168" s="105"/>
      <c r="D168" s="105">
        <v>0</v>
      </c>
      <c r="E168" s="105">
        <v>0</v>
      </c>
      <c r="F168" s="105">
        <v>0</v>
      </c>
      <c r="G168" s="105">
        <v>0</v>
      </c>
      <c r="H168" s="105">
        <v>0</v>
      </c>
      <c r="I168" s="105">
        <v>0</v>
      </c>
      <c r="J168" s="105">
        <v>0</v>
      </c>
      <c r="K168" s="105">
        <v>0</v>
      </c>
      <c r="L168" s="105">
        <v>0</v>
      </c>
      <c r="M168" s="105">
        <v>0</v>
      </c>
      <c r="N168" s="105">
        <v>0</v>
      </c>
      <c r="O168" s="105">
        <v>0</v>
      </c>
      <c r="P168" s="105">
        <v>0</v>
      </c>
      <c r="Q168" s="105">
        <v>0</v>
      </c>
      <c r="R168" s="105">
        <v>0</v>
      </c>
      <c r="S168" s="105">
        <v>0</v>
      </c>
      <c r="T168" s="105">
        <v>0</v>
      </c>
      <c r="U168" s="105">
        <v>0</v>
      </c>
      <c r="V168" s="105">
        <v>0</v>
      </c>
      <c r="W168" s="105">
        <v>0</v>
      </c>
      <c r="X168" s="105">
        <v>0</v>
      </c>
      <c r="Y168" s="105">
        <v>0</v>
      </c>
      <c r="Z168" s="105">
        <v>0</v>
      </c>
      <c r="AA168" s="105">
        <v>0</v>
      </c>
      <c r="AB168" s="105">
        <v>0</v>
      </c>
      <c r="AC168" s="105">
        <v>0</v>
      </c>
      <c r="AD168" s="105">
        <v>0</v>
      </c>
      <c r="AE168" s="105">
        <v>0</v>
      </c>
      <c r="AF168" s="105">
        <v>0</v>
      </c>
      <c r="AG168" s="105">
        <v>0</v>
      </c>
      <c r="AH168" s="105">
        <v>0</v>
      </c>
      <c r="AI168" s="105">
        <v>0</v>
      </c>
      <c r="AJ168" s="105">
        <v>0</v>
      </c>
      <c r="AK168" s="105">
        <v>0</v>
      </c>
      <c r="AL168" s="105">
        <v>0</v>
      </c>
      <c r="AM168" s="105">
        <v>0</v>
      </c>
      <c r="AN168" s="105">
        <v>0</v>
      </c>
      <c r="AO168" s="105">
        <v>0</v>
      </c>
      <c r="AP168" s="105">
        <v>0</v>
      </c>
      <c r="AQ168" s="105">
        <v>0</v>
      </c>
      <c r="AR168" s="105">
        <v>0</v>
      </c>
      <c r="AS168" s="105">
        <v>0</v>
      </c>
      <c r="AT168" s="105">
        <v>0</v>
      </c>
      <c r="AU168" s="105">
        <v>0</v>
      </c>
      <c r="AV168" s="105">
        <v>0</v>
      </c>
      <c r="AW168" s="105">
        <v>0</v>
      </c>
      <c r="AX168" s="105">
        <v>0</v>
      </c>
      <c r="AY168" s="105">
        <v>0</v>
      </c>
    </row>
    <row r="169" spans="1:52">
      <c r="A169" s="108"/>
      <c r="B169" s="129">
        <v>48</v>
      </c>
      <c r="C169" s="105"/>
      <c r="D169" s="105">
        <v>0</v>
      </c>
      <c r="E169" s="105">
        <v>0</v>
      </c>
      <c r="F169" s="105">
        <v>0</v>
      </c>
      <c r="G169" s="105">
        <v>0</v>
      </c>
      <c r="H169" s="105">
        <v>0</v>
      </c>
      <c r="I169" s="105">
        <v>0</v>
      </c>
      <c r="J169" s="105">
        <v>0</v>
      </c>
      <c r="K169" s="105">
        <v>0</v>
      </c>
      <c r="L169" s="105">
        <v>0</v>
      </c>
      <c r="M169" s="105">
        <v>0</v>
      </c>
      <c r="N169" s="105">
        <v>0</v>
      </c>
      <c r="O169" s="105">
        <v>0</v>
      </c>
      <c r="P169" s="105">
        <v>0</v>
      </c>
      <c r="Q169" s="105">
        <v>0</v>
      </c>
      <c r="R169" s="105">
        <v>0</v>
      </c>
      <c r="S169" s="105">
        <v>0</v>
      </c>
      <c r="T169" s="105">
        <v>0</v>
      </c>
      <c r="U169" s="105">
        <v>0</v>
      </c>
      <c r="V169" s="105">
        <v>0</v>
      </c>
      <c r="W169" s="105">
        <v>0</v>
      </c>
      <c r="X169" s="105">
        <v>0</v>
      </c>
      <c r="Y169" s="105">
        <v>0</v>
      </c>
      <c r="Z169" s="105">
        <v>0</v>
      </c>
      <c r="AA169" s="105">
        <v>0</v>
      </c>
      <c r="AB169" s="105">
        <v>0</v>
      </c>
      <c r="AC169" s="105">
        <v>0</v>
      </c>
      <c r="AD169" s="105">
        <v>0</v>
      </c>
      <c r="AE169" s="105">
        <v>0</v>
      </c>
      <c r="AF169" s="105">
        <v>0</v>
      </c>
      <c r="AG169" s="105">
        <v>0</v>
      </c>
      <c r="AH169" s="105">
        <v>0</v>
      </c>
      <c r="AI169" s="105">
        <v>0</v>
      </c>
      <c r="AJ169" s="105">
        <v>0</v>
      </c>
      <c r="AK169" s="105">
        <v>0</v>
      </c>
      <c r="AL169" s="105">
        <v>0</v>
      </c>
      <c r="AM169" s="105">
        <v>0</v>
      </c>
      <c r="AN169" s="105">
        <v>0</v>
      </c>
      <c r="AO169" s="105">
        <v>0</v>
      </c>
      <c r="AP169" s="105">
        <v>0</v>
      </c>
      <c r="AQ169" s="105">
        <v>0</v>
      </c>
      <c r="AR169" s="105">
        <v>0</v>
      </c>
      <c r="AS169" s="105">
        <v>0</v>
      </c>
      <c r="AT169" s="105">
        <v>0</v>
      </c>
      <c r="AU169" s="105">
        <v>0</v>
      </c>
      <c r="AV169" s="105">
        <v>0</v>
      </c>
      <c r="AW169" s="105">
        <v>0</v>
      </c>
      <c r="AX169" s="105">
        <v>0</v>
      </c>
      <c r="AY169" s="105">
        <v>0</v>
      </c>
    </row>
    <row r="170" spans="1:52">
      <c r="A170" s="127"/>
      <c r="B170" s="131" t="s">
        <v>295</v>
      </c>
      <c r="C170" s="113"/>
      <c r="D170" s="124">
        <v>0</v>
      </c>
      <c r="E170" s="124">
        <v>0</v>
      </c>
      <c r="F170" s="124">
        <v>0</v>
      </c>
      <c r="G170" s="124">
        <v>0</v>
      </c>
      <c r="H170" s="124">
        <v>0</v>
      </c>
      <c r="I170" s="124">
        <v>0</v>
      </c>
      <c r="J170" s="124">
        <v>0</v>
      </c>
      <c r="K170" s="124">
        <v>0</v>
      </c>
      <c r="L170" s="124">
        <v>0</v>
      </c>
      <c r="M170" s="124">
        <v>0</v>
      </c>
      <c r="N170" s="124">
        <v>0</v>
      </c>
      <c r="O170" s="124">
        <v>0</v>
      </c>
      <c r="P170" s="124">
        <v>0</v>
      </c>
      <c r="Q170" s="124">
        <v>0</v>
      </c>
      <c r="R170" s="124">
        <v>0</v>
      </c>
      <c r="S170" s="124">
        <v>0</v>
      </c>
      <c r="T170" s="124">
        <v>0</v>
      </c>
      <c r="U170" s="124">
        <v>0</v>
      </c>
      <c r="V170" s="124">
        <v>0</v>
      </c>
      <c r="W170" s="124">
        <v>0</v>
      </c>
      <c r="X170" s="124">
        <v>0</v>
      </c>
      <c r="Y170" s="124">
        <v>0</v>
      </c>
      <c r="Z170" s="124">
        <v>0</v>
      </c>
      <c r="AA170" s="124">
        <v>0</v>
      </c>
      <c r="AB170" s="124">
        <v>0</v>
      </c>
      <c r="AC170" s="124">
        <v>0</v>
      </c>
      <c r="AD170" s="124">
        <v>0</v>
      </c>
      <c r="AE170" s="124">
        <v>0</v>
      </c>
      <c r="AF170" s="124">
        <v>0</v>
      </c>
      <c r="AG170" s="124">
        <v>0</v>
      </c>
      <c r="AH170" s="124">
        <v>0</v>
      </c>
      <c r="AI170" s="124">
        <v>0</v>
      </c>
      <c r="AJ170" s="124">
        <v>0</v>
      </c>
      <c r="AK170" s="124">
        <v>0</v>
      </c>
      <c r="AL170" s="124">
        <v>0</v>
      </c>
      <c r="AM170" s="124">
        <v>0</v>
      </c>
      <c r="AN170" s="124">
        <v>0</v>
      </c>
      <c r="AO170" s="124">
        <v>0</v>
      </c>
      <c r="AP170" s="124">
        <v>0</v>
      </c>
      <c r="AQ170" s="124">
        <v>0</v>
      </c>
      <c r="AR170" s="124">
        <v>0</v>
      </c>
      <c r="AS170" s="124">
        <v>0</v>
      </c>
      <c r="AT170" s="124">
        <v>0</v>
      </c>
      <c r="AU170" s="124">
        <v>0</v>
      </c>
      <c r="AV170" s="124">
        <v>0</v>
      </c>
      <c r="AW170" s="124">
        <v>0</v>
      </c>
      <c r="AX170" s="124">
        <v>0</v>
      </c>
      <c r="AY170" s="124">
        <v>0</v>
      </c>
      <c r="AZ170" s="106">
        <f>SUM($D170:$AY170)</f>
        <v>0</v>
      </c>
    </row>
    <row r="172" spans="1:52">
      <c r="A172" s="101" t="s">
        <v>124</v>
      </c>
      <c r="B172" s="132" t="s">
        <v>296</v>
      </c>
      <c r="C172" s="133"/>
      <c r="D172" s="133">
        <v>0.68254000000000004</v>
      </c>
      <c r="E172" s="133">
        <v>0.68254000000000004</v>
      </c>
      <c r="F172" s="133">
        <v>0.68254000000000004</v>
      </c>
      <c r="G172" s="133">
        <v>0.68254000000000004</v>
      </c>
      <c r="H172" s="133">
        <v>0.68254000000000004</v>
      </c>
      <c r="I172" s="133">
        <v>0.68254000000000004</v>
      </c>
      <c r="J172" s="133">
        <v>0.68254000000000004</v>
      </c>
      <c r="K172" s="133">
        <v>0.68254000000000004</v>
      </c>
      <c r="L172" s="133">
        <v>0.68254000000000004</v>
      </c>
      <c r="M172" s="133">
        <v>0.68254000000000004</v>
      </c>
      <c r="N172" s="133">
        <v>0.68254000000000004</v>
      </c>
      <c r="O172" s="133">
        <v>0.68254000000000004</v>
      </c>
      <c r="P172" s="133">
        <v>0.68254000000000004</v>
      </c>
      <c r="Q172" s="133">
        <v>0.68254000000000004</v>
      </c>
      <c r="R172" s="133">
        <v>0.68254000000000004</v>
      </c>
      <c r="S172" s="133">
        <v>0.68254000000000004</v>
      </c>
      <c r="T172" s="133">
        <v>0.68254000000000004</v>
      </c>
      <c r="U172" s="133">
        <v>0.68254000000000004</v>
      </c>
      <c r="V172" s="133">
        <v>0.68254000000000004</v>
      </c>
      <c r="W172" s="133">
        <v>0.68254000000000004</v>
      </c>
      <c r="X172" s="133">
        <v>0.68254000000000004</v>
      </c>
      <c r="Y172" s="133">
        <v>0.68254000000000004</v>
      </c>
      <c r="Z172" s="133">
        <v>0.68254000000000004</v>
      </c>
      <c r="AA172" s="133">
        <v>0.68254000000000004</v>
      </c>
      <c r="AB172" s="133">
        <v>0.68254000000000004</v>
      </c>
      <c r="AC172" s="133">
        <v>0.68254000000000004</v>
      </c>
      <c r="AD172" s="133">
        <v>0.68254000000000004</v>
      </c>
      <c r="AE172" s="133">
        <v>0.68254000000000004</v>
      </c>
      <c r="AF172" s="133">
        <v>0.68254000000000004</v>
      </c>
      <c r="AG172" s="133">
        <v>0.68254000000000004</v>
      </c>
      <c r="AH172" s="133">
        <v>0.68254000000000004</v>
      </c>
      <c r="AI172" s="133">
        <v>0.68254000000000004</v>
      </c>
      <c r="AJ172" s="133">
        <v>0.68254000000000004</v>
      </c>
      <c r="AK172" s="133">
        <v>0.68254000000000004</v>
      </c>
      <c r="AL172" s="133">
        <v>0.68254000000000004</v>
      </c>
      <c r="AM172" s="133">
        <v>0.68254000000000004</v>
      </c>
      <c r="AN172" s="133">
        <v>0.68254000000000004</v>
      </c>
      <c r="AO172" s="133">
        <v>0.68254000000000004</v>
      </c>
      <c r="AP172" s="133">
        <v>0.68254000000000004</v>
      </c>
      <c r="AQ172" s="133">
        <v>0.68254000000000004</v>
      </c>
      <c r="AR172" s="133">
        <v>0.68254000000000004</v>
      </c>
      <c r="AS172" s="133">
        <v>0.68254000000000004</v>
      </c>
      <c r="AT172" s="133">
        <v>0.68254000000000004</v>
      </c>
      <c r="AU172" s="133">
        <v>0.68254000000000004</v>
      </c>
      <c r="AV172" s="133">
        <v>0.68254000000000004</v>
      </c>
      <c r="AW172" s="133">
        <v>0.68254000000000004</v>
      </c>
      <c r="AX172" s="133">
        <v>0.68254000000000004</v>
      </c>
      <c r="AY172" s="133">
        <v>0.68254000000000004</v>
      </c>
    </row>
    <row r="174" spans="1:52">
      <c r="A174" s="101" t="s">
        <v>271</v>
      </c>
    </row>
    <row r="175" spans="1:52">
      <c r="A175" s="134" t="s">
        <v>125</v>
      </c>
      <c r="B175" s="134" t="s">
        <v>297</v>
      </c>
      <c r="C175" s="123" t="s">
        <v>292</v>
      </c>
      <c r="D175" s="123">
        <f t="shared" ref="D175:AY175" si="1">SUM(D95:D98)</f>
        <v>468.999235</v>
      </c>
      <c r="E175" s="123">
        <f t="shared" si="1"/>
        <v>614.99847</v>
      </c>
      <c r="F175" s="123">
        <f t="shared" si="1"/>
        <v>752.997705</v>
      </c>
      <c r="G175" s="123">
        <f t="shared" si="1"/>
        <v>836.99694</v>
      </c>
      <c r="H175" s="123">
        <f t="shared" si="1"/>
        <v>930.99617499999999</v>
      </c>
      <c r="I175" s="123">
        <f t="shared" si="1"/>
        <v>1058.99541</v>
      </c>
      <c r="J175" s="123">
        <f t="shared" si="1"/>
        <v>1207.994645</v>
      </c>
      <c r="K175" s="123">
        <f t="shared" si="1"/>
        <v>1199.99388</v>
      </c>
      <c r="L175" s="123">
        <f t="shared" si="1"/>
        <v>1250.9930300000001</v>
      </c>
      <c r="M175" s="123">
        <f t="shared" si="1"/>
        <v>1305.99218</v>
      </c>
      <c r="N175" s="123">
        <f t="shared" si="1"/>
        <v>1461.9913299999998</v>
      </c>
      <c r="O175" s="123">
        <f t="shared" si="1"/>
        <v>1557.9904799999999</v>
      </c>
      <c r="P175" s="123">
        <f t="shared" si="1"/>
        <v>1556.9897149999999</v>
      </c>
      <c r="Q175" s="123">
        <f t="shared" si="1"/>
        <v>1577.9889499999999</v>
      </c>
      <c r="R175" s="123">
        <f t="shared" si="1"/>
        <v>1637.9881849999999</v>
      </c>
      <c r="S175" s="123">
        <f t="shared" si="1"/>
        <v>1728.9874199999999</v>
      </c>
      <c r="T175" s="123">
        <f t="shared" si="1"/>
        <v>1811.99694</v>
      </c>
      <c r="U175" s="123">
        <f t="shared" si="1"/>
        <v>1811.99694</v>
      </c>
      <c r="V175" s="123">
        <f t="shared" si="1"/>
        <v>1811.99694</v>
      </c>
      <c r="W175" s="123">
        <f t="shared" si="1"/>
        <v>1759.996175</v>
      </c>
      <c r="X175" s="123">
        <f t="shared" si="1"/>
        <v>1843.99677</v>
      </c>
      <c r="Y175" s="123">
        <f t="shared" si="1"/>
        <v>1875.9965999999999</v>
      </c>
      <c r="Z175" s="123">
        <f t="shared" si="1"/>
        <v>1907.9964299999999</v>
      </c>
      <c r="AA175" s="123">
        <f t="shared" si="1"/>
        <v>1939.9962599999999</v>
      </c>
      <c r="AB175" s="123">
        <f t="shared" si="1"/>
        <v>1939.996345</v>
      </c>
      <c r="AC175" s="123">
        <f t="shared" si="1"/>
        <v>1907.9954949999999</v>
      </c>
      <c r="AD175" s="123">
        <f t="shared" si="1"/>
        <v>1916.9946449999998</v>
      </c>
      <c r="AE175" s="123">
        <f t="shared" si="1"/>
        <v>1939.9965999999999</v>
      </c>
      <c r="AF175" s="123">
        <f t="shared" si="1"/>
        <v>1923.9965999999999</v>
      </c>
      <c r="AG175" s="123">
        <f t="shared" si="1"/>
        <v>1907.9965999999999</v>
      </c>
      <c r="AH175" s="123">
        <f t="shared" si="1"/>
        <v>1891.9965999999999</v>
      </c>
      <c r="AI175" s="123">
        <f t="shared" si="1"/>
        <v>1875.9965999999999</v>
      </c>
      <c r="AJ175" s="123">
        <f t="shared" si="1"/>
        <v>1891.9965999999999</v>
      </c>
      <c r="AK175" s="123">
        <f t="shared" si="1"/>
        <v>1907.9965999999999</v>
      </c>
      <c r="AL175" s="123">
        <f t="shared" si="1"/>
        <v>1923.9965999999999</v>
      </c>
      <c r="AM175" s="123">
        <f t="shared" si="1"/>
        <v>1868.9957499999998</v>
      </c>
      <c r="AN175" s="123">
        <f t="shared" si="1"/>
        <v>1955.9965149999998</v>
      </c>
      <c r="AO175" s="123">
        <f t="shared" si="1"/>
        <v>1954.99558</v>
      </c>
      <c r="AP175" s="123">
        <f t="shared" si="1"/>
        <v>1987.996345</v>
      </c>
      <c r="AQ175" s="123">
        <f t="shared" si="1"/>
        <v>1989.99541</v>
      </c>
      <c r="AR175" s="123">
        <f t="shared" si="1"/>
        <v>1931.9945600000001</v>
      </c>
      <c r="AS175" s="123">
        <f t="shared" si="1"/>
        <v>1939.9964299999999</v>
      </c>
      <c r="AT175" s="123">
        <f t="shared" si="1"/>
        <v>1907.9965149999998</v>
      </c>
      <c r="AU175" s="123">
        <f t="shared" si="1"/>
        <v>1875.9965999999999</v>
      </c>
      <c r="AV175" s="123">
        <f t="shared" si="1"/>
        <v>1891.9965999999999</v>
      </c>
      <c r="AW175" s="123">
        <f t="shared" si="1"/>
        <v>1907.9965999999999</v>
      </c>
      <c r="AX175" s="123">
        <f t="shared" si="1"/>
        <v>1878.9957499999998</v>
      </c>
      <c r="AY175" s="123">
        <f t="shared" si="1"/>
        <v>1847.9948999999997</v>
      </c>
    </row>
    <row r="176" spans="1:52">
      <c r="A176" s="124"/>
      <c r="B176" s="135" t="s">
        <v>298</v>
      </c>
      <c r="C176" s="124" t="s">
        <v>292</v>
      </c>
      <c r="D176" s="124">
        <v>323</v>
      </c>
      <c r="E176" s="124">
        <v>331</v>
      </c>
      <c r="F176" s="124">
        <v>385</v>
      </c>
      <c r="G176" s="124">
        <v>375</v>
      </c>
      <c r="H176" s="124">
        <v>341</v>
      </c>
      <c r="I176" s="124">
        <v>320</v>
      </c>
      <c r="J176" s="124">
        <v>477</v>
      </c>
      <c r="K176" s="124">
        <v>418</v>
      </c>
      <c r="L176" s="124">
        <v>414</v>
      </c>
      <c r="M176" s="124">
        <v>313</v>
      </c>
      <c r="N176" s="124">
        <v>373</v>
      </c>
      <c r="O176" s="124">
        <v>454</v>
      </c>
      <c r="P176" s="124">
        <v>432</v>
      </c>
      <c r="Q176" s="124">
        <v>393</v>
      </c>
      <c r="R176" s="124">
        <v>362</v>
      </c>
      <c r="S176" s="124">
        <v>346</v>
      </c>
      <c r="T176" s="124">
        <v>449</v>
      </c>
      <c r="U176" s="124">
        <v>374</v>
      </c>
      <c r="V176" s="124">
        <v>505</v>
      </c>
      <c r="W176" s="124">
        <v>336</v>
      </c>
      <c r="X176" s="124">
        <v>362</v>
      </c>
      <c r="Y176" s="124">
        <v>439</v>
      </c>
      <c r="Z176" s="124">
        <v>385</v>
      </c>
      <c r="AA176" s="124">
        <v>371</v>
      </c>
      <c r="AB176" s="124">
        <v>517</v>
      </c>
      <c r="AC176" s="124">
        <v>476</v>
      </c>
      <c r="AD176" s="124">
        <v>357</v>
      </c>
      <c r="AE176" s="124">
        <v>420</v>
      </c>
      <c r="AF176" s="124">
        <v>418</v>
      </c>
      <c r="AG176" s="124">
        <v>419</v>
      </c>
      <c r="AH176" s="124">
        <v>307</v>
      </c>
      <c r="AI176" s="124">
        <v>398</v>
      </c>
      <c r="AJ176" s="124">
        <v>416</v>
      </c>
      <c r="AK176" s="124">
        <v>408</v>
      </c>
      <c r="AL176" s="124">
        <v>540</v>
      </c>
      <c r="AM176" s="124">
        <v>400</v>
      </c>
      <c r="AN176" s="124">
        <v>502</v>
      </c>
      <c r="AO176" s="124">
        <v>401</v>
      </c>
      <c r="AP176" s="124">
        <v>499</v>
      </c>
      <c r="AQ176" s="124">
        <v>527</v>
      </c>
      <c r="AR176" s="124">
        <v>416</v>
      </c>
      <c r="AS176" s="124">
        <v>380</v>
      </c>
      <c r="AT176" s="124">
        <v>483</v>
      </c>
      <c r="AU176" s="124">
        <v>402</v>
      </c>
      <c r="AV176" s="124">
        <v>383</v>
      </c>
      <c r="AW176" s="124">
        <v>514</v>
      </c>
      <c r="AX176" s="124">
        <v>516</v>
      </c>
      <c r="AY176" s="124">
        <v>467</v>
      </c>
    </row>
    <row r="177" spans="1:51">
      <c r="A177" s="134" t="s">
        <v>133</v>
      </c>
      <c r="B177" s="134" t="s">
        <v>297</v>
      </c>
      <c r="C177" s="123" t="s">
        <v>292</v>
      </c>
      <c r="D177" s="123">
        <f t="shared" ref="D177:AY177" si="2">SUM(D100:D107)</f>
        <v>0</v>
      </c>
      <c r="E177" s="123">
        <f t="shared" si="2"/>
        <v>0</v>
      </c>
      <c r="F177" s="123">
        <f t="shared" si="2"/>
        <v>946.62952646239398</v>
      </c>
      <c r="G177" s="123">
        <f t="shared" si="2"/>
        <v>662.66578737760608</v>
      </c>
      <c r="H177" s="123">
        <f t="shared" si="2"/>
        <v>2516.4819433664611</v>
      </c>
      <c r="I177" s="123">
        <f t="shared" si="2"/>
        <v>3085.2820946861675</v>
      </c>
      <c r="J177" s="123">
        <f t="shared" si="2"/>
        <v>2681.5774085261678</v>
      </c>
      <c r="K177" s="123">
        <f t="shared" si="2"/>
        <v>1012.5774085261678</v>
      </c>
      <c r="L177" s="123">
        <f t="shared" si="2"/>
        <v>3218.5906276800001</v>
      </c>
      <c r="M177" s="123">
        <f t="shared" si="2"/>
        <v>3059.8859415200004</v>
      </c>
      <c r="N177" s="123">
        <f t="shared" si="2"/>
        <v>2785.55839586501</v>
      </c>
      <c r="O177" s="123">
        <f t="shared" si="2"/>
        <v>2582.8537097050103</v>
      </c>
      <c r="P177" s="123">
        <f t="shared" si="2"/>
        <v>2362.1490235450101</v>
      </c>
      <c r="Q177" s="123">
        <f t="shared" si="2"/>
        <v>2195.4443373850099</v>
      </c>
      <c r="R177" s="123">
        <f t="shared" si="2"/>
        <v>1701.7396512250102</v>
      </c>
      <c r="S177" s="123">
        <f t="shared" si="2"/>
        <v>0</v>
      </c>
      <c r="T177" s="123">
        <f t="shared" si="2"/>
        <v>2555.9248403023939</v>
      </c>
      <c r="U177" s="123">
        <f t="shared" si="2"/>
        <v>3014.8859415200004</v>
      </c>
      <c r="V177" s="123">
        <f t="shared" si="2"/>
        <v>3041.1812553600003</v>
      </c>
      <c r="W177" s="123">
        <f t="shared" si="2"/>
        <v>2904.4765692000001</v>
      </c>
      <c r="X177" s="123">
        <f t="shared" si="2"/>
        <v>2053.1060956623942</v>
      </c>
      <c r="Y177" s="123">
        <f t="shared" si="2"/>
        <v>844.77188304000038</v>
      </c>
      <c r="Z177" s="123">
        <f t="shared" si="2"/>
        <v>3218.5906276800001</v>
      </c>
      <c r="AA177" s="123">
        <f t="shared" si="2"/>
        <v>3318.8859415200004</v>
      </c>
      <c r="AB177" s="123">
        <f t="shared" si="2"/>
        <v>3216.1812553600003</v>
      </c>
      <c r="AC177" s="123">
        <f t="shared" si="2"/>
        <v>3030.4765692000001</v>
      </c>
      <c r="AD177" s="123">
        <f t="shared" si="2"/>
        <v>2786.7718830400004</v>
      </c>
      <c r="AE177" s="123">
        <f t="shared" si="2"/>
        <v>2383.0671968800007</v>
      </c>
      <c r="AF177" s="123">
        <f t="shared" si="2"/>
        <v>1944.3625107200005</v>
      </c>
      <c r="AG177" s="123">
        <f t="shared" si="2"/>
        <v>1609.2953138400001</v>
      </c>
      <c r="AH177" s="123">
        <f t="shared" si="2"/>
        <v>946.62952646239398</v>
      </c>
      <c r="AI177" s="123">
        <f t="shared" si="2"/>
        <v>662.67807353760588</v>
      </c>
      <c r="AJ177" s="123">
        <f t="shared" si="2"/>
        <v>3218.6151999999997</v>
      </c>
      <c r="AK177" s="123">
        <f t="shared" si="2"/>
        <v>1445.6151999999997</v>
      </c>
      <c r="AL177" s="123">
        <f t="shared" si="2"/>
        <v>2555.9371264623937</v>
      </c>
      <c r="AM177" s="123">
        <f t="shared" si="2"/>
        <v>1538.6151999999997</v>
      </c>
      <c r="AN177" s="123">
        <f t="shared" si="2"/>
        <v>946.62952646239398</v>
      </c>
      <c r="AO177" s="123">
        <f t="shared" si="2"/>
        <v>0</v>
      </c>
      <c r="AP177" s="123">
        <f t="shared" si="2"/>
        <v>3198.8937515320331</v>
      </c>
      <c r="AQ177" s="123">
        <f t="shared" si="2"/>
        <v>3449.4144740359379</v>
      </c>
      <c r="AR177" s="123">
        <f t="shared" si="2"/>
        <v>3041.3205522919379</v>
      </c>
      <c r="AS177" s="123">
        <f t="shared" si="2"/>
        <v>932.32055229193793</v>
      </c>
      <c r="AT177" s="123">
        <f t="shared" si="2"/>
        <v>0</v>
      </c>
      <c r="AU177" s="123">
        <f t="shared" si="2"/>
        <v>0</v>
      </c>
      <c r="AV177" s="123">
        <f t="shared" si="2"/>
        <v>1609.3076000000001</v>
      </c>
      <c r="AW177" s="123">
        <f t="shared" si="2"/>
        <v>1665.6029138400002</v>
      </c>
      <c r="AX177" s="123">
        <f t="shared" si="2"/>
        <v>1038.2324403023945</v>
      </c>
      <c r="AY177" s="123">
        <f t="shared" si="2"/>
        <v>630.51472716160595</v>
      </c>
    </row>
    <row r="178" spans="1:51">
      <c r="A178" s="124"/>
      <c r="B178" s="135" t="s">
        <v>298</v>
      </c>
      <c r="C178" s="124" t="s">
        <v>292</v>
      </c>
      <c r="D178" s="124">
        <v>0</v>
      </c>
      <c r="E178" s="124">
        <v>0</v>
      </c>
      <c r="F178" s="124">
        <v>946.62952646239398</v>
      </c>
      <c r="G178" s="124">
        <v>662.66578737760608</v>
      </c>
      <c r="H178" s="124">
        <v>1580</v>
      </c>
      <c r="I178" s="124">
        <v>2013</v>
      </c>
      <c r="J178" s="124">
        <v>1669</v>
      </c>
      <c r="K178" s="124">
        <v>1012.5774085261678</v>
      </c>
      <c r="L178" s="124">
        <v>1768</v>
      </c>
      <c r="M178" s="124">
        <v>1755</v>
      </c>
      <c r="N178" s="124">
        <v>1812</v>
      </c>
      <c r="O178" s="124">
        <v>1830</v>
      </c>
      <c r="P178" s="124">
        <v>1776</v>
      </c>
      <c r="Q178" s="124">
        <v>2103</v>
      </c>
      <c r="R178" s="124">
        <v>1701.7396512250102</v>
      </c>
      <c r="S178" s="124">
        <v>0</v>
      </c>
      <c r="T178" s="124">
        <v>1813</v>
      </c>
      <c r="U178" s="124">
        <v>1583</v>
      </c>
      <c r="V178" s="124">
        <v>1746</v>
      </c>
      <c r="W178" s="124">
        <v>1798</v>
      </c>
      <c r="X178" s="124">
        <v>1871</v>
      </c>
      <c r="Y178" s="124">
        <v>844.77188304000038</v>
      </c>
      <c r="Z178" s="124">
        <v>1509</v>
      </c>
      <c r="AA178" s="124">
        <v>1712</v>
      </c>
      <c r="AB178" s="124">
        <v>1795</v>
      </c>
      <c r="AC178" s="124">
        <v>1853</v>
      </c>
      <c r="AD178" s="124">
        <v>2013</v>
      </c>
      <c r="AE178" s="124">
        <v>2048</v>
      </c>
      <c r="AF178" s="124">
        <v>1944.3625107200005</v>
      </c>
      <c r="AG178" s="124">
        <v>1609.2953138400001</v>
      </c>
      <c r="AH178" s="124">
        <v>946.62952646239398</v>
      </c>
      <c r="AI178" s="124">
        <v>662.67807353760588</v>
      </c>
      <c r="AJ178" s="124">
        <v>1773</v>
      </c>
      <c r="AK178" s="124">
        <v>1445.6151999999997</v>
      </c>
      <c r="AL178" s="124">
        <v>1680</v>
      </c>
      <c r="AM178" s="124">
        <v>1538.6151999999997</v>
      </c>
      <c r="AN178" s="124">
        <v>946.62952646239398</v>
      </c>
      <c r="AO178" s="124">
        <v>0</v>
      </c>
      <c r="AP178" s="124">
        <v>1786</v>
      </c>
      <c r="AQ178" s="124">
        <v>1953</v>
      </c>
      <c r="AR178" s="124">
        <v>2109</v>
      </c>
      <c r="AS178" s="124">
        <v>932.32055229193793</v>
      </c>
      <c r="AT178" s="124">
        <v>0</v>
      </c>
      <c r="AU178" s="124">
        <v>0</v>
      </c>
      <c r="AV178" s="124">
        <v>1553</v>
      </c>
      <c r="AW178" s="124">
        <v>1574</v>
      </c>
      <c r="AX178" s="124">
        <v>1038.2324403023945</v>
      </c>
      <c r="AY178" s="124">
        <v>630.51472716160595</v>
      </c>
    </row>
    <row r="179" spans="1:51">
      <c r="A179" s="134" t="s">
        <v>134</v>
      </c>
      <c r="B179" s="134" t="s">
        <v>297</v>
      </c>
      <c r="C179" s="123" t="s">
        <v>292</v>
      </c>
      <c r="D179" s="123">
        <f t="shared" ref="D179:AY179" si="3">SUM(D109:D120)</f>
        <v>0</v>
      </c>
      <c r="E179" s="123">
        <f t="shared" si="3"/>
        <v>0</v>
      </c>
      <c r="F179" s="123">
        <f t="shared" si="3"/>
        <v>0</v>
      </c>
      <c r="G179" s="123">
        <f t="shared" si="3"/>
        <v>336.74508300835635</v>
      </c>
      <c r="H179" s="123">
        <f t="shared" si="3"/>
        <v>235.73049365065856</v>
      </c>
      <c r="I179" s="123">
        <f t="shared" si="3"/>
        <v>895.18961454202304</v>
      </c>
      <c r="J179" s="123">
        <f t="shared" si="3"/>
        <v>1236.7155247371518</v>
      </c>
      <c r="K179" s="123">
        <f t="shared" si="3"/>
        <v>1451.5164568467123</v>
      </c>
      <c r="L179" s="123">
        <f t="shared" si="3"/>
        <v>1116.0585707023051</v>
      </c>
      <c r="M179" s="123">
        <f t="shared" si="3"/>
        <v>1861.0097240203349</v>
      </c>
      <c r="N179" s="123">
        <f t="shared" si="3"/>
        <v>2292.6598538116918</v>
      </c>
      <c r="O179" s="123">
        <f t="shared" si="3"/>
        <v>2450.4435545644214</v>
      </c>
      <c r="P179" s="123">
        <f t="shared" si="3"/>
        <v>2562.9454248643979</v>
      </c>
      <c r="Q179" s="123">
        <f t="shared" si="3"/>
        <v>2671.3260852688431</v>
      </c>
      <c r="R179" s="123">
        <f t="shared" si="3"/>
        <v>2933.2079663798531</v>
      </c>
      <c r="S179" s="123">
        <f t="shared" si="3"/>
        <v>3151.5505450163696</v>
      </c>
      <c r="T179" s="123">
        <f t="shared" si="3"/>
        <v>2776.8495200303178</v>
      </c>
      <c r="U179" s="123">
        <f t="shared" si="3"/>
        <v>3189.0701796976891</v>
      </c>
      <c r="V179" s="123">
        <f t="shared" si="3"/>
        <v>3698.7904006253661</v>
      </c>
      <c r="W179" s="123">
        <f t="shared" si="3"/>
        <v>4038.6529786200817</v>
      </c>
      <c r="X179" s="123">
        <f t="shared" si="3"/>
        <v>4225.9735092892988</v>
      </c>
      <c r="Y179" s="123">
        <f t="shared" si="3"/>
        <v>4148.7565879639051</v>
      </c>
      <c r="Z179" s="123">
        <f t="shared" si="3"/>
        <v>3877.1821344228852</v>
      </c>
      <c r="AA179" s="123">
        <f t="shared" si="3"/>
        <v>4651.133287740915</v>
      </c>
      <c r="AB179" s="123">
        <f t="shared" si="3"/>
        <v>5109.6881775322718</v>
      </c>
      <c r="AC179" s="123">
        <f t="shared" si="3"/>
        <v>5320.7522895044513</v>
      </c>
      <c r="AD179" s="123">
        <f t="shared" si="3"/>
        <v>5559.8987191501528</v>
      </c>
      <c r="AE179" s="123">
        <f t="shared" si="3"/>
        <v>5749.7697213644933</v>
      </c>
      <c r="AF179" s="123">
        <f t="shared" si="3"/>
        <v>5856.8548663864731</v>
      </c>
      <c r="AG179" s="123">
        <f t="shared" si="3"/>
        <v>6068.134993184166</v>
      </c>
      <c r="AH179" s="123">
        <f t="shared" si="3"/>
        <v>6282.4135188963755</v>
      </c>
      <c r="AI179" s="123">
        <f t="shared" si="3"/>
        <v>6136.5166026773304</v>
      </c>
      <c r="AJ179" s="123">
        <f t="shared" si="3"/>
        <v>5925.2409195176169</v>
      </c>
      <c r="AK179" s="123">
        <f t="shared" si="3"/>
        <v>6586.2008139616155</v>
      </c>
      <c r="AL179" s="123">
        <f t="shared" si="3"/>
        <v>6345.3940020518094</v>
      </c>
      <c r="AM179" s="123">
        <f t="shared" si="3"/>
        <v>6798.619032282164</v>
      </c>
      <c r="AN179" s="123">
        <f t="shared" si="3"/>
        <v>6650.9329145927368</v>
      </c>
      <c r="AO179" s="123">
        <f t="shared" si="3"/>
        <v>6543.1294391497549</v>
      </c>
      <c r="AP179" s="123">
        <f t="shared" si="3"/>
        <v>6173.1294391497549</v>
      </c>
      <c r="AQ179" s="123">
        <f t="shared" si="3"/>
        <v>6720.8631954912844</v>
      </c>
      <c r="AR179" s="123">
        <f t="shared" si="3"/>
        <v>7038.9745954885784</v>
      </c>
      <c r="AS179" s="123">
        <f t="shared" si="3"/>
        <v>7104.088759560419</v>
      </c>
      <c r="AT179" s="123">
        <f t="shared" si="3"/>
        <v>6529.0779654276503</v>
      </c>
      <c r="AU179" s="123">
        <f t="shared" si="3"/>
        <v>6026.0779654276494</v>
      </c>
      <c r="AV179" s="123">
        <f t="shared" si="3"/>
        <v>5407.0779654276494</v>
      </c>
      <c r="AW179" s="123">
        <f t="shared" si="3"/>
        <v>5295.7600702110503</v>
      </c>
      <c r="AX179" s="123">
        <f t="shared" si="3"/>
        <v>5294.038550915162</v>
      </c>
      <c r="AY179" s="123">
        <f t="shared" si="3"/>
        <v>5172.5329420872968</v>
      </c>
    </row>
    <row r="180" spans="1:51">
      <c r="A180" s="124"/>
      <c r="B180" s="135" t="s">
        <v>298</v>
      </c>
      <c r="C180" s="124" t="s">
        <v>292</v>
      </c>
      <c r="D180" s="124">
        <v>0</v>
      </c>
      <c r="E180" s="124">
        <v>0</v>
      </c>
      <c r="F180" s="124">
        <v>0</v>
      </c>
      <c r="G180" s="124">
        <v>336.74508300835635</v>
      </c>
      <c r="H180" s="124">
        <v>235.73049365065856</v>
      </c>
      <c r="I180" s="124">
        <v>510</v>
      </c>
      <c r="J180" s="124">
        <v>499</v>
      </c>
      <c r="K180" s="124">
        <v>432.37853005190829</v>
      </c>
      <c r="L180" s="124">
        <v>400</v>
      </c>
      <c r="M180" s="124">
        <v>391</v>
      </c>
      <c r="N180" s="124">
        <v>497</v>
      </c>
      <c r="O180" s="124">
        <v>517</v>
      </c>
      <c r="P180" s="124">
        <v>509</v>
      </c>
      <c r="Q180" s="124">
        <v>381</v>
      </c>
      <c r="R180" s="124">
        <v>434</v>
      </c>
      <c r="S180" s="124">
        <v>476</v>
      </c>
      <c r="T180" s="124">
        <v>497</v>
      </c>
      <c r="U180" s="124">
        <v>467</v>
      </c>
      <c r="V180" s="124">
        <v>413</v>
      </c>
      <c r="W180" s="124">
        <v>474</v>
      </c>
      <c r="X180" s="124">
        <v>499</v>
      </c>
      <c r="Y180" s="124">
        <v>516.29938334771873</v>
      </c>
      <c r="Z180" s="124">
        <v>371</v>
      </c>
      <c r="AA180" s="124">
        <v>360</v>
      </c>
      <c r="AB180" s="124">
        <v>495</v>
      </c>
      <c r="AC180" s="124">
        <v>408</v>
      </c>
      <c r="AD180" s="124">
        <v>457</v>
      </c>
      <c r="AE180" s="124">
        <v>524</v>
      </c>
      <c r="AF180" s="124">
        <v>438</v>
      </c>
      <c r="AG180" s="124">
        <v>436</v>
      </c>
      <c r="AH180" s="124">
        <v>571</v>
      </c>
      <c r="AI180" s="124">
        <v>447.01054737335733</v>
      </c>
      <c r="AJ180" s="124">
        <v>484</v>
      </c>
      <c r="AK180" s="124">
        <v>463</v>
      </c>
      <c r="AL180" s="124">
        <v>456</v>
      </c>
      <c r="AM180" s="124">
        <v>526</v>
      </c>
      <c r="AN180" s="124">
        <v>444.54855845133801</v>
      </c>
      <c r="AO180" s="124">
        <v>370</v>
      </c>
      <c r="AP180" s="124">
        <v>489</v>
      </c>
      <c r="AQ180" s="124">
        <v>402</v>
      </c>
      <c r="AR180" s="124">
        <v>478</v>
      </c>
      <c r="AS180" s="124">
        <v>524</v>
      </c>
      <c r="AT180" s="124">
        <v>503</v>
      </c>
      <c r="AU180" s="124">
        <v>619</v>
      </c>
      <c r="AV180" s="124">
        <v>572</v>
      </c>
      <c r="AW180" s="124">
        <v>601</v>
      </c>
      <c r="AX180" s="124">
        <v>476.00656568888263</v>
      </c>
      <c r="AY180" s="124">
        <v>451.84570624063463</v>
      </c>
    </row>
    <row r="181" spans="1:51">
      <c r="A181" s="134" t="s">
        <v>123</v>
      </c>
      <c r="B181" s="134" t="s">
        <v>297</v>
      </c>
      <c r="C181" s="123" t="s">
        <v>292</v>
      </c>
      <c r="D181" s="123">
        <f t="shared" ref="D181:AY181" si="4">(1-D172)*SUM(D122:D169)</f>
        <v>0</v>
      </c>
      <c r="E181" s="123">
        <f t="shared" si="4"/>
        <v>0</v>
      </c>
      <c r="F181" s="123">
        <f t="shared" si="4"/>
        <v>156.6253905292478</v>
      </c>
      <c r="G181" s="123">
        <f t="shared" si="4"/>
        <v>109.64192943173741</v>
      </c>
      <c r="H181" s="123">
        <f t="shared" si="4"/>
        <v>416.36665255151433</v>
      </c>
      <c r="I181" s="123">
        <f t="shared" si="4"/>
        <v>396.05798260987712</v>
      </c>
      <c r="J181" s="123">
        <f t="shared" si="4"/>
        <v>331.99994712031685</v>
      </c>
      <c r="K181" s="123">
        <f t="shared" si="4"/>
        <v>45.079303212815773</v>
      </c>
      <c r="L181" s="123">
        <f t="shared" si="4"/>
        <v>532.53463992197044</v>
      </c>
      <c r="M181" s="123">
        <f t="shared" si="4"/>
        <v>382.62740675061394</v>
      </c>
      <c r="N181" s="123">
        <f t="shared" si="4"/>
        <v>304.55011228786822</v>
      </c>
      <c r="O181" s="123">
        <f t="shared" si="4"/>
        <v>292.79113860789181</v>
      </c>
      <c r="P181" s="123">
        <f t="shared" si="4"/>
        <v>287.15337482344654</v>
      </c>
      <c r="Q181" s="123">
        <f t="shared" si="4"/>
        <v>299.01439033243656</v>
      </c>
      <c r="R181" s="123">
        <f t="shared" si="4"/>
        <v>303.41470831592051</v>
      </c>
      <c r="S181" s="123">
        <f t="shared" si="4"/>
        <v>47.115733301972128</v>
      </c>
      <c r="T181" s="123">
        <f t="shared" si="4"/>
        <v>422.89271049023301</v>
      </c>
      <c r="U181" s="123">
        <f t="shared" si="4"/>
        <v>454.28780926495199</v>
      </c>
      <c r="V181" s="123">
        <f t="shared" si="4"/>
        <v>350.16812789023686</v>
      </c>
      <c r="W181" s="123">
        <f t="shared" si="4"/>
        <v>307.59049384101979</v>
      </c>
      <c r="X181" s="123">
        <f t="shared" si="4"/>
        <v>196.17788870401796</v>
      </c>
      <c r="Y181" s="123">
        <f t="shared" si="4"/>
        <v>113.82538197971493</v>
      </c>
      <c r="Z181" s="123">
        <f t="shared" si="4"/>
        <v>532.53463992197044</v>
      </c>
      <c r="AA181" s="123">
        <f t="shared" si="4"/>
        <v>380.72264675061399</v>
      </c>
      <c r="AB181" s="123">
        <f t="shared" si="4"/>
        <v>328.40143139843514</v>
      </c>
      <c r="AC181" s="123">
        <f t="shared" si="4"/>
        <v>300.99789837273238</v>
      </c>
      <c r="AD181" s="123">
        <f t="shared" si="4"/>
        <v>300.86979277839288</v>
      </c>
      <c r="AE181" s="123">
        <f t="shared" si="4"/>
        <v>293.5275443764138</v>
      </c>
      <c r="AF181" s="123">
        <f t="shared" si="4"/>
        <v>301.99031419872153</v>
      </c>
      <c r="AG181" s="123">
        <f t="shared" si="4"/>
        <v>302.45468510651136</v>
      </c>
      <c r="AH181" s="123">
        <f t="shared" si="4"/>
        <v>197.72207486316088</v>
      </c>
      <c r="AI181" s="123">
        <f t="shared" si="4"/>
        <v>109.6439622487522</v>
      </c>
      <c r="AJ181" s="123">
        <f t="shared" si="4"/>
        <v>532.53870555599997</v>
      </c>
      <c r="AK181" s="123">
        <f t="shared" si="4"/>
        <v>103.34551746580775</v>
      </c>
      <c r="AL181" s="123">
        <f t="shared" si="4"/>
        <v>422.89474330724778</v>
      </c>
      <c r="AM181" s="123">
        <f t="shared" si="4"/>
        <v>175.95968745907106</v>
      </c>
      <c r="AN181" s="123">
        <f t="shared" si="4"/>
        <v>156.6253905292478</v>
      </c>
      <c r="AO181" s="123">
        <f t="shared" si="4"/>
        <v>0</v>
      </c>
      <c r="AP181" s="123">
        <f t="shared" si="4"/>
        <v>529.27567658664054</v>
      </c>
      <c r="AQ181" s="123">
        <f t="shared" si="4"/>
        <v>441.48611829609746</v>
      </c>
      <c r="AR181" s="123">
        <f t="shared" si="4"/>
        <v>332.27592753456469</v>
      </c>
      <c r="AS181" s="123">
        <f t="shared" si="4"/>
        <v>35.008195955122908</v>
      </c>
      <c r="AT181" s="123">
        <f t="shared" si="4"/>
        <v>0</v>
      </c>
      <c r="AU181" s="123">
        <f t="shared" si="4"/>
        <v>0</v>
      </c>
      <c r="AV181" s="123">
        <f t="shared" si="4"/>
        <v>266.26935277799998</v>
      </c>
      <c r="AW181" s="123">
        <f t="shared" si="4"/>
        <v>278.73376869388909</v>
      </c>
      <c r="AX181" s="123">
        <f t="shared" si="4"/>
        <v>190.19163273880983</v>
      </c>
      <c r="AY181" s="123">
        <f t="shared" si="4"/>
        <v>104.32234851703794</v>
      </c>
    </row>
    <row r="182" spans="1:51">
      <c r="A182" s="124"/>
      <c r="B182" s="135" t="s">
        <v>298</v>
      </c>
      <c r="C182" s="124" t="s">
        <v>292</v>
      </c>
      <c r="D182" s="124">
        <v>0</v>
      </c>
      <c r="E182" s="124">
        <v>0</v>
      </c>
      <c r="F182" s="124">
        <v>156.6253905292478</v>
      </c>
      <c r="G182" s="124">
        <v>109.64192943173741</v>
      </c>
      <c r="H182" s="124">
        <v>288.70826234110092</v>
      </c>
      <c r="I182" s="124">
        <v>189</v>
      </c>
      <c r="J182" s="124">
        <v>190</v>
      </c>
      <c r="K182" s="124">
        <v>45.079303212815773</v>
      </c>
      <c r="L182" s="124">
        <v>166</v>
      </c>
      <c r="M182" s="124">
        <v>195</v>
      </c>
      <c r="N182" s="124">
        <v>221</v>
      </c>
      <c r="O182" s="124">
        <v>227</v>
      </c>
      <c r="P182" s="124">
        <v>184</v>
      </c>
      <c r="Q182" s="124">
        <v>182</v>
      </c>
      <c r="R182" s="124">
        <v>155</v>
      </c>
      <c r="S182" s="124">
        <v>47.115733301972128</v>
      </c>
      <c r="T182" s="124">
        <v>176</v>
      </c>
      <c r="U182" s="124">
        <v>190</v>
      </c>
      <c r="V182" s="124">
        <v>220</v>
      </c>
      <c r="W182" s="124">
        <v>183</v>
      </c>
      <c r="X182" s="124">
        <v>183</v>
      </c>
      <c r="Y182" s="124">
        <v>113.82538197971493</v>
      </c>
      <c r="Z182" s="124">
        <v>172</v>
      </c>
      <c r="AA182" s="124">
        <v>185</v>
      </c>
      <c r="AB182" s="124">
        <v>219</v>
      </c>
      <c r="AC182" s="124">
        <v>192</v>
      </c>
      <c r="AD182" s="124">
        <v>215</v>
      </c>
      <c r="AE182" s="124">
        <v>181</v>
      </c>
      <c r="AF182" s="124">
        <v>188</v>
      </c>
      <c r="AG182" s="124">
        <v>173</v>
      </c>
      <c r="AH182" s="124">
        <v>197.72207486316088</v>
      </c>
      <c r="AI182" s="124">
        <v>109.6439622487522</v>
      </c>
      <c r="AJ182" s="124">
        <v>207</v>
      </c>
      <c r="AK182" s="124">
        <v>103.34551746580775</v>
      </c>
      <c r="AL182" s="124">
        <v>214</v>
      </c>
      <c r="AM182" s="124">
        <v>175.95968745907106</v>
      </c>
      <c r="AN182" s="124">
        <v>156.6253905292478</v>
      </c>
      <c r="AO182" s="124">
        <v>0</v>
      </c>
      <c r="AP182" s="124">
        <v>200</v>
      </c>
      <c r="AQ182" s="124">
        <v>200</v>
      </c>
      <c r="AR182" s="124">
        <v>222</v>
      </c>
      <c r="AS182" s="124">
        <v>35.008195955122908</v>
      </c>
      <c r="AT182" s="124">
        <v>0</v>
      </c>
      <c r="AU182" s="124">
        <v>0</v>
      </c>
      <c r="AV182" s="124">
        <v>227</v>
      </c>
      <c r="AW182" s="124">
        <v>173</v>
      </c>
      <c r="AX182" s="124">
        <v>190.19163273880983</v>
      </c>
      <c r="AY182" s="124">
        <v>104.32234851703794</v>
      </c>
    </row>
    <row r="184" spans="1:51">
      <c r="A184" s="101" t="s">
        <v>299</v>
      </c>
    </row>
    <row r="185" spans="1:51">
      <c r="A185" s="125" t="s">
        <v>125</v>
      </c>
      <c r="B185" s="122">
        <v>1</v>
      </c>
      <c r="C185" s="123"/>
      <c r="D185" s="123">
        <v>323</v>
      </c>
      <c r="E185" s="123">
        <v>185.000765</v>
      </c>
      <c r="F185" s="123">
        <v>101.00153</v>
      </c>
      <c r="G185" s="123">
        <v>7.0022950000000037</v>
      </c>
      <c r="H185" s="123">
        <v>0</v>
      </c>
      <c r="I185" s="123">
        <v>0</v>
      </c>
      <c r="J185" s="123">
        <v>0</v>
      </c>
      <c r="K185" s="123">
        <v>0</v>
      </c>
      <c r="L185" s="123">
        <v>0</v>
      </c>
      <c r="M185" s="123">
        <v>0</v>
      </c>
      <c r="N185" s="123">
        <v>0</v>
      </c>
      <c r="O185" s="123">
        <v>0</v>
      </c>
      <c r="P185" s="123">
        <v>0</v>
      </c>
      <c r="Q185" s="123">
        <v>0</v>
      </c>
      <c r="R185" s="123">
        <v>0</v>
      </c>
      <c r="S185" s="123">
        <v>0</v>
      </c>
      <c r="T185" s="123">
        <v>0</v>
      </c>
      <c r="U185" s="123">
        <v>0</v>
      </c>
      <c r="V185" s="123">
        <v>0</v>
      </c>
      <c r="W185" s="123">
        <v>0</v>
      </c>
      <c r="X185" s="123">
        <v>0</v>
      </c>
      <c r="Y185" s="123">
        <v>0</v>
      </c>
      <c r="Z185" s="123">
        <v>0</v>
      </c>
      <c r="AA185" s="123">
        <v>0</v>
      </c>
      <c r="AB185" s="123">
        <v>0</v>
      </c>
      <c r="AC185" s="123">
        <v>0</v>
      </c>
      <c r="AD185" s="123">
        <v>0</v>
      </c>
      <c r="AE185" s="123">
        <v>0</v>
      </c>
      <c r="AF185" s="123">
        <v>0</v>
      </c>
      <c r="AG185" s="123">
        <v>0</v>
      </c>
      <c r="AH185" s="123">
        <v>0</v>
      </c>
      <c r="AI185" s="123">
        <v>0</v>
      </c>
      <c r="AJ185" s="123">
        <v>0</v>
      </c>
      <c r="AK185" s="123">
        <v>0</v>
      </c>
      <c r="AL185" s="123">
        <v>0</v>
      </c>
      <c r="AM185" s="123">
        <v>0</v>
      </c>
      <c r="AN185" s="123">
        <v>0</v>
      </c>
      <c r="AO185" s="123">
        <v>0</v>
      </c>
      <c r="AP185" s="123">
        <v>0</v>
      </c>
      <c r="AQ185" s="123">
        <v>0</v>
      </c>
      <c r="AR185" s="123">
        <v>0</v>
      </c>
      <c r="AS185" s="123">
        <v>0</v>
      </c>
      <c r="AT185" s="123">
        <v>0</v>
      </c>
      <c r="AU185" s="123">
        <v>0</v>
      </c>
      <c r="AV185" s="123">
        <v>0</v>
      </c>
      <c r="AW185" s="123">
        <v>0</v>
      </c>
      <c r="AX185" s="123">
        <v>0</v>
      </c>
      <c r="AY185" s="123">
        <v>0</v>
      </c>
    </row>
    <row r="186" spans="1:51">
      <c r="A186" s="108"/>
      <c r="B186" s="119">
        <v>2</v>
      </c>
      <c r="C186" s="105"/>
      <c r="D186" s="105">
        <v>0</v>
      </c>
      <c r="E186" s="105">
        <v>145.999235</v>
      </c>
      <c r="F186" s="105">
        <v>283.99847</v>
      </c>
      <c r="G186" s="105">
        <v>367.997705</v>
      </c>
      <c r="H186" s="105">
        <v>341</v>
      </c>
      <c r="I186" s="105">
        <v>199.00306</v>
      </c>
      <c r="J186" s="105">
        <v>207.00382500000001</v>
      </c>
      <c r="K186" s="105">
        <v>156.00459000000001</v>
      </c>
      <c r="L186" s="105">
        <v>101.00535500000001</v>
      </c>
      <c r="M186" s="105">
        <v>0</v>
      </c>
      <c r="N186" s="105">
        <v>0</v>
      </c>
      <c r="O186" s="105">
        <v>0</v>
      </c>
      <c r="P186" s="105">
        <v>0</v>
      </c>
      <c r="Q186" s="105">
        <v>0</v>
      </c>
      <c r="R186" s="105">
        <v>0</v>
      </c>
      <c r="S186" s="105">
        <v>0</v>
      </c>
      <c r="T186" s="105">
        <v>0</v>
      </c>
      <c r="U186" s="105">
        <v>0</v>
      </c>
      <c r="V186" s="105">
        <v>0</v>
      </c>
      <c r="W186" s="105">
        <v>0</v>
      </c>
      <c r="X186" s="105">
        <v>0</v>
      </c>
      <c r="Y186" s="105">
        <v>0</v>
      </c>
      <c r="Z186" s="105">
        <v>0</v>
      </c>
      <c r="AA186" s="105">
        <v>0</v>
      </c>
      <c r="AB186" s="105">
        <v>0</v>
      </c>
      <c r="AC186" s="105">
        <v>0</v>
      </c>
      <c r="AD186" s="105">
        <v>0</v>
      </c>
      <c r="AE186" s="105">
        <v>0</v>
      </c>
      <c r="AF186" s="105">
        <v>0</v>
      </c>
      <c r="AG186" s="105">
        <v>0</v>
      </c>
      <c r="AH186" s="105">
        <v>0</v>
      </c>
      <c r="AI186" s="105">
        <v>0</v>
      </c>
      <c r="AJ186" s="105">
        <v>0</v>
      </c>
      <c r="AK186" s="105">
        <v>0</v>
      </c>
      <c r="AL186" s="105">
        <v>0</v>
      </c>
      <c r="AM186" s="105">
        <v>0</v>
      </c>
      <c r="AN186" s="105">
        <v>0</v>
      </c>
      <c r="AO186" s="105">
        <v>0</v>
      </c>
      <c r="AP186" s="105">
        <v>0</v>
      </c>
      <c r="AQ186" s="105">
        <v>0</v>
      </c>
      <c r="AR186" s="105">
        <v>0</v>
      </c>
      <c r="AS186" s="105">
        <v>0</v>
      </c>
      <c r="AT186" s="105">
        <v>0</v>
      </c>
      <c r="AU186" s="105">
        <v>0</v>
      </c>
      <c r="AV186" s="105">
        <v>0</v>
      </c>
      <c r="AW186" s="105">
        <v>0</v>
      </c>
      <c r="AX186" s="105">
        <v>0</v>
      </c>
      <c r="AY186" s="105">
        <v>0</v>
      </c>
    </row>
    <row r="187" spans="1:51">
      <c r="A187" s="108"/>
      <c r="B187" s="126">
        <v>3</v>
      </c>
      <c r="C187" s="105"/>
      <c r="D187" s="105">
        <v>0</v>
      </c>
      <c r="E187" s="105">
        <v>0</v>
      </c>
      <c r="F187" s="105">
        <v>0</v>
      </c>
      <c r="G187" s="105">
        <v>0</v>
      </c>
      <c r="H187" s="105">
        <v>0</v>
      </c>
      <c r="I187" s="105">
        <v>120.99694</v>
      </c>
      <c r="J187" s="105">
        <v>269.99617499999999</v>
      </c>
      <c r="K187" s="105">
        <v>261.99540999999999</v>
      </c>
      <c r="L187" s="105">
        <v>312.99464499999999</v>
      </c>
      <c r="M187" s="105">
        <v>313</v>
      </c>
      <c r="N187" s="105">
        <v>318.00612000000001</v>
      </c>
      <c r="O187" s="105">
        <v>303.00697000000002</v>
      </c>
      <c r="P187" s="105">
        <v>266.00782000000004</v>
      </c>
      <c r="Q187" s="105">
        <v>190.00867000000005</v>
      </c>
      <c r="R187" s="105">
        <v>83.009520000000066</v>
      </c>
      <c r="S187" s="105">
        <v>0</v>
      </c>
      <c r="T187" s="105">
        <v>0</v>
      </c>
      <c r="U187" s="105">
        <v>0</v>
      </c>
      <c r="V187" s="105">
        <v>52.000765000000001</v>
      </c>
      <c r="W187" s="105">
        <v>0</v>
      </c>
      <c r="X187" s="105">
        <v>0</v>
      </c>
      <c r="Y187" s="105">
        <v>0</v>
      </c>
      <c r="Z187" s="105">
        <v>0</v>
      </c>
      <c r="AA187" s="105">
        <v>0</v>
      </c>
      <c r="AB187" s="105">
        <v>32.000935000000027</v>
      </c>
      <c r="AC187" s="105">
        <v>23.001870000000054</v>
      </c>
      <c r="AD187" s="105">
        <v>0</v>
      </c>
      <c r="AE187" s="105">
        <v>0</v>
      </c>
      <c r="AF187" s="105">
        <v>0</v>
      </c>
      <c r="AG187" s="105">
        <v>0</v>
      </c>
      <c r="AH187" s="105">
        <v>0</v>
      </c>
      <c r="AI187" s="105">
        <v>0</v>
      </c>
      <c r="AJ187" s="105">
        <v>0</v>
      </c>
      <c r="AK187" s="105">
        <v>0</v>
      </c>
      <c r="AL187" s="105">
        <v>71.000850000000014</v>
      </c>
      <c r="AM187" s="105">
        <v>0</v>
      </c>
      <c r="AN187" s="105">
        <v>17.000850000000014</v>
      </c>
      <c r="AO187" s="105">
        <v>0</v>
      </c>
      <c r="AP187" s="105">
        <v>14.000850000000014</v>
      </c>
      <c r="AQ187" s="105">
        <v>40.001785000000041</v>
      </c>
      <c r="AR187" s="105">
        <v>0</v>
      </c>
      <c r="AS187" s="105">
        <v>0</v>
      </c>
      <c r="AT187" s="105">
        <v>0</v>
      </c>
      <c r="AU187" s="105">
        <v>0</v>
      </c>
      <c r="AV187" s="105">
        <v>0</v>
      </c>
      <c r="AW187" s="105">
        <v>45.000850000000014</v>
      </c>
      <c r="AX187" s="105">
        <v>92.001700000000028</v>
      </c>
      <c r="AY187" s="105">
        <v>74.002550000000042</v>
      </c>
    </row>
    <row r="188" spans="1:51">
      <c r="A188" s="127"/>
      <c r="B188" s="128">
        <v>4</v>
      </c>
      <c r="C188" s="105"/>
      <c r="D188" s="105">
        <v>0</v>
      </c>
      <c r="E188" s="105">
        <v>0</v>
      </c>
      <c r="F188" s="105">
        <v>0</v>
      </c>
      <c r="G188" s="105">
        <v>0</v>
      </c>
      <c r="H188" s="105">
        <v>0</v>
      </c>
      <c r="I188" s="105">
        <v>0</v>
      </c>
      <c r="J188" s="105">
        <v>0</v>
      </c>
      <c r="K188" s="105">
        <v>0</v>
      </c>
      <c r="L188" s="105">
        <v>0</v>
      </c>
      <c r="M188" s="105">
        <v>0</v>
      </c>
      <c r="N188" s="105">
        <v>54.99387999999999</v>
      </c>
      <c r="O188" s="105">
        <v>150.99302999999998</v>
      </c>
      <c r="P188" s="105">
        <v>165.99217999999996</v>
      </c>
      <c r="Q188" s="105">
        <v>202.99132999999995</v>
      </c>
      <c r="R188" s="105">
        <v>278.99047999999993</v>
      </c>
      <c r="S188" s="105">
        <v>346</v>
      </c>
      <c r="T188" s="105">
        <v>449</v>
      </c>
      <c r="U188" s="105">
        <v>374</v>
      </c>
      <c r="V188" s="105">
        <v>452.999235</v>
      </c>
      <c r="W188" s="105">
        <v>336</v>
      </c>
      <c r="X188" s="105">
        <v>362</v>
      </c>
      <c r="Y188" s="105">
        <v>439</v>
      </c>
      <c r="Z188" s="105">
        <v>385</v>
      </c>
      <c r="AA188" s="105">
        <v>371</v>
      </c>
      <c r="AB188" s="105">
        <v>484.99906499999997</v>
      </c>
      <c r="AC188" s="105">
        <v>452.99812999999995</v>
      </c>
      <c r="AD188" s="105">
        <v>357</v>
      </c>
      <c r="AE188" s="105">
        <v>420</v>
      </c>
      <c r="AF188" s="105">
        <v>418</v>
      </c>
      <c r="AG188" s="105">
        <v>419</v>
      </c>
      <c r="AH188" s="105">
        <v>307</v>
      </c>
      <c r="AI188" s="105">
        <v>398</v>
      </c>
      <c r="AJ188" s="105">
        <v>416</v>
      </c>
      <c r="AK188" s="105">
        <v>408</v>
      </c>
      <c r="AL188" s="105">
        <v>468.99914999999999</v>
      </c>
      <c r="AM188" s="105">
        <v>400</v>
      </c>
      <c r="AN188" s="105">
        <v>484.99914999999999</v>
      </c>
      <c r="AO188" s="105">
        <v>401</v>
      </c>
      <c r="AP188" s="105">
        <v>484.99914999999999</v>
      </c>
      <c r="AQ188" s="105">
        <v>486.99821499999996</v>
      </c>
      <c r="AR188" s="105">
        <v>416</v>
      </c>
      <c r="AS188" s="105">
        <v>380</v>
      </c>
      <c r="AT188" s="105">
        <v>483</v>
      </c>
      <c r="AU188" s="105">
        <v>402</v>
      </c>
      <c r="AV188" s="105">
        <v>383</v>
      </c>
      <c r="AW188" s="105">
        <v>468.99914999999999</v>
      </c>
      <c r="AX188" s="105">
        <v>423.99829999999997</v>
      </c>
      <c r="AY188" s="105">
        <v>392.99744999999996</v>
      </c>
    </row>
    <row r="189" spans="1:51">
      <c r="A189" s="125" t="s">
        <v>133</v>
      </c>
      <c r="B189" s="122">
        <v>1</v>
      </c>
      <c r="C189" s="123"/>
      <c r="D189" s="123">
        <v>0</v>
      </c>
      <c r="E189" s="123">
        <v>0</v>
      </c>
      <c r="F189" s="123">
        <v>946.62952646239398</v>
      </c>
      <c r="G189" s="123">
        <v>0</v>
      </c>
      <c r="H189" s="123">
        <v>0</v>
      </c>
      <c r="I189" s="123">
        <v>537.01321915383232</v>
      </c>
      <c r="J189" s="123">
        <v>596.71790531383226</v>
      </c>
      <c r="K189" s="123">
        <v>0</v>
      </c>
      <c r="L189" s="123">
        <v>158.70468615999994</v>
      </c>
      <c r="M189" s="123">
        <v>304.40937231999987</v>
      </c>
      <c r="N189" s="123">
        <v>507.11405847999981</v>
      </c>
      <c r="O189" s="123">
        <v>856.44160413499003</v>
      </c>
      <c r="P189" s="123">
        <v>1023.14629029499</v>
      </c>
      <c r="Q189" s="123">
        <v>1516.8509764549899</v>
      </c>
      <c r="R189" s="123">
        <v>1609.2953138400001</v>
      </c>
      <c r="S189" s="123">
        <v>0</v>
      </c>
      <c r="T189" s="123">
        <v>203.70468615999994</v>
      </c>
      <c r="U189" s="123">
        <v>177.40937231999987</v>
      </c>
      <c r="V189" s="123">
        <v>314.11405847999981</v>
      </c>
      <c r="W189" s="123">
        <v>502.81874463999975</v>
      </c>
      <c r="X189" s="123">
        <v>764.52343079999969</v>
      </c>
      <c r="Y189" s="123">
        <v>0</v>
      </c>
      <c r="Z189" s="123">
        <v>0</v>
      </c>
      <c r="AA189" s="123">
        <v>2.4093723199998749</v>
      </c>
      <c r="AB189" s="123">
        <v>188.11405847999981</v>
      </c>
      <c r="AC189" s="123">
        <v>431.81874463999975</v>
      </c>
      <c r="AD189" s="123">
        <v>835.52343079999969</v>
      </c>
      <c r="AE189" s="123">
        <v>1274.2281169599996</v>
      </c>
      <c r="AF189" s="123">
        <v>1609.2953138400001</v>
      </c>
      <c r="AG189" s="123">
        <v>1609.2953138400001</v>
      </c>
      <c r="AH189" s="123">
        <v>946.62952646239398</v>
      </c>
      <c r="AI189" s="123">
        <v>0</v>
      </c>
      <c r="AJ189" s="123">
        <v>163.69240000000013</v>
      </c>
      <c r="AK189" s="123">
        <v>0</v>
      </c>
      <c r="AL189" s="123">
        <v>70.692400000000134</v>
      </c>
      <c r="AM189" s="123">
        <v>0</v>
      </c>
      <c r="AN189" s="123">
        <v>946.62952646239398</v>
      </c>
      <c r="AO189" s="123">
        <v>0</v>
      </c>
      <c r="AP189" s="123">
        <v>0</v>
      </c>
      <c r="AQ189" s="123">
        <v>0</v>
      </c>
      <c r="AR189" s="123">
        <v>612.58552596406207</v>
      </c>
      <c r="AS189" s="123">
        <v>0</v>
      </c>
      <c r="AT189" s="123">
        <v>0</v>
      </c>
      <c r="AU189" s="123">
        <v>0</v>
      </c>
      <c r="AV189" s="123">
        <v>1553</v>
      </c>
      <c r="AW189" s="123">
        <v>1517.6923999999999</v>
      </c>
      <c r="AX189" s="123">
        <v>946.62952646239421</v>
      </c>
      <c r="AY189" s="123">
        <v>0</v>
      </c>
    </row>
    <row r="190" spans="1:51">
      <c r="A190" s="108"/>
      <c r="B190" s="118">
        <v>2</v>
      </c>
      <c r="C190" s="105"/>
      <c r="D190" s="105">
        <v>0</v>
      </c>
      <c r="E190" s="105">
        <v>0</v>
      </c>
      <c r="F190" s="105">
        <v>0</v>
      </c>
      <c r="G190" s="105">
        <v>662.66578737760608</v>
      </c>
      <c r="H190" s="105">
        <v>1580</v>
      </c>
      <c r="I190" s="105">
        <v>1446.6914670061676</v>
      </c>
      <c r="J190" s="105">
        <v>1072.2820946861677</v>
      </c>
      <c r="K190" s="105">
        <v>1012.5774085261678</v>
      </c>
      <c r="L190" s="105">
        <v>1609.2953138400001</v>
      </c>
      <c r="M190" s="105">
        <v>1450.5906276800001</v>
      </c>
      <c r="N190" s="105">
        <v>1304.8859415200002</v>
      </c>
      <c r="O190" s="105">
        <v>973.55839586500997</v>
      </c>
      <c r="P190" s="105">
        <v>752.85370970501003</v>
      </c>
      <c r="Q190" s="105">
        <v>586.1490235450101</v>
      </c>
      <c r="R190" s="105">
        <v>92.444337385010158</v>
      </c>
      <c r="S190" s="105">
        <v>0</v>
      </c>
      <c r="T190" s="105">
        <v>1609.2953138400001</v>
      </c>
      <c r="U190" s="105">
        <v>1405.5906276800001</v>
      </c>
      <c r="V190" s="105">
        <v>1431.8859415200002</v>
      </c>
      <c r="W190" s="105">
        <v>1295.1812553600003</v>
      </c>
      <c r="X190" s="105">
        <v>1106.4765692000003</v>
      </c>
      <c r="Y190" s="105">
        <v>844.77188304000038</v>
      </c>
      <c r="Z190" s="105">
        <v>1509</v>
      </c>
      <c r="AA190" s="105">
        <v>1609.2953138400001</v>
      </c>
      <c r="AB190" s="105">
        <v>1606.8859415200002</v>
      </c>
      <c r="AC190" s="105">
        <v>1421.1812553600003</v>
      </c>
      <c r="AD190" s="105">
        <v>1177.4765692000003</v>
      </c>
      <c r="AE190" s="105">
        <v>773.77188304000038</v>
      </c>
      <c r="AF190" s="105">
        <v>335.06719688000044</v>
      </c>
      <c r="AG190" s="105">
        <v>0</v>
      </c>
      <c r="AH190" s="105">
        <v>0</v>
      </c>
      <c r="AI190" s="105">
        <v>662.67807353760588</v>
      </c>
      <c r="AJ190" s="105">
        <v>1609.3075999999999</v>
      </c>
      <c r="AK190" s="105">
        <v>1445.6151999999997</v>
      </c>
      <c r="AL190" s="105">
        <v>1609.3075999999999</v>
      </c>
      <c r="AM190" s="105">
        <v>1538.6151999999997</v>
      </c>
      <c r="AN190" s="105">
        <v>0</v>
      </c>
      <c r="AO190" s="105">
        <v>0</v>
      </c>
      <c r="AP190" s="105">
        <v>1123.321926462394</v>
      </c>
      <c r="AQ190" s="105">
        <v>1467.0143264623941</v>
      </c>
      <c r="AR190" s="105">
        <v>1482.1881444588562</v>
      </c>
      <c r="AS190" s="105">
        <v>932.32055229193793</v>
      </c>
      <c r="AT190" s="105">
        <v>0</v>
      </c>
      <c r="AU190" s="105">
        <v>0</v>
      </c>
      <c r="AV190" s="105">
        <v>0</v>
      </c>
      <c r="AW190" s="105">
        <v>56.307600000000093</v>
      </c>
      <c r="AX190" s="105">
        <v>91.602913840000156</v>
      </c>
      <c r="AY190" s="105">
        <v>630.51472716160595</v>
      </c>
    </row>
    <row r="191" spans="1:51">
      <c r="A191" s="108"/>
      <c r="B191" s="119">
        <v>3</v>
      </c>
      <c r="C191" s="105"/>
      <c r="D191" s="105">
        <v>0</v>
      </c>
      <c r="E191" s="105">
        <v>0</v>
      </c>
      <c r="F191" s="105">
        <v>0</v>
      </c>
      <c r="G191" s="105">
        <v>0</v>
      </c>
      <c r="H191" s="105">
        <v>0</v>
      </c>
      <c r="I191" s="105">
        <v>29.295313840000063</v>
      </c>
      <c r="J191" s="105">
        <v>0</v>
      </c>
      <c r="K191" s="105">
        <v>0</v>
      </c>
      <c r="L191" s="105">
        <v>0</v>
      </c>
      <c r="M191" s="105">
        <v>0</v>
      </c>
      <c r="N191" s="105">
        <v>0</v>
      </c>
      <c r="O191" s="105">
        <v>0</v>
      </c>
      <c r="P191" s="105">
        <v>0</v>
      </c>
      <c r="Q191" s="105">
        <v>0</v>
      </c>
      <c r="R191" s="105">
        <v>0</v>
      </c>
      <c r="S191" s="105">
        <v>0</v>
      </c>
      <c r="T191" s="105">
        <v>0</v>
      </c>
      <c r="U191" s="105">
        <v>0</v>
      </c>
      <c r="V191" s="105">
        <v>0</v>
      </c>
      <c r="W191" s="105">
        <v>0</v>
      </c>
      <c r="X191" s="105">
        <v>0</v>
      </c>
      <c r="Y191" s="105">
        <v>0</v>
      </c>
      <c r="Z191" s="105">
        <v>0</v>
      </c>
      <c r="AA191" s="105">
        <v>100.29531384000006</v>
      </c>
      <c r="AB191" s="105">
        <v>0</v>
      </c>
      <c r="AC191" s="105">
        <v>0</v>
      </c>
      <c r="AD191" s="105">
        <v>0</v>
      </c>
      <c r="AE191" s="105">
        <v>0</v>
      </c>
      <c r="AF191" s="105">
        <v>0</v>
      </c>
      <c r="AG191" s="105">
        <v>0</v>
      </c>
      <c r="AH191" s="105">
        <v>0</v>
      </c>
      <c r="AI191" s="105">
        <v>0</v>
      </c>
      <c r="AJ191" s="105">
        <v>0</v>
      </c>
      <c r="AK191" s="105">
        <v>0</v>
      </c>
      <c r="AL191" s="105">
        <v>0</v>
      </c>
      <c r="AM191" s="105">
        <v>0</v>
      </c>
      <c r="AN191" s="105">
        <v>0</v>
      </c>
      <c r="AO191" s="105">
        <v>0</v>
      </c>
      <c r="AP191" s="105">
        <v>662.67807353760588</v>
      </c>
      <c r="AQ191" s="105">
        <v>485.98567353760586</v>
      </c>
      <c r="AR191" s="105">
        <v>14.22632957708197</v>
      </c>
      <c r="AS191" s="105">
        <v>0</v>
      </c>
      <c r="AT191" s="105">
        <v>0</v>
      </c>
      <c r="AU191" s="105">
        <v>0</v>
      </c>
      <c r="AV191" s="105">
        <v>0</v>
      </c>
      <c r="AW191" s="105">
        <v>0</v>
      </c>
      <c r="AX191" s="105">
        <v>0</v>
      </c>
      <c r="AY191" s="105">
        <v>0</v>
      </c>
    </row>
    <row r="192" spans="1:51">
      <c r="A192" s="108"/>
      <c r="B192" s="119">
        <v>4</v>
      </c>
      <c r="C192" s="105"/>
      <c r="D192" s="105">
        <v>0</v>
      </c>
      <c r="E192" s="105">
        <v>0</v>
      </c>
      <c r="F192" s="105">
        <v>0</v>
      </c>
      <c r="G192" s="105">
        <v>0</v>
      </c>
      <c r="H192" s="105">
        <v>0</v>
      </c>
      <c r="I192" s="105">
        <v>0</v>
      </c>
      <c r="J192" s="105">
        <v>0</v>
      </c>
      <c r="K192" s="105">
        <v>0</v>
      </c>
      <c r="L192" s="105">
        <v>0</v>
      </c>
      <c r="M192" s="105">
        <v>0</v>
      </c>
      <c r="N192" s="105">
        <v>0</v>
      </c>
      <c r="O192" s="105">
        <v>0</v>
      </c>
      <c r="P192" s="105">
        <v>0</v>
      </c>
      <c r="Q192" s="105">
        <v>0</v>
      </c>
      <c r="R192" s="105">
        <v>0</v>
      </c>
      <c r="S192" s="105">
        <v>0</v>
      </c>
      <c r="T192" s="105">
        <v>0</v>
      </c>
      <c r="U192" s="105">
        <v>0</v>
      </c>
      <c r="V192" s="105">
        <v>0</v>
      </c>
      <c r="W192" s="105">
        <v>0</v>
      </c>
      <c r="X192" s="105">
        <v>0</v>
      </c>
      <c r="Y192" s="105">
        <v>0</v>
      </c>
      <c r="Z192" s="105">
        <v>0</v>
      </c>
      <c r="AA192" s="105">
        <v>0</v>
      </c>
      <c r="AB192" s="105">
        <v>0</v>
      </c>
      <c r="AC192" s="105">
        <v>0</v>
      </c>
      <c r="AD192" s="105">
        <v>0</v>
      </c>
      <c r="AE192" s="105">
        <v>0</v>
      </c>
      <c r="AF192" s="105">
        <v>0</v>
      </c>
      <c r="AG192" s="105">
        <v>0</v>
      </c>
      <c r="AH192" s="105">
        <v>0</v>
      </c>
      <c r="AI192" s="105">
        <v>0</v>
      </c>
      <c r="AJ192" s="105">
        <v>0</v>
      </c>
      <c r="AK192" s="105">
        <v>0</v>
      </c>
      <c r="AL192" s="105">
        <v>0</v>
      </c>
      <c r="AM192" s="105">
        <v>0</v>
      </c>
      <c r="AN192" s="105">
        <v>0</v>
      </c>
      <c r="AO192" s="105">
        <v>0</v>
      </c>
      <c r="AP192" s="105">
        <v>0</v>
      </c>
      <c r="AQ192" s="105">
        <v>0</v>
      </c>
      <c r="AR192" s="105">
        <v>0</v>
      </c>
      <c r="AS192" s="105">
        <v>0</v>
      </c>
      <c r="AT192" s="105">
        <v>0</v>
      </c>
      <c r="AU192" s="105">
        <v>0</v>
      </c>
      <c r="AV192" s="105">
        <v>0</v>
      </c>
      <c r="AW192" s="105">
        <v>0</v>
      </c>
      <c r="AX192" s="105">
        <v>0</v>
      </c>
      <c r="AY192" s="105">
        <v>0</v>
      </c>
    </row>
    <row r="193" spans="1:51">
      <c r="A193" s="108"/>
      <c r="B193" s="126">
        <v>5</v>
      </c>
      <c r="C193" s="105"/>
      <c r="D193" s="105">
        <v>0</v>
      </c>
      <c r="E193" s="105">
        <v>0</v>
      </c>
      <c r="F193" s="105">
        <v>0</v>
      </c>
      <c r="G193" s="105">
        <v>0</v>
      </c>
      <c r="H193" s="105">
        <v>0</v>
      </c>
      <c r="I193" s="105">
        <v>0</v>
      </c>
      <c r="J193" s="105">
        <v>0</v>
      </c>
      <c r="K193" s="105">
        <v>0</v>
      </c>
      <c r="L193" s="105">
        <v>0</v>
      </c>
      <c r="M193" s="105">
        <v>0</v>
      </c>
      <c r="N193" s="105">
        <v>0</v>
      </c>
      <c r="O193" s="105">
        <v>0</v>
      </c>
      <c r="P193" s="105">
        <v>0</v>
      </c>
      <c r="Q193" s="105">
        <v>0</v>
      </c>
      <c r="R193" s="105">
        <v>0</v>
      </c>
      <c r="S193" s="105">
        <v>0</v>
      </c>
      <c r="T193" s="105">
        <v>0</v>
      </c>
      <c r="U193" s="105">
        <v>0</v>
      </c>
      <c r="V193" s="105">
        <v>0</v>
      </c>
      <c r="W193" s="105">
        <v>0</v>
      </c>
      <c r="X193" s="105">
        <v>0</v>
      </c>
      <c r="Y193" s="105">
        <v>0</v>
      </c>
      <c r="Z193" s="105">
        <v>0</v>
      </c>
      <c r="AA193" s="105">
        <v>0</v>
      </c>
      <c r="AB193" s="105">
        <v>0</v>
      </c>
      <c r="AC193" s="105">
        <v>0</v>
      </c>
      <c r="AD193" s="105">
        <v>0</v>
      </c>
      <c r="AE193" s="105">
        <v>0</v>
      </c>
      <c r="AF193" s="105">
        <v>0</v>
      </c>
      <c r="AG193" s="105">
        <v>0</v>
      </c>
      <c r="AH193" s="105">
        <v>0</v>
      </c>
      <c r="AI193" s="105">
        <v>0</v>
      </c>
      <c r="AJ193" s="105">
        <v>0</v>
      </c>
      <c r="AK193" s="105">
        <v>0</v>
      </c>
      <c r="AL193" s="105">
        <v>0</v>
      </c>
      <c r="AM193" s="105">
        <v>0</v>
      </c>
      <c r="AN193" s="105">
        <v>0</v>
      </c>
      <c r="AO193" s="105">
        <v>0</v>
      </c>
      <c r="AP193" s="105">
        <v>0</v>
      </c>
      <c r="AQ193" s="105">
        <v>0</v>
      </c>
      <c r="AR193" s="105">
        <v>0</v>
      </c>
      <c r="AS193" s="105">
        <v>0</v>
      </c>
      <c r="AT193" s="105">
        <v>0</v>
      </c>
      <c r="AU193" s="105">
        <v>0</v>
      </c>
      <c r="AV193" s="105">
        <v>0</v>
      </c>
      <c r="AW193" s="105">
        <v>0</v>
      </c>
      <c r="AX193" s="105">
        <v>0</v>
      </c>
      <c r="AY193" s="105">
        <v>0</v>
      </c>
    </row>
    <row r="194" spans="1:51">
      <c r="A194" s="108"/>
      <c r="B194" s="126">
        <v>6</v>
      </c>
      <c r="C194" s="105"/>
      <c r="D194" s="105">
        <v>0</v>
      </c>
      <c r="E194" s="105">
        <v>0</v>
      </c>
      <c r="F194" s="105">
        <v>0</v>
      </c>
      <c r="G194" s="105">
        <v>0</v>
      </c>
      <c r="H194" s="105">
        <v>0</v>
      </c>
      <c r="I194" s="105">
        <v>0</v>
      </c>
      <c r="J194" s="105">
        <v>0</v>
      </c>
      <c r="K194" s="105">
        <v>0</v>
      </c>
      <c r="L194" s="105">
        <v>0</v>
      </c>
      <c r="M194" s="105">
        <v>0</v>
      </c>
      <c r="N194" s="105">
        <v>0</v>
      </c>
      <c r="O194" s="105">
        <v>0</v>
      </c>
      <c r="P194" s="105">
        <v>0</v>
      </c>
      <c r="Q194" s="105">
        <v>0</v>
      </c>
      <c r="R194" s="105">
        <v>0</v>
      </c>
      <c r="S194" s="105">
        <v>0</v>
      </c>
      <c r="T194" s="105">
        <v>0</v>
      </c>
      <c r="U194" s="105">
        <v>0</v>
      </c>
      <c r="V194" s="105">
        <v>0</v>
      </c>
      <c r="W194" s="105">
        <v>0</v>
      </c>
      <c r="X194" s="105">
        <v>0</v>
      </c>
      <c r="Y194" s="105">
        <v>0</v>
      </c>
      <c r="Z194" s="105">
        <v>0</v>
      </c>
      <c r="AA194" s="105">
        <v>0</v>
      </c>
      <c r="AB194" s="105">
        <v>0</v>
      </c>
      <c r="AC194" s="105">
        <v>0</v>
      </c>
      <c r="AD194" s="105">
        <v>0</v>
      </c>
      <c r="AE194" s="105">
        <v>0</v>
      </c>
      <c r="AF194" s="105">
        <v>0</v>
      </c>
      <c r="AG194" s="105">
        <v>0</v>
      </c>
      <c r="AH194" s="105">
        <v>0</v>
      </c>
      <c r="AI194" s="105">
        <v>0</v>
      </c>
      <c r="AJ194" s="105">
        <v>0</v>
      </c>
      <c r="AK194" s="105">
        <v>0</v>
      </c>
      <c r="AL194" s="105">
        <v>0</v>
      </c>
      <c r="AM194" s="105">
        <v>0</v>
      </c>
      <c r="AN194" s="105">
        <v>0</v>
      </c>
      <c r="AO194" s="105">
        <v>0</v>
      </c>
      <c r="AP194" s="105">
        <v>0</v>
      </c>
      <c r="AQ194" s="105">
        <v>0</v>
      </c>
      <c r="AR194" s="105">
        <v>0</v>
      </c>
      <c r="AS194" s="105">
        <v>0</v>
      </c>
      <c r="AT194" s="105">
        <v>0</v>
      </c>
      <c r="AU194" s="105">
        <v>0</v>
      </c>
      <c r="AV194" s="105">
        <v>0</v>
      </c>
      <c r="AW194" s="105">
        <v>0</v>
      </c>
      <c r="AX194" s="105">
        <v>0</v>
      </c>
      <c r="AY194" s="105">
        <v>0</v>
      </c>
    </row>
    <row r="195" spans="1:51">
      <c r="A195" s="108"/>
      <c r="B195" s="129">
        <v>7</v>
      </c>
      <c r="C195" s="105"/>
      <c r="D195" s="105">
        <v>0</v>
      </c>
      <c r="E195" s="105">
        <v>0</v>
      </c>
      <c r="F195" s="105">
        <v>0</v>
      </c>
      <c r="G195" s="105">
        <v>0</v>
      </c>
      <c r="H195" s="105">
        <v>0</v>
      </c>
      <c r="I195" s="105">
        <v>0</v>
      </c>
      <c r="J195" s="105">
        <v>0</v>
      </c>
      <c r="K195" s="105">
        <v>0</v>
      </c>
      <c r="L195" s="105">
        <v>0</v>
      </c>
      <c r="M195" s="105">
        <v>0</v>
      </c>
      <c r="N195" s="105">
        <v>0</v>
      </c>
      <c r="O195" s="105">
        <v>0</v>
      </c>
      <c r="P195" s="105">
        <v>0</v>
      </c>
      <c r="Q195" s="105">
        <v>0</v>
      </c>
      <c r="R195" s="105">
        <v>0</v>
      </c>
      <c r="S195" s="105">
        <v>0</v>
      </c>
      <c r="T195" s="105">
        <v>0</v>
      </c>
      <c r="U195" s="105">
        <v>0</v>
      </c>
      <c r="V195" s="105">
        <v>0</v>
      </c>
      <c r="W195" s="105">
        <v>0</v>
      </c>
      <c r="X195" s="105">
        <v>0</v>
      </c>
      <c r="Y195" s="105">
        <v>0</v>
      </c>
      <c r="Z195" s="105">
        <v>0</v>
      </c>
      <c r="AA195" s="105">
        <v>0</v>
      </c>
      <c r="AB195" s="105">
        <v>0</v>
      </c>
      <c r="AC195" s="105">
        <v>0</v>
      </c>
      <c r="AD195" s="105">
        <v>0</v>
      </c>
      <c r="AE195" s="105">
        <v>0</v>
      </c>
      <c r="AF195" s="105">
        <v>0</v>
      </c>
      <c r="AG195" s="105">
        <v>0</v>
      </c>
      <c r="AH195" s="105">
        <v>0</v>
      </c>
      <c r="AI195" s="105">
        <v>0</v>
      </c>
      <c r="AJ195" s="105">
        <v>0</v>
      </c>
      <c r="AK195" s="105">
        <v>0</v>
      </c>
      <c r="AL195" s="105">
        <v>0</v>
      </c>
      <c r="AM195" s="105">
        <v>0</v>
      </c>
      <c r="AN195" s="105">
        <v>0</v>
      </c>
      <c r="AO195" s="105">
        <v>0</v>
      </c>
      <c r="AP195" s="105">
        <v>0</v>
      </c>
      <c r="AQ195" s="105">
        <v>0</v>
      </c>
      <c r="AR195" s="105">
        <v>0</v>
      </c>
      <c r="AS195" s="105">
        <v>0</v>
      </c>
      <c r="AT195" s="105">
        <v>0</v>
      </c>
      <c r="AU195" s="105">
        <v>0</v>
      </c>
      <c r="AV195" s="105">
        <v>0</v>
      </c>
      <c r="AW195" s="105">
        <v>0</v>
      </c>
      <c r="AX195" s="105">
        <v>0</v>
      </c>
      <c r="AY195" s="105">
        <v>0</v>
      </c>
    </row>
    <row r="196" spans="1:51">
      <c r="A196" s="127"/>
      <c r="B196" s="128">
        <v>8</v>
      </c>
      <c r="C196" s="113"/>
      <c r="D196" s="113">
        <v>0</v>
      </c>
      <c r="E196" s="113">
        <v>0</v>
      </c>
      <c r="F196" s="113">
        <v>0</v>
      </c>
      <c r="G196" s="113">
        <v>0</v>
      </c>
      <c r="H196" s="113">
        <v>0</v>
      </c>
      <c r="I196" s="113">
        <v>0</v>
      </c>
      <c r="J196" s="113">
        <v>0</v>
      </c>
      <c r="K196" s="113">
        <v>0</v>
      </c>
      <c r="L196" s="113">
        <v>0</v>
      </c>
      <c r="M196" s="113">
        <v>0</v>
      </c>
      <c r="N196" s="113">
        <v>0</v>
      </c>
      <c r="O196" s="113">
        <v>0</v>
      </c>
      <c r="P196" s="113">
        <v>0</v>
      </c>
      <c r="Q196" s="113">
        <v>0</v>
      </c>
      <c r="R196" s="113">
        <v>0</v>
      </c>
      <c r="S196" s="113">
        <v>0</v>
      </c>
      <c r="T196" s="113">
        <v>0</v>
      </c>
      <c r="U196" s="113">
        <v>0</v>
      </c>
      <c r="V196" s="113">
        <v>0</v>
      </c>
      <c r="W196" s="113">
        <v>0</v>
      </c>
      <c r="X196" s="113">
        <v>0</v>
      </c>
      <c r="Y196" s="113">
        <v>0</v>
      </c>
      <c r="Z196" s="113">
        <v>0</v>
      </c>
      <c r="AA196" s="113">
        <v>0</v>
      </c>
      <c r="AB196" s="113">
        <v>0</v>
      </c>
      <c r="AC196" s="113">
        <v>0</v>
      </c>
      <c r="AD196" s="113">
        <v>0</v>
      </c>
      <c r="AE196" s="113">
        <v>0</v>
      </c>
      <c r="AF196" s="113">
        <v>0</v>
      </c>
      <c r="AG196" s="113">
        <v>0</v>
      </c>
      <c r="AH196" s="113">
        <v>0</v>
      </c>
      <c r="AI196" s="113">
        <v>0</v>
      </c>
      <c r="AJ196" s="113">
        <v>0</v>
      </c>
      <c r="AK196" s="113">
        <v>0</v>
      </c>
      <c r="AL196" s="113">
        <v>0</v>
      </c>
      <c r="AM196" s="113">
        <v>0</v>
      </c>
      <c r="AN196" s="113">
        <v>0</v>
      </c>
      <c r="AO196" s="113">
        <v>0</v>
      </c>
      <c r="AP196" s="113">
        <v>0</v>
      </c>
      <c r="AQ196" s="113">
        <v>0</v>
      </c>
      <c r="AR196" s="113">
        <v>0</v>
      </c>
      <c r="AS196" s="113">
        <v>0</v>
      </c>
      <c r="AT196" s="113">
        <v>0</v>
      </c>
      <c r="AU196" s="113">
        <v>0</v>
      </c>
      <c r="AV196" s="113">
        <v>0</v>
      </c>
      <c r="AW196" s="113">
        <v>0</v>
      </c>
      <c r="AX196" s="113">
        <v>0</v>
      </c>
      <c r="AY196" s="113">
        <v>0</v>
      </c>
    </row>
    <row r="197" spans="1:51">
      <c r="A197" s="130" t="s">
        <v>134</v>
      </c>
      <c r="B197" s="118">
        <v>1</v>
      </c>
      <c r="C197" s="105"/>
      <c r="D197" s="105">
        <v>0</v>
      </c>
      <c r="E197" s="105">
        <v>0</v>
      </c>
      <c r="F197" s="105">
        <v>0</v>
      </c>
      <c r="G197" s="105">
        <v>336.74508300835635</v>
      </c>
      <c r="H197" s="105">
        <v>235.73049365065856</v>
      </c>
      <c r="I197" s="105">
        <v>510</v>
      </c>
      <c r="J197" s="105">
        <v>113.81038545797696</v>
      </c>
      <c r="K197" s="105">
        <v>0</v>
      </c>
      <c r="L197" s="105">
        <v>0</v>
      </c>
      <c r="M197" s="105">
        <v>0</v>
      </c>
      <c r="N197" s="105">
        <v>0</v>
      </c>
      <c r="O197" s="105">
        <v>0</v>
      </c>
      <c r="P197" s="105">
        <v>0</v>
      </c>
      <c r="Q197" s="105">
        <v>0</v>
      </c>
      <c r="R197" s="105">
        <v>0</v>
      </c>
      <c r="S197" s="105">
        <v>0</v>
      </c>
      <c r="T197" s="105">
        <v>0</v>
      </c>
      <c r="U197" s="105">
        <v>0</v>
      </c>
      <c r="V197" s="105">
        <v>0</v>
      </c>
      <c r="W197" s="105">
        <v>0</v>
      </c>
      <c r="X197" s="105">
        <v>0</v>
      </c>
      <c r="Y197" s="105">
        <v>0</v>
      </c>
      <c r="Z197" s="105">
        <v>0</v>
      </c>
      <c r="AA197" s="105">
        <v>0</v>
      </c>
      <c r="AB197" s="105">
        <v>0</v>
      </c>
      <c r="AC197" s="105">
        <v>0</v>
      </c>
      <c r="AD197" s="105">
        <v>0</v>
      </c>
      <c r="AE197" s="105">
        <v>0</v>
      </c>
      <c r="AF197" s="105">
        <v>0</v>
      </c>
      <c r="AG197" s="105">
        <v>0</v>
      </c>
      <c r="AH197" s="105">
        <v>0</v>
      </c>
      <c r="AI197" s="105">
        <v>0</v>
      </c>
      <c r="AJ197" s="105">
        <v>0</v>
      </c>
      <c r="AK197" s="105">
        <v>0</v>
      </c>
      <c r="AL197" s="105">
        <v>0</v>
      </c>
      <c r="AM197" s="105">
        <v>0</v>
      </c>
      <c r="AN197" s="105">
        <v>0</v>
      </c>
      <c r="AO197" s="105">
        <v>0</v>
      </c>
      <c r="AP197" s="105">
        <v>0</v>
      </c>
      <c r="AQ197" s="105">
        <v>0</v>
      </c>
      <c r="AR197" s="105">
        <v>0</v>
      </c>
      <c r="AS197" s="105">
        <v>0</v>
      </c>
      <c r="AT197" s="105">
        <v>0</v>
      </c>
      <c r="AU197" s="105">
        <v>0</v>
      </c>
      <c r="AV197" s="105">
        <v>0</v>
      </c>
      <c r="AW197" s="105">
        <v>0</v>
      </c>
      <c r="AX197" s="105">
        <v>0</v>
      </c>
      <c r="AY197" s="105">
        <v>0</v>
      </c>
    </row>
    <row r="198" spans="1:51">
      <c r="A198" s="108"/>
      <c r="B198" s="118">
        <v>2</v>
      </c>
      <c r="C198" s="105"/>
      <c r="D198" s="105">
        <v>0</v>
      </c>
      <c r="E198" s="105">
        <v>0</v>
      </c>
      <c r="F198" s="105">
        <v>0</v>
      </c>
      <c r="G198" s="105">
        <v>0</v>
      </c>
      <c r="H198" s="105">
        <v>0</v>
      </c>
      <c r="I198" s="105">
        <v>0</v>
      </c>
      <c r="J198" s="105">
        <v>385.18961454202304</v>
      </c>
      <c r="K198" s="105">
        <v>432.37853005190829</v>
      </c>
      <c r="L198" s="105">
        <v>94.663005314756504</v>
      </c>
      <c r="M198" s="105">
        <v>0</v>
      </c>
      <c r="N198" s="105">
        <v>171.94142929769484</v>
      </c>
      <c r="O198" s="105">
        <v>0</v>
      </c>
      <c r="P198" s="105">
        <v>0</v>
      </c>
      <c r="Q198" s="105">
        <v>0</v>
      </c>
      <c r="R198" s="105">
        <v>0</v>
      </c>
      <c r="S198" s="105">
        <v>0</v>
      </c>
      <c r="T198" s="105">
        <v>0</v>
      </c>
      <c r="U198" s="105">
        <v>0</v>
      </c>
      <c r="V198" s="105">
        <v>0</v>
      </c>
      <c r="W198" s="105">
        <v>0</v>
      </c>
      <c r="X198" s="105">
        <v>0</v>
      </c>
      <c r="Y198" s="105">
        <v>0</v>
      </c>
      <c r="Z198" s="105">
        <v>0</v>
      </c>
      <c r="AA198" s="105">
        <v>0</v>
      </c>
      <c r="AB198" s="105">
        <v>0</v>
      </c>
      <c r="AC198" s="105">
        <v>0</v>
      </c>
      <c r="AD198" s="105">
        <v>0</v>
      </c>
      <c r="AE198" s="105">
        <v>0</v>
      </c>
      <c r="AF198" s="105">
        <v>0</v>
      </c>
      <c r="AG198" s="105">
        <v>0</v>
      </c>
      <c r="AH198" s="105">
        <v>0</v>
      </c>
      <c r="AI198" s="105">
        <v>0</v>
      </c>
      <c r="AJ198" s="105">
        <v>0</v>
      </c>
      <c r="AK198" s="105">
        <v>0</v>
      </c>
      <c r="AL198" s="105">
        <v>0</v>
      </c>
      <c r="AM198" s="105">
        <v>0</v>
      </c>
      <c r="AN198" s="105">
        <v>0</v>
      </c>
      <c r="AO198" s="105">
        <v>0</v>
      </c>
      <c r="AP198" s="105">
        <v>0</v>
      </c>
      <c r="AQ198" s="105">
        <v>0</v>
      </c>
      <c r="AR198" s="105">
        <v>0</v>
      </c>
      <c r="AS198" s="105">
        <v>0</v>
      </c>
      <c r="AT198" s="105">
        <v>0</v>
      </c>
      <c r="AU198" s="105">
        <v>0</v>
      </c>
      <c r="AV198" s="105">
        <v>0</v>
      </c>
      <c r="AW198" s="105">
        <v>0</v>
      </c>
      <c r="AX198" s="105">
        <v>0</v>
      </c>
      <c r="AY198" s="105">
        <v>0</v>
      </c>
    </row>
    <row r="199" spans="1:51">
      <c r="A199" s="108"/>
      <c r="B199" s="118">
        <v>3</v>
      </c>
      <c r="C199" s="105"/>
      <c r="D199" s="105">
        <v>0</v>
      </c>
      <c r="E199" s="105">
        <v>0</v>
      </c>
      <c r="F199" s="105">
        <v>0</v>
      </c>
      <c r="G199" s="105">
        <v>0</v>
      </c>
      <c r="H199" s="105">
        <v>0</v>
      </c>
      <c r="I199" s="105">
        <v>0</v>
      </c>
      <c r="J199" s="105">
        <v>0</v>
      </c>
      <c r="K199" s="105">
        <v>0</v>
      </c>
      <c r="L199" s="105">
        <v>305.3369946852435</v>
      </c>
      <c r="M199" s="105">
        <v>391</v>
      </c>
      <c r="N199" s="105">
        <v>96.920643907501045</v>
      </c>
      <c r="O199" s="105">
        <v>517</v>
      </c>
      <c r="P199" s="105">
        <v>52.990275979665057</v>
      </c>
      <c r="Q199" s="105">
        <v>0</v>
      </c>
      <c r="R199" s="105">
        <v>0</v>
      </c>
      <c r="S199" s="105">
        <v>0</v>
      </c>
      <c r="T199" s="105">
        <v>0</v>
      </c>
      <c r="U199" s="105">
        <v>0</v>
      </c>
      <c r="V199" s="105">
        <v>0</v>
      </c>
      <c r="W199" s="105">
        <v>0</v>
      </c>
      <c r="X199" s="105">
        <v>0</v>
      </c>
      <c r="Y199" s="105">
        <v>0</v>
      </c>
      <c r="Z199" s="105">
        <v>0</v>
      </c>
      <c r="AA199" s="105">
        <v>0</v>
      </c>
      <c r="AB199" s="105">
        <v>0</v>
      </c>
      <c r="AC199" s="105">
        <v>0</v>
      </c>
      <c r="AD199" s="105">
        <v>0</v>
      </c>
      <c r="AE199" s="105">
        <v>0</v>
      </c>
      <c r="AF199" s="105">
        <v>0</v>
      </c>
      <c r="AG199" s="105">
        <v>0</v>
      </c>
      <c r="AH199" s="105">
        <v>0</v>
      </c>
      <c r="AI199" s="105">
        <v>0</v>
      </c>
      <c r="AJ199" s="105">
        <v>0</v>
      </c>
      <c r="AK199" s="105">
        <v>0</v>
      </c>
      <c r="AL199" s="105">
        <v>0</v>
      </c>
      <c r="AM199" s="105">
        <v>0</v>
      </c>
      <c r="AN199" s="105">
        <v>0</v>
      </c>
      <c r="AO199" s="105">
        <v>0</v>
      </c>
      <c r="AP199" s="105">
        <v>0</v>
      </c>
      <c r="AQ199" s="105">
        <v>0</v>
      </c>
      <c r="AR199" s="105">
        <v>0</v>
      </c>
      <c r="AS199" s="105">
        <v>0</v>
      </c>
      <c r="AT199" s="105">
        <v>0</v>
      </c>
      <c r="AU199" s="105">
        <v>0</v>
      </c>
      <c r="AV199" s="105">
        <v>0</v>
      </c>
      <c r="AW199" s="105">
        <v>0</v>
      </c>
      <c r="AX199" s="105">
        <v>0</v>
      </c>
      <c r="AY199" s="105">
        <v>0</v>
      </c>
    </row>
    <row r="200" spans="1:51">
      <c r="A200" s="108"/>
      <c r="B200" s="119">
        <v>4</v>
      </c>
      <c r="C200" s="105"/>
      <c r="D200" s="105">
        <v>0</v>
      </c>
      <c r="E200" s="105">
        <v>0</v>
      </c>
      <c r="F200" s="105">
        <v>0</v>
      </c>
      <c r="G200" s="105">
        <v>0</v>
      </c>
      <c r="H200" s="105">
        <v>0</v>
      </c>
      <c r="I200" s="105">
        <v>0</v>
      </c>
      <c r="J200" s="105">
        <v>0</v>
      </c>
      <c r="K200" s="105">
        <v>0</v>
      </c>
      <c r="L200" s="105">
        <v>0</v>
      </c>
      <c r="M200" s="105">
        <v>0</v>
      </c>
      <c r="N200" s="105">
        <v>228.13792679480412</v>
      </c>
      <c r="O200" s="105">
        <v>0</v>
      </c>
      <c r="P200" s="105">
        <v>456.00972402033494</v>
      </c>
      <c r="Q200" s="105">
        <v>381</v>
      </c>
      <c r="R200" s="105">
        <v>45.340146188308381</v>
      </c>
      <c r="S200" s="105">
        <v>0</v>
      </c>
      <c r="T200" s="105">
        <v>0</v>
      </c>
      <c r="U200" s="105">
        <v>0</v>
      </c>
      <c r="V200" s="105">
        <v>0</v>
      </c>
      <c r="W200" s="105">
        <v>0</v>
      </c>
      <c r="X200" s="105">
        <v>0</v>
      </c>
      <c r="Y200" s="105">
        <v>0</v>
      </c>
      <c r="Z200" s="105">
        <v>0</v>
      </c>
      <c r="AA200" s="105">
        <v>0</v>
      </c>
      <c r="AB200" s="105">
        <v>0</v>
      </c>
      <c r="AC200" s="105">
        <v>0</v>
      </c>
      <c r="AD200" s="105">
        <v>0</v>
      </c>
      <c r="AE200" s="105">
        <v>0</v>
      </c>
      <c r="AF200" s="105">
        <v>0</v>
      </c>
      <c r="AG200" s="105">
        <v>0</v>
      </c>
      <c r="AH200" s="105">
        <v>0</v>
      </c>
      <c r="AI200" s="105">
        <v>0</v>
      </c>
      <c r="AJ200" s="105">
        <v>0</v>
      </c>
      <c r="AK200" s="105">
        <v>0</v>
      </c>
      <c r="AL200" s="105">
        <v>0</v>
      </c>
      <c r="AM200" s="105">
        <v>0</v>
      </c>
      <c r="AN200" s="105">
        <v>0</v>
      </c>
      <c r="AO200" s="105">
        <v>0</v>
      </c>
      <c r="AP200" s="105">
        <v>0</v>
      </c>
      <c r="AQ200" s="105">
        <v>0</v>
      </c>
      <c r="AR200" s="105">
        <v>0</v>
      </c>
      <c r="AS200" s="105">
        <v>0</v>
      </c>
      <c r="AT200" s="105">
        <v>0</v>
      </c>
      <c r="AU200" s="105">
        <v>0</v>
      </c>
      <c r="AV200" s="105">
        <v>0</v>
      </c>
      <c r="AW200" s="105">
        <v>0</v>
      </c>
      <c r="AX200" s="105">
        <v>0</v>
      </c>
      <c r="AY200" s="105">
        <v>0</v>
      </c>
    </row>
    <row r="201" spans="1:51">
      <c r="A201" s="108"/>
      <c r="B201" s="119">
        <v>5</v>
      </c>
      <c r="C201" s="105"/>
      <c r="D201" s="105">
        <v>0</v>
      </c>
      <c r="E201" s="105">
        <v>0</v>
      </c>
      <c r="F201" s="105">
        <v>0</v>
      </c>
      <c r="G201" s="105">
        <v>0</v>
      </c>
      <c r="H201" s="105">
        <v>0</v>
      </c>
      <c r="I201" s="105">
        <v>0</v>
      </c>
      <c r="J201" s="105">
        <v>0</v>
      </c>
      <c r="K201" s="105">
        <v>0</v>
      </c>
      <c r="L201" s="105">
        <v>0</v>
      </c>
      <c r="M201" s="105">
        <v>0</v>
      </c>
      <c r="N201" s="105">
        <v>0</v>
      </c>
      <c r="O201" s="105">
        <v>0</v>
      </c>
      <c r="P201" s="105">
        <v>0</v>
      </c>
      <c r="Q201" s="105">
        <v>0</v>
      </c>
      <c r="R201" s="105">
        <v>388.65985381169162</v>
      </c>
      <c r="S201" s="105">
        <v>476</v>
      </c>
      <c r="T201" s="105">
        <v>363.55644543557855</v>
      </c>
      <c r="U201" s="105">
        <v>201.05457513560214</v>
      </c>
      <c r="V201" s="105">
        <v>0</v>
      </c>
      <c r="W201" s="105">
        <v>0</v>
      </c>
      <c r="X201" s="105">
        <v>0</v>
      </c>
      <c r="Y201" s="105">
        <v>89.449863317400727</v>
      </c>
      <c r="Z201" s="105">
        <v>0</v>
      </c>
      <c r="AA201" s="105">
        <v>0</v>
      </c>
      <c r="AB201" s="105">
        <v>0</v>
      </c>
      <c r="AC201" s="105">
        <v>0</v>
      </c>
      <c r="AD201" s="105">
        <v>0</v>
      </c>
      <c r="AE201" s="105">
        <v>0</v>
      </c>
      <c r="AF201" s="105">
        <v>0</v>
      </c>
      <c r="AG201" s="105">
        <v>0</v>
      </c>
      <c r="AH201" s="105">
        <v>0</v>
      </c>
      <c r="AI201" s="105">
        <v>0</v>
      </c>
      <c r="AJ201" s="105">
        <v>0</v>
      </c>
      <c r="AK201" s="105">
        <v>0</v>
      </c>
      <c r="AL201" s="105">
        <v>0</v>
      </c>
      <c r="AM201" s="105">
        <v>0</v>
      </c>
      <c r="AN201" s="105">
        <v>0</v>
      </c>
      <c r="AO201" s="105">
        <v>0</v>
      </c>
      <c r="AP201" s="105">
        <v>0</v>
      </c>
      <c r="AQ201" s="105">
        <v>0</v>
      </c>
      <c r="AR201" s="105">
        <v>0</v>
      </c>
      <c r="AS201" s="105">
        <v>0</v>
      </c>
      <c r="AT201" s="105">
        <v>0</v>
      </c>
      <c r="AU201" s="105">
        <v>0</v>
      </c>
      <c r="AV201" s="105">
        <v>0</v>
      </c>
      <c r="AW201" s="105">
        <v>0</v>
      </c>
      <c r="AX201" s="105">
        <v>0</v>
      </c>
      <c r="AY201" s="105">
        <v>0</v>
      </c>
    </row>
    <row r="202" spans="1:51">
      <c r="A202" s="108"/>
      <c r="B202" s="119">
        <v>6</v>
      </c>
      <c r="C202" s="105"/>
      <c r="D202" s="105">
        <v>0</v>
      </c>
      <c r="E202" s="105">
        <v>0</v>
      </c>
      <c r="F202" s="105">
        <v>0</v>
      </c>
      <c r="G202" s="105">
        <v>0</v>
      </c>
      <c r="H202" s="105">
        <v>0</v>
      </c>
      <c r="I202" s="105">
        <v>0</v>
      </c>
      <c r="J202" s="105">
        <v>0</v>
      </c>
      <c r="K202" s="105">
        <v>0</v>
      </c>
      <c r="L202" s="105">
        <v>0</v>
      </c>
      <c r="M202" s="105">
        <v>0</v>
      </c>
      <c r="N202" s="105">
        <v>0</v>
      </c>
      <c r="O202" s="105">
        <v>0</v>
      </c>
      <c r="P202" s="105">
        <v>0</v>
      </c>
      <c r="Q202" s="105">
        <v>0</v>
      </c>
      <c r="R202" s="105">
        <v>0</v>
      </c>
      <c r="S202" s="105">
        <v>0</v>
      </c>
      <c r="T202" s="105">
        <v>133.44355456442145</v>
      </c>
      <c r="U202" s="105">
        <v>265.94542486439786</v>
      </c>
      <c r="V202" s="105">
        <v>413</v>
      </c>
      <c r="W202" s="105">
        <v>470.67391473115674</v>
      </c>
      <c r="X202" s="105">
        <v>326.79203362014664</v>
      </c>
      <c r="Y202" s="105">
        <v>101.29897501394841</v>
      </c>
      <c r="Z202" s="105">
        <v>371</v>
      </c>
      <c r="AA202" s="105">
        <v>0</v>
      </c>
      <c r="AB202" s="105">
        <v>0</v>
      </c>
      <c r="AC202" s="105">
        <v>0</v>
      </c>
      <c r="AD202" s="105">
        <v>0</v>
      </c>
      <c r="AE202" s="105">
        <v>0</v>
      </c>
      <c r="AF202" s="105">
        <v>0</v>
      </c>
      <c r="AG202" s="105">
        <v>0</v>
      </c>
      <c r="AH202" s="105">
        <v>0</v>
      </c>
      <c r="AI202" s="105">
        <v>0</v>
      </c>
      <c r="AJ202" s="105">
        <v>0</v>
      </c>
      <c r="AK202" s="105">
        <v>0</v>
      </c>
      <c r="AL202" s="105">
        <v>0</v>
      </c>
      <c r="AM202" s="105">
        <v>0</v>
      </c>
      <c r="AN202" s="105">
        <v>0</v>
      </c>
      <c r="AO202" s="105">
        <v>0</v>
      </c>
      <c r="AP202" s="105">
        <v>0</v>
      </c>
      <c r="AQ202" s="105">
        <v>0</v>
      </c>
      <c r="AR202" s="105">
        <v>0</v>
      </c>
      <c r="AS202" s="105">
        <v>0</v>
      </c>
      <c r="AT202" s="105">
        <v>0</v>
      </c>
      <c r="AU202" s="105">
        <v>0</v>
      </c>
      <c r="AV202" s="105">
        <v>0</v>
      </c>
      <c r="AW202" s="105">
        <v>0</v>
      </c>
      <c r="AX202" s="105">
        <v>0</v>
      </c>
      <c r="AY202" s="105">
        <v>0</v>
      </c>
    </row>
    <row r="203" spans="1:51">
      <c r="A203" s="108"/>
      <c r="B203" s="126">
        <v>7</v>
      </c>
      <c r="C203" s="105"/>
      <c r="D203" s="105">
        <v>0</v>
      </c>
      <c r="E203" s="105">
        <v>0</v>
      </c>
      <c r="F203" s="105">
        <v>0</v>
      </c>
      <c r="G203" s="105">
        <v>0</v>
      </c>
      <c r="H203" s="105">
        <v>0</v>
      </c>
      <c r="I203" s="105">
        <v>0</v>
      </c>
      <c r="J203" s="105">
        <v>0</v>
      </c>
      <c r="K203" s="105">
        <v>0</v>
      </c>
      <c r="L203" s="105">
        <v>0</v>
      </c>
      <c r="M203" s="105">
        <v>0</v>
      </c>
      <c r="N203" s="105">
        <v>0</v>
      </c>
      <c r="O203" s="105">
        <v>0</v>
      </c>
      <c r="P203" s="105">
        <v>0</v>
      </c>
      <c r="Q203" s="105">
        <v>0</v>
      </c>
      <c r="R203" s="105">
        <v>0</v>
      </c>
      <c r="S203" s="105">
        <v>0</v>
      </c>
      <c r="T203" s="105">
        <v>0</v>
      </c>
      <c r="U203" s="105">
        <v>0</v>
      </c>
      <c r="V203" s="105">
        <v>0</v>
      </c>
      <c r="W203" s="105">
        <v>3.3260852688432578</v>
      </c>
      <c r="X203" s="105">
        <v>172.20796637985336</v>
      </c>
      <c r="Y203" s="105">
        <v>325.5505450163696</v>
      </c>
      <c r="Z203" s="105">
        <v>0</v>
      </c>
      <c r="AA203" s="105">
        <v>360</v>
      </c>
      <c r="AB203" s="105">
        <v>406.22920365002949</v>
      </c>
      <c r="AC203" s="105">
        <v>0</v>
      </c>
      <c r="AD203" s="105">
        <v>0</v>
      </c>
      <c r="AE203" s="105">
        <v>0</v>
      </c>
      <c r="AF203" s="105">
        <v>0</v>
      </c>
      <c r="AG203" s="105">
        <v>0</v>
      </c>
      <c r="AH203" s="105">
        <v>0</v>
      </c>
      <c r="AI203" s="105">
        <v>0</v>
      </c>
      <c r="AJ203" s="105">
        <v>0</v>
      </c>
      <c r="AK203" s="105">
        <v>0</v>
      </c>
      <c r="AL203" s="105">
        <v>0</v>
      </c>
      <c r="AM203" s="105">
        <v>0</v>
      </c>
      <c r="AN203" s="105">
        <v>0</v>
      </c>
      <c r="AO203" s="105">
        <v>0</v>
      </c>
      <c r="AP203" s="105">
        <v>0</v>
      </c>
      <c r="AQ203" s="105">
        <v>0</v>
      </c>
      <c r="AR203" s="105">
        <v>0</v>
      </c>
      <c r="AS203" s="105">
        <v>0</v>
      </c>
      <c r="AT203" s="105">
        <v>0</v>
      </c>
      <c r="AU203" s="105">
        <v>0</v>
      </c>
      <c r="AV203" s="105">
        <v>0</v>
      </c>
      <c r="AW203" s="105">
        <v>0</v>
      </c>
      <c r="AX203" s="105">
        <v>0</v>
      </c>
      <c r="AY203" s="105">
        <v>0</v>
      </c>
    </row>
    <row r="204" spans="1:51">
      <c r="A204" s="108"/>
      <c r="B204" s="126">
        <v>8</v>
      </c>
      <c r="C204" s="105"/>
      <c r="D204" s="105">
        <v>0</v>
      </c>
      <c r="E204" s="105">
        <v>0</v>
      </c>
      <c r="F204" s="105">
        <v>0</v>
      </c>
      <c r="G204" s="105">
        <v>0</v>
      </c>
      <c r="H204" s="105">
        <v>0</v>
      </c>
      <c r="I204" s="105">
        <v>0</v>
      </c>
      <c r="J204" s="105">
        <v>0</v>
      </c>
      <c r="K204" s="105">
        <v>0</v>
      </c>
      <c r="L204" s="105">
        <v>0</v>
      </c>
      <c r="M204" s="105">
        <v>0</v>
      </c>
      <c r="N204" s="105">
        <v>0</v>
      </c>
      <c r="O204" s="105">
        <v>0</v>
      </c>
      <c r="P204" s="105">
        <v>0</v>
      </c>
      <c r="Q204" s="105">
        <v>0</v>
      </c>
      <c r="R204" s="105">
        <v>0</v>
      </c>
      <c r="S204" s="105">
        <v>0</v>
      </c>
      <c r="T204" s="105">
        <v>0</v>
      </c>
      <c r="U204" s="105">
        <v>0</v>
      </c>
      <c r="V204" s="105">
        <v>0</v>
      </c>
      <c r="W204" s="105">
        <v>0</v>
      </c>
      <c r="X204" s="105">
        <v>0</v>
      </c>
      <c r="Y204" s="105">
        <v>0</v>
      </c>
      <c r="Z204" s="105">
        <v>0</v>
      </c>
      <c r="AA204" s="105">
        <v>0</v>
      </c>
      <c r="AB204" s="105">
        <v>88.77079634997051</v>
      </c>
      <c r="AC204" s="105">
        <v>408</v>
      </c>
      <c r="AD204" s="105">
        <v>294.50898272235236</v>
      </c>
      <c r="AE204" s="105">
        <v>65.646404727637105</v>
      </c>
      <c r="AF204" s="105">
        <v>0</v>
      </c>
      <c r="AG204" s="105">
        <v>0</v>
      </c>
      <c r="AH204" s="105">
        <v>182.81786557711493</v>
      </c>
      <c r="AI204" s="105">
        <v>0</v>
      </c>
      <c r="AJ204" s="105">
        <v>0</v>
      </c>
      <c r="AK204" s="105">
        <v>0</v>
      </c>
      <c r="AL204" s="105">
        <v>0</v>
      </c>
      <c r="AM204" s="105">
        <v>0</v>
      </c>
      <c r="AN204" s="105">
        <v>0</v>
      </c>
      <c r="AO204" s="105">
        <v>0</v>
      </c>
      <c r="AP204" s="105">
        <v>0</v>
      </c>
      <c r="AQ204" s="105">
        <v>0</v>
      </c>
      <c r="AR204" s="105">
        <v>0</v>
      </c>
      <c r="AS204" s="105">
        <v>0</v>
      </c>
      <c r="AT204" s="105">
        <v>0</v>
      </c>
      <c r="AU204" s="105">
        <v>0</v>
      </c>
      <c r="AV204" s="105">
        <v>0</v>
      </c>
      <c r="AW204" s="105">
        <v>0</v>
      </c>
      <c r="AX204" s="105">
        <v>0</v>
      </c>
      <c r="AY204" s="105">
        <v>0</v>
      </c>
    </row>
    <row r="205" spans="1:51">
      <c r="A205" s="108"/>
      <c r="B205" s="126">
        <v>9</v>
      </c>
      <c r="C205" s="105"/>
      <c r="D205" s="105">
        <v>0</v>
      </c>
      <c r="E205" s="105">
        <v>0</v>
      </c>
      <c r="F205" s="105">
        <v>0</v>
      </c>
      <c r="G205" s="105">
        <v>0</v>
      </c>
      <c r="H205" s="105">
        <v>0</v>
      </c>
      <c r="I205" s="105">
        <v>0</v>
      </c>
      <c r="J205" s="105">
        <v>0</v>
      </c>
      <c r="K205" s="105">
        <v>0</v>
      </c>
      <c r="L205" s="105">
        <v>0</v>
      </c>
      <c r="M205" s="105">
        <v>0</v>
      </c>
      <c r="N205" s="105">
        <v>0</v>
      </c>
      <c r="O205" s="105">
        <v>0</v>
      </c>
      <c r="P205" s="105">
        <v>0</v>
      </c>
      <c r="Q205" s="105">
        <v>0</v>
      </c>
      <c r="R205" s="105">
        <v>0</v>
      </c>
      <c r="S205" s="105">
        <v>0</v>
      </c>
      <c r="T205" s="105">
        <v>0</v>
      </c>
      <c r="U205" s="105">
        <v>0</v>
      </c>
      <c r="V205" s="105">
        <v>0</v>
      </c>
      <c r="W205" s="105">
        <v>0</v>
      </c>
      <c r="X205" s="105">
        <v>0</v>
      </c>
      <c r="Y205" s="105">
        <v>0</v>
      </c>
      <c r="Z205" s="105">
        <v>0</v>
      </c>
      <c r="AA205" s="105">
        <v>0</v>
      </c>
      <c r="AB205" s="105">
        <v>0</v>
      </c>
      <c r="AC205" s="105">
        <v>0</v>
      </c>
      <c r="AD205" s="105">
        <v>162.49101727764764</v>
      </c>
      <c r="AE205" s="105">
        <v>458.3535952723629</v>
      </c>
      <c r="AF205" s="105">
        <v>438</v>
      </c>
      <c r="AG205" s="105">
        <v>278.32587405841991</v>
      </c>
      <c r="AH205" s="105">
        <v>244.72492980669895</v>
      </c>
      <c r="AI205" s="105">
        <v>447.01054737335733</v>
      </c>
      <c r="AJ205" s="105">
        <v>0</v>
      </c>
      <c r="AK205" s="105">
        <v>0</v>
      </c>
      <c r="AL205" s="105">
        <v>0</v>
      </c>
      <c r="AM205" s="105">
        <v>0</v>
      </c>
      <c r="AN205" s="105">
        <v>0</v>
      </c>
      <c r="AO205" s="105">
        <v>0</v>
      </c>
      <c r="AP205" s="105">
        <v>0</v>
      </c>
      <c r="AQ205" s="105">
        <v>0</v>
      </c>
      <c r="AR205" s="105">
        <v>0</v>
      </c>
      <c r="AS205" s="105">
        <v>0</v>
      </c>
      <c r="AT205" s="105">
        <v>0</v>
      </c>
      <c r="AU205" s="105">
        <v>0</v>
      </c>
      <c r="AV205" s="105">
        <v>0</v>
      </c>
      <c r="AW205" s="105">
        <v>0</v>
      </c>
      <c r="AX205" s="105">
        <v>0</v>
      </c>
      <c r="AY205" s="105">
        <v>0</v>
      </c>
    </row>
    <row r="206" spans="1:51">
      <c r="A206" s="108"/>
      <c r="B206" s="129">
        <v>10</v>
      </c>
      <c r="C206" s="105"/>
      <c r="D206" s="105">
        <v>0</v>
      </c>
      <c r="E206" s="105">
        <v>0</v>
      </c>
      <c r="F206" s="105">
        <v>0</v>
      </c>
      <c r="G206" s="105">
        <v>0</v>
      </c>
      <c r="H206" s="105">
        <v>0</v>
      </c>
      <c r="I206" s="105">
        <v>0</v>
      </c>
      <c r="J206" s="105">
        <v>0</v>
      </c>
      <c r="K206" s="105">
        <v>0</v>
      </c>
      <c r="L206" s="105">
        <v>0</v>
      </c>
      <c r="M206" s="105">
        <v>0</v>
      </c>
      <c r="N206" s="105">
        <v>0</v>
      </c>
      <c r="O206" s="105">
        <v>0</v>
      </c>
      <c r="P206" s="105">
        <v>0</v>
      </c>
      <c r="Q206" s="105">
        <v>0</v>
      </c>
      <c r="R206" s="105">
        <v>0</v>
      </c>
      <c r="S206" s="105">
        <v>0</v>
      </c>
      <c r="T206" s="105">
        <v>0</v>
      </c>
      <c r="U206" s="105">
        <v>0</v>
      </c>
      <c r="V206" s="105">
        <v>0</v>
      </c>
      <c r="W206" s="105">
        <v>0</v>
      </c>
      <c r="X206" s="105">
        <v>0</v>
      </c>
      <c r="Y206" s="105">
        <v>0</v>
      </c>
      <c r="Z206" s="105">
        <v>0</v>
      </c>
      <c r="AA206" s="105">
        <v>0</v>
      </c>
      <c r="AB206" s="105">
        <v>0</v>
      </c>
      <c r="AC206" s="105">
        <v>0</v>
      </c>
      <c r="AD206" s="105">
        <v>0</v>
      </c>
      <c r="AE206" s="105">
        <v>0</v>
      </c>
      <c r="AF206" s="105">
        <v>0</v>
      </c>
      <c r="AG206" s="105">
        <v>157.67412594158009</v>
      </c>
      <c r="AH206" s="105">
        <v>143.45720461618612</v>
      </c>
      <c r="AI206" s="105">
        <v>0</v>
      </c>
      <c r="AJ206" s="105">
        <v>484</v>
      </c>
      <c r="AK206" s="105">
        <v>431.87725963244247</v>
      </c>
      <c r="AL206" s="105">
        <v>69.322369841085788</v>
      </c>
      <c r="AM206" s="105">
        <v>0</v>
      </c>
      <c r="AN206" s="105">
        <v>0</v>
      </c>
      <c r="AO206" s="105">
        <v>0</v>
      </c>
      <c r="AP206" s="105">
        <v>0</v>
      </c>
      <c r="AQ206" s="105">
        <v>0</v>
      </c>
      <c r="AR206" s="105">
        <v>0</v>
      </c>
      <c r="AS206" s="105">
        <v>0</v>
      </c>
      <c r="AT206" s="105">
        <v>0</v>
      </c>
      <c r="AU206" s="105">
        <v>0</v>
      </c>
      <c r="AV206" s="105">
        <v>0</v>
      </c>
      <c r="AW206" s="105">
        <v>0</v>
      </c>
      <c r="AX206" s="105">
        <v>0</v>
      </c>
      <c r="AY206" s="105">
        <v>0</v>
      </c>
    </row>
    <row r="207" spans="1:51">
      <c r="A207" s="108"/>
      <c r="B207" s="129">
        <v>11</v>
      </c>
      <c r="C207" s="105"/>
      <c r="D207" s="105">
        <v>0</v>
      </c>
      <c r="E207" s="105">
        <v>0</v>
      </c>
      <c r="F207" s="105">
        <v>0</v>
      </c>
      <c r="G207" s="105">
        <v>0</v>
      </c>
      <c r="H207" s="105">
        <v>0</v>
      </c>
      <c r="I207" s="105">
        <v>0</v>
      </c>
      <c r="J207" s="105">
        <v>0</v>
      </c>
      <c r="K207" s="105">
        <v>0</v>
      </c>
      <c r="L207" s="105">
        <v>0</v>
      </c>
      <c r="M207" s="105">
        <v>0</v>
      </c>
      <c r="N207" s="105">
        <v>0</v>
      </c>
      <c r="O207" s="105">
        <v>0</v>
      </c>
      <c r="P207" s="105">
        <v>0</v>
      </c>
      <c r="Q207" s="105">
        <v>0</v>
      </c>
      <c r="R207" s="105">
        <v>0</v>
      </c>
      <c r="S207" s="105">
        <v>0</v>
      </c>
      <c r="T207" s="105">
        <v>0</v>
      </c>
      <c r="U207" s="105">
        <v>0</v>
      </c>
      <c r="V207" s="105">
        <v>0</v>
      </c>
      <c r="W207" s="105">
        <v>0</v>
      </c>
      <c r="X207" s="105">
        <v>0</v>
      </c>
      <c r="Y207" s="105">
        <v>0</v>
      </c>
      <c r="Z207" s="105">
        <v>0</v>
      </c>
      <c r="AA207" s="105">
        <v>0</v>
      </c>
      <c r="AB207" s="105">
        <v>0</v>
      </c>
      <c r="AC207" s="105">
        <v>0</v>
      </c>
      <c r="AD207" s="105">
        <v>0</v>
      </c>
      <c r="AE207" s="105">
        <v>0</v>
      </c>
      <c r="AF207" s="105">
        <v>0</v>
      </c>
      <c r="AG207" s="105">
        <v>0</v>
      </c>
      <c r="AH207" s="105">
        <v>0</v>
      </c>
      <c r="AI207" s="105">
        <v>0</v>
      </c>
      <c r="AJ207" s="105">
        <v>0</v>
      </c>
      <c r="AK207" s="105">
        <v>31.122740367557526</v>
      </c>
      <c r="AL207" s="105">
        <v>386.67763015891421</v>
      </c>
      <c r="AM207" s="105">
        <v>526</v>
      </c>
      <c r="AN207" s="105">
        <v>333.80681632024476</v>
      </c>
      <c r="AO207" s="105">
        <v>56.66038667454194</v>
      </c>
      <c r="AP207" s="105">
        <v>0</v>
      </c>
      <c r="AQ207" s="105">
        <v>0</v>
      </c>
      <c r="AR207" s="105">
        <v>0</v>
      </c>
      <c r="AS207" s="105">
        <v>0</v>
      </c>
      <c r="AT207" s="105">
        <v>77.896916219045409</v>
      </c>
      <c r="AU207" s="105">
        <v>461.16205200540168</v>
      </c>
      <c r="AV207" s="105">
        <v>0</v>
      </c>
      <c r="AW207" s="105">
        <v>378.80681190980778</v>
      </c>
      <c r="AX207" s="105">
        <v>0</v>
      </c>
      <c r="AY207" s="105">
        <v>73.531823930061989</v>
      </c>
    </row>
    <row r="208" spans="1:51">
      <c r="A208" s="108"/>
      <c r="B208" s="129">
        <v>12</v>
      </c>
      <c r="C208" s="105"/>
      <c r="D208" s="105">
        <v>0</v>
      </c>
      <c r="E208" s="105">
        <v>0</v>
      </c>
      <c r="F208" s="105">
        <v>0</v>
      </c>
      <c r="G208" s="105">
        <v>0</v>
      </c>
      <c r="H208" s="105">
        <v>0</v>
      </c>
      <c r="I208" s="105">
        <v>0</v>
      </c>
      <c r="J208" s="105">
        <v>0</v>
      </c>
      <c r="K208" s="105">
        <v>0</v>
      </c>
      <c r="L208" s="105">
        <v>0</v>
      </c>
      <c r="M208" s="105">
        <v>0</v>
      </c>
      <c r="N208" s="105">
        <v>0</v>
      </c>
      <c r="O208" s="105">
        <v>0</v>
      </c>
      <c r="P208" s="105">
        <v>0</v>
      </c>
      <c r="Q208" s="105">
        <v>0</v>
      </c>
      <c r="R208" s="105">
        <v>0</v>
      </c>
      <c r="S208" s="105">
        <v>0</v>
      </c>
      <c r="T208" s="105">
        <v>0</v>
      </c>
      <c r="U208" s="105">
        <v>0</v>
      </c>
      <c r="V208" s="105">
        <v>0</v>
      </c>
      <c r="W208" s="105">
        <v>0</v>
      </c>
      <c r="X208" s="105">
        <v>0</v>
      </c>
      <c r="Y208" s="105">
        <v>0</v>
      </c>
      <c r="Z208" s="105">
        <v>0</v>
      </c>
      <c r="AA208" s="105">
        <v>0</v>
      </c>
      <c r="AB208" s="105">
        <v>0</v>
      </c>
      <c r="AC208" s="105">
        <v>0</v>
      </c>
      <c r="AD208" s="105">
        <v>0</v>
      </c>
      <c r="AE208" s="105">
        <v>0</v>
      </c>
      <c r="AF208" s="105">
        <v>0</v>
      </c>
      <c r="AG208" s="105">
        <v>0</v>
      </c>
      <c r="AH208" s="105">
        <v>0</v>
      </c>
      <c r="AI208" s="105">
        <v>0</v>
      </c>
      <c r="AJ208" s="105">
        <v>0</v>
      </c>
      <c r="AK208" s="105">
        <v>0</v>
      </c>
      <c r="AL208" s="105">
        <v>0</v>
      </c>
      <c r="AM208" s="105">
        <v>0</v>
      </c>
      <c r="AN208" s="105">
        <v>110.74174213109325</v>
      </c>
      <c r="AO208" s="105">
        <v>313.33961332545806</v>
      </c>
      <c r="AP208" s="105">
        <v>489</v>
      </c>
      <c r="AQ208" s="105">
        <v>402</v>
      </c>
      <c r="AR208" s="105">
        <v>478</v>
      </c>
      <c r="AS208" s="105">
        <v>524</v>
      </c>
      <c r="AT208" s="105">
        <v>425.10308378095459</v>
      </c>
      <c r="AU208" s="105">
        <v>157.83794799459832</v>
      </c>
      <c r="AV208" s="105">
        <v>572</v>
      </c>
      <c r="AW208" s="105">
        <v>222.19318809019222</v>
      </c>
      <c r="AX208" s="105">
        <v>476.00656568888263</v>
      </c>
      <c r="AY208" s="105">
        <v>378.31388231057264</v>
      </c>
    </row>
    <row r="209" spans="1:51">
      <c r="A209" s="125" t="s">
        <v>123</v>
      </c>
      <c r="B209" s="122">
        <v>1</v>
      </c>
      <c r="C209" s="123"/>
      <c r="D209" s="123">
        <v>0</v>
      </c>
      <c r="E209" s="123">
        <v>0</v>
      </c>
      <c r="F209" s="123">
        <v>156.6253905292478</v>
      </c>
      <c r="G209" s="123">
        <v>0</v>
      </c>
      <c r="H209" s="123">
        <v>22.4409423801157</v>
      </c>
      <c r="I209" s="123">
        <v>59.209337351108047</v>
      </c>
      <c r="J209" s="123">
        <v>124.2673728406684</v>
      </c>
      <c r="K209" s="123">
        <v>0</v>
      </c>
      <c r="L209" s="123">
        <v>0</v>
      </c>
      <c r="M209" s="123">
        <v>78.639913210371276</v>
      </c>
      <c r="N209" s="123">
        <v>161.4358034529501</v>
      </c>
      <c r="O209" s="123">
        <v>200.47618135309335</v>
      </c>
      <c r="P209" s="123">
        <v>163.11394513753865</v>
      </c>
      <c r="Q209" s="123">
        <v>149.25292962854866</v>
      </c>
      <c r="R209" s="123">
        <v>117.85261164506468</v>
      </c>
      <c r="S209" s="123">
        <v>0</v>
      </c>
      <c r="T209" s="123">
        <v>0</v>
      </c>
      <c r="U209" s="123">
        <v>1.9795106960332021</v>
      </c>
      <c r="V209" s="123">
        <v>136.09919207074836</v>
      </c>
      <c r="W209" s="123">
        <v>141.67682611996543</v>
      </c>
      <c r="X209" s="123">
        <v>143.44750182522986</v>
      </c>
      <c r="Y209" s="123">
        <v>0</v>
      </c>
      <c r="Z209" s="123">
        <v>0</v>
      </c>
      <c r="AA209" s="123">
        <v>70.544673210371286</v>
      </c>
      <c r="AB209" s="123">
        <v>156.86588856255011</v>
      </c>
      <c r="AC209" s="123">
        <v>157.26942158825278</v>
      </c>
      <c r="AD209" s="123">
        <v>180.39752718259237</v>
      </c>
      <c r="AE209" s="123">
        <v>153.73977558457142</v>
      </c>
      <c r="AF209" s="123">
        <v>152.27700576226368</v>
      </c>
      <c r="AG209" s="123">
        <v>136.81263485447386</v>
      </c>
      <c r="AH209" s="123">
        <v>156.6253905292478</v>
      </c>
      <c r="AI209" s="123">
        <v>0</v>
      </c>
      <c r="AJ209" s="123">
        <v>0</v>
      </c>
      <c r="AK209" s="123">
        <v>0</v>
      </c>
      <c r="AL209" s="123">
        <v>0</v>
      </c>
      <c r="AM209" s="123">
        <v>0</v>
      </c>
      <c r="AN209" s="123">
        <v>156.6253905292478</v>
      </c>
      <c r="AO209" s="123">
        <v>0</v>
      </c>
      <c r="AP209" s="123">
        <v>0</v>
      </c>
      <c r="AQ209" s="123">
        <v>3.7505772369904946</v>
      </c>
      <c r="AR209" s="123">
        <v>145.33781688572091</v>
      </c>
      <c r="AS209" s="123">
        <v>0</v>
      </c>
      <c r="AT209" s="123">
        <v>0</v>
      </c>
      <c r="AU209" s="123">
        <v>0</v>
      </c>
      <c r="AV209" s="123">
        <v>227</v>
      </c>
      <c r="AW209" s="123">
        <v>160.53355126709613</v>
      </c>
      <c r="AX209" s="123">
        <v>156.6253905292478</v>
      </c>
      <c r="AY209" s="123">
        <v>0</v>
      </c>
    </row>
    <row r="210" spans="1:51">
      <c r="A210" s="108"/>
      <c r="B210" s="118">
        <v>2</v>
      </c>
      <c r="C210" s="105"/>
      <c r="D210" s="109">
        <v>0</v>
      </c>
      <c r="E210" s="109">
        <v>0</v>
      </c>
      <c r="F210" s="109">
        <v>0</v>
      </c>
      <c r="G210" s="109">
        <v>109.64192943173741</v>
      </c>
      <c r="H210" s="109">
        <v>266.26731996098522</v>
      </c>
      <c r="I210" s="109">
        <v>129.79066264889195</v>
      </c>
      <c r="J210" s="109">
        <v>65.732627159331599</v>
      </c>
      <c r="K210" s="109">
        <v>45.079303212815773</v>
      </c>
      <c r="L210" s="109">
        <v>166</v>
      </c>
      <c r="M210" s="109">
        <v>84.529223394814352</v>
      </c>
      <c r="N210" s="109">
        <v>59.564196547049896</v>
      </c>
      <c r="O210" s="109">
        <v>26.523818646906633</v>
      </c>
      <c r="P210" s="109">
        <v>20.88605486246135</v>
      </c>
      <c r="Q210" s="109">
        <v>32.747070371451343</v>
      </c>
      <c r="R210" s="109">
        <v>37.147388354935309</v>
      </c>
      <c r="S210" s="109">
        <v>47.115733301972128</v>
      </c>
      <c r="T210" s="109">
        <v>176</v>
      </c>
      <c r="U210" s="109">
        <v>159.36422590915242</v>
      </c>
      <c r="V210" s="109">
        <v>83.900807929251656</v>
      </c>
      <c r="W210" s="109">
        <v>41.323173880034588</v>
      </c>
      <c r="X210" s="109">
        <v>39.552498174770136</v>
      </c>
      <c r="Y210" s="109">
        <v>113.82538197971493</v>
      </c>
      <c r="Z210" s="109">
        <v>172</v>
      </c>
      <c r="AA210" s="109">
        <v>84.529223394814352</v>
      </c>
      <c r="AB210" s="109">
        <v>62.134111437449896</v>
      </c>
      <c r="AC210" s="109">
        <v>34.730578411747203</v>
      </c>
      <c r="AD210" s="109">
        <v>34.602472817407637</v>
      </c>
      <c r="AE210" s="109">
        <v>27.260224415428592</v>
      </c>
      <c r="AF210" s="109">
        <v>35.722994237736323</v>
      </c>
      <c r="AG210" s="109">
        <v>36.187365145526137</v>
      </c>
      <c r="AH210" s="109">
        <v>41.096684333913096</v>
      </c>
      <c r="AI210" s="109">
        <v>109.6439622487522</v>
      </c>
      <c r="AJ210" s="109">
        <v>207</v>
      </c>
      <c r="AK210" s="109">
        <v>84.529868732903864</v>
      </c>
      <c r="AL210" s="109">
        <v>214</v>
      </c>
      <c r="AM210" s="109">
        <v>159.36625872616719</v>
      </c>
      <c r="AN210" s="109">
        <v>0</v>
      </c>
      <c r="AO210" s="109">
        <v>0</v>
      </c>
      <c r="AP210" s="109">
        <v>90.356037751247797</v>
      </c>
      <c r="AQ210" s="109">
        <v>140.40398177461677</v>
      </c>
      <c r="AR210" s="109">
        <v>76.662183114279088</v>
      </c>
      <c r="AS210" s="109">
        <v>35.008195955122908</v>
      </c>
      <c r="AT210" s="109">
        <v>0</v>
      </c>
      <c r="AU210" s="109">
        <v>0</v>
      </c>
      <c r="AV210" s="109">
        <v>0</v>
      </c>
      <c r="AW210" s="109">
        <v>12.466448732903874</v>
      </c>
      <c r="AX210" s="109">
        <v>33.566242209562027</v>
      </c>
      <c r="AY210" s="109">
        <v>104.32234851703794</v>
      </c>
    </row>
    <row r="211" spans="1:51">
      <c r="A211" s="108"/>
      <c r="B211" s="118">
        <v>3</v>
      </c>
      <c r="C211" s="105"/>
      <c r="D211" s="109">
        <v>0</v>
      </c>
      <c r="E211" s="109">
        <v>0</v>
      </c>
      <c r="F211" s="109">
        <v>0</v>
      </c>
      <c r="G211" s="109">
        <v>0</v>
      </c>
      <c r="H211" s="109">
        <v>0</v>
      </c>
      <c r="I211" s="109">
        <v>0</v>
      </c>
      <c r="J211" s="109">
        <v>0</v>
      </c>
      <c r="K211" s="109">
        <v>0</v>
      </c>
      <c r="L211" s="109">
        <v>0</v>
      </c>
      <c r="M211" s="109">
        <v>31.830863394814365</v>
      </c>
      <c r="N211" s="109">
        <v>0</v>
      </c>
      <c r="O211" s="109">
        <v>0</v>
      </c>
      <c r="P211" s="109">
        <v>0</v>
      </c>
      <c r="Q211" s="109">
        <v>0</v>
      </c>
      <c r="R211" s="109">
        <v>0</v>
      </c>
      <c r="S211" s="109">
        <v>0</v>
      </c>
      <c r="T211" s="109">
        <v>0</v>
      </c>
      <c r="U211" s="109">
        <v>28.656263394814363</v>
      </c>
      <c r="V211" s="109">
        <v>0</v>
      </c>
      <c r="W211" s="109">
        <v>0</v>
      </c>
      <c r="X211" s="109">
        <v>0</v>
      </c>
      <c r="Y211" s="109">
        <v>0</v>
      </c>
      <c r="Z211" s="109">
        <v>0</v>
      </c>
      <c r="AA211" s="109">
        <v>29.926103394814366</v>
      </c>
      <c r="AB211" s="109">
        <v>0</v>
      </c>
      <c r="AC211" s="109">
        <v>0</v>
      </c>
      <c r="AD211" s="109">
        <v>0</v>
      </c>
      <c r="AE211" s="109">
        <v>0</v>
      </c>
      <c r="AF211" s="109">
        <v>0</v>
      </c>
      <c r="AG211" s="109">
        <v>0</v>
      </c>
      <c r="AH211" s="109">
        <v>0</v>
      </c>
      <c r="AI211" s="109">
        <v>0</v>
      </c>
      <c r="AJ211" s="109">
        <v>0</v>
      </c>
      <c r="AK211" s="109">
        <v>18.815648732903874</v>
      </c>
      <c r="AL211" s="109">
        <v>0</v>
      </c>
      <c r="AM211" s="109">
        <v>16.593428732903874</v>
      </c>
      <c r="AN211" s="109">
        <v>0</v>
      </c>
      <c r="AO211" s="109">
        <v>0</v>
      </c>
      <c r="AP211" s="109">
        <v>109.6439622487522</v>
      </c>
      <c r="AQ211" s="109">
        <v>55.845440988392738</v>
      </c>
      <c r="AR211" s="109">
        <v>0</v>
      </c>
      <c r="AS211" s="109">
        <v>0</v>
      </c>
      <c r="AT211" s="109">
        <v>0</v>
      </c>
      <c r="AU211" s="109">
        <v>0</v>
      </c>
      <c r="AV211" s="109">
        <v>0</v>
      </c>
      <c r="AW211" s="109">
        <v>0</v>
      </c>
      <c r="AX211" s="109">
        <v>0</v>
      </c>
      <c r="AY211" s="109">
        <v>0</v>
      </c>
    </row>
    <row r="212" spans="1:51">
      <c r="A212" s="108"/>
      <c r="B212" s="118">
        <v>4</v>
      </c>
      <c r="C212" s="105"/>
      <c r="D212" s="109">
        <v>0</v>
      </c>
      <c r="E212" s="109">
        <v>0</v>
      </c>
      <c r="F212" s="109">
        <v>0</v>
      </c>
      <c r="G212" s="109">
        <v>0</v>
      </c>
      <c r="H212" s="109">
        <v>0</v>
      </c>
      <c r="I212" s="109">
        <v>0</v>
      </c>
      <c r="J212" s="109">
        <v>0</v>
      </c>
      <c r="K212" s="109">
        <v>0</v>
      </c>
      <c r="L212" s="109">
        <v>0</v>
      </c>
      <c r="M212" s="109">
        <v>0</v>
      </c>
      <c r="N212" s="109">
        <v>0</v>
      </c>
      <c r="O212" s="109">
        <v>0</v>
      </c>
      <c r="P212" s="109">
        <v>0</v>
      </c>
      <c r="Q212" s="109">
        <v>0</v>
      </c>
      <c r="R212" s="109">
        <v>0</v>
      </c>
      <c r="S212" s="109">
        <v>0</v>
      </c>
      <c r="T212" s="109">
        <v>0</v>
      </c>
      <c r="U212" s="109">
        <v>0</v>
      </c>
      <c r="V212" s="109">
        <v>0</v>
      </c>
      <c r="W212" s="109">
        <v>0</v>
      </c>
      <c r="X212" s="109">
        <v>0</v>
      </c>
      <c r="Y212" s="109">
        <v>0</v>
      </c>
      <c r="Z212" s="109">
        <v>0</v>
      </c>
      <c r="AA212" s="109">
        <v>0</v>
      </c>
      <c r="AB212" s="109">
        <v>0</v>
      </c>
      <c r="AC212" s="109">
        <v>0</v>
      </c>
      <c r="AD212" s="109">
        <v>0</v>
      </c>
      <c r="AE212" s="109">
        <v>0</v>
      </c>
      <c r="AF212" s="109">
        <v>0</v>
      </c>
      <c r="AG212" s="109">
        <v>0</v>
      </c>
      <c r="AH212" s="109">
        <v>0</v>
      </c>
      <c r="AI212" s="109">
        <v>0</v>
      </c>
      <c r="AJ212" s="109">
        <v>0</v>
      </c>
      <c r="AK212" s="109">
        <v>0</v>
      </c>
      <c r="AL212" s="109">
        <v>0</v>
      </c>
      <c r="AM212" s="109">
        <v>0</v>
      </c>
      <c r="AN212" s="109">
        <v>0</v>
      </c>
      <c r="AO212" s="109">
        <v>0</v>
      </c>
      <c r="AP212" s="109">
        <v>0</v>
      </c>
      <c r="AQ212" s="109">
        <v>0</v>
      </c>
      <c r="AR212" s="109">
        <v>0</v>
      </c>
      <c r="AS212" s="109">
        <v>0</v>
      </c>
      <c r="AT212" s="109">
        <v>0</v>
      </c>
      <c r="AU212" s="109">
        <v>0</v>
      </c>
      <c r="AV212" s="109">
        <v>0</v>
      </c>
      <c r="AW212" s="109">
        <v>0</v>
      </c>
      <c r="AX212" s="109">
        <v>0</v>
      </c>
      <c r="AY212" s="109">
        <v>0</v>
      </c>
    </row>
    <row r="213" spans="1:51">
      <c r="A213" s="108"/>
      <c r="B213" s="118">
        <v>5</v>
      </c>
      <c r="C213" s="105"/>
      <c r="D213" s="109">
        <v>0</v>
      </c>
      <c r="E213" s="109">
        <v>0</v>
      </c>
      <c r="F213" s="109">
        <v>0</v>
      </c>
      <c r="G213" s="109">
        <v>0</v>
      </c>
      <c r="H213" s="109">
        <v>0</v>
      </c>
      <c r="I213" s="109">
        <v>0</v>
      </c>
      <c r="J213" s="109">
        <v>0</v>
      </c>
      <c r="K213" s="109">
        <v>0</v>
      </c>
      <c r="L213" s="109">
        <v>0</v>
      </c>
      <c r="M213" s="109">
        <v>0</v>
      </c>
      <c r="N213" s="109">
        <v>0</v>
      </c>
      <c r="O213" s="109">
        <v>0</v>
      </c>
      <c r="P213" s="109">
        <v>0</v>
      </c>
      <c r="Q213" s="109">
        <v>0</v>
      </c>
      <c r="R213" s="109">
        <v>0</v>
      </c>
      <c r="S213" s="109">
        <v>0</v>
      </c>
      <c r="T213" s="109">
        <v>0</v>
      </c>
      <c r="U213" s="109">
        <v>0</v>
      </c>
      <c r="V213" s="109">
        <v>0</v>
      </c>
      <c r="W213" s="109">
        <v>0</v>
      </c>
      <c r="X213" s="109">
        <v>0</v>
      </c>
      <c r="Y213" s="109">
        <v>0</v>
      </c>
      <c r="Z213" s="109">
        <v>0</v>
      </c>
      <c r="AA213" s="109">
        <v>0</v>
      </c>
      <c r="AB213" s="109">
        <v>0</v>
      </c>
      <c r="AC213" s="109">
        <v>0</v>
      </c>
      <c r="AD213" s="109">
        <v>0</v>
      </c>
      <c r="AE213" s="109">
        <v>0</v>
      </c>
      <c r="AF213" s="109">
        <v>0</v>
      </c>
      <c r="AG213" s="109">
        <v>0</v>
      </c>
      <c r="AH213" s="109">
        <v>0</v>
      </c>
      <c r="AI213" s="109">
        <v>0</v>
      </c>
      <c r="AJ213" s="109">
        <v>0</v>
      </c>
      <c r="AK213" s="109">
        <v>0</v>
      </c>
      <c r="AL213" s="109">
        <v>0</v>
      </c>
      <c r="AM213" s="109">
        <v>0</v>
      </c>
      <c r="AN213" s="109">
        <v>0</v>
      </c>
      <c r="AO213" s="109">
        <v>0</v>
      </c>
      <c r="AP213" s="109">
        <v>0</v>
      </c>
      <c r="AQ213" s="109">
        <v>0</v>
      </c>
      <c r="AR213" s="109">
        <v>0</v>
      </c>
      <c r="AS213" s="109">
        <v>0</v>
      </c>
      <c r="AT213" s="109">
        <v>0</v>
      </c>
      <c r="AU213" s="109">
        <v>0</v>
      </c>
      <c r="AV213" s="109">
        <v>0</v>
      </c>
      <c r="AW213" s="109">
        <v>0</v>
      </c>
      <c r="AX213" s="109">
        <v>0</v>
      </c>
      <c r="AY213" s="109">
        <v>0</v>
      </c>
    </row>
    <row r="214" spans="1:51">
      <c r="A214" s="108"/>
      <c r="B214" s="118">
        <v>6</v>
      </c>
      <c r="C214" s="105"/>
      <c r="D214" s="109">
        <v>0</v>
      </c>
      <c r="E214" s="109">
        <v>0</v>
      </c>
      <c r="F214" s="109">
        <v>0</v>
      </c>
      <c r="G214" s="109">
        <v>0</v>
      </c>
      <c r="H214" s="109">
        <v>0</v>
      </c>
      <c r="I214" s="109">
        <v>0</v>
      </c>
      <c r="J214" s="109">
        <v>0</v>
      </c>
      <c r="K214" s="109">
        <v>0</v>
      </c>
      <c r="L214" s="109">
        <v>0</v>
      </c>
      <c r="M214" s="109">
        <v>0</v>
      </c>
      <c r="N214" s="109">
        <v>0</v>
      </c>
      <c r="O214" s="109">
        <v>0</v>
      </c>
      <c r="P214" s="109">
        <v>0</v>
      </c>
      <c r="Q214" s="109">
        <v>0</v>
      </c>
      <c r="R214" s="109">
        <v>0</v>
      </c>
      <c r="S214" s="109">
        <v>0</v>
      </c>
      <c r="T214" s="109">
        <v>0</v>
      </c>
      <c r="U214" s="109">
        <v>0</v>
      </c>
      <c r="V214" s="109">
        <v>0</v>
      </c>
      <c r="W214" s="109">
        <v>0</v>
      </c>
      <c r="X214" s="109">
        <v>0</v>
      </c>
      <c r="Y214" s="109">
        <v>0</v>
      </c>
      <c r="Z214" s="109">
        <v>0</v>
      </c>
      <c r="AA214" s="109">
        <v>0</v>
      </c>
      <c r="AB214" s="109">
        <v>0</v>
      </c>
      <c r="AC214" s="109">
        <v>0</v>
      </c>
      <c r="AD214" s="109">
        <v>0</v>
      </c>
      <c r="AE214" s="109">
        <v>0</v>
      </c>
      <c r="AF214" s="109">
        <v>0</v>
      </c>
      <c r="AG214" s="109">
        <v>0</v>
      </c>
      <c r="AH214" s="109">
        <v>0</v>
      </c>
      <c r="AI214" s="109">
        <v>0</v>
      </c>
      <c r="AJ214" s="109">
        <v>0</v>
      </c>
      <c r="AK214" s="109">
        <v>0</v>
      </c>
      <c r="AL214" s="109">
        <v>0</v>
      </c>
      <c r="AM214" s="109">
        <v>0</v>
      </c>
      <c r="AN214" s="109">
        <v>0</v>
      </c>
      <c r="AO214" s="109">
        <v>0</v>
      </c>
      <c r="AP214" s="109">
        <v>0</v>
      </c>
      <c r="AQ214" s="109">
        <v>0</v>
      </c>
      <c r="AR214" s="109">
        <v>0</v>
      </c>
      <c r="AS214" s="109">
        <v>0</v>
      </c>
      <c r="AT214" s="109">
        <v>0</v>
      </c>
      <c r="AU214" s="109">
        <v>0</v>
      </c>
      <c r="AV214" s="109">
        <v>0</v>
      </c>
      <c r="AW214" s="109">
        <v>0</v>
      </c>
      <c r="AX214" s="109">
        <v>0</v>
      </c>
      <c r="AY214" s="109">
        <v>0</v>
      </c>
    </row>
    <row r="215" spans="1:51">
      <c r="A215" s="108"/>
      <c r="B215" s="118">
        <v>7</v>
      </c>
      <c r="C215" s="105"/>
      <c r="D215" s="109">
        <v>0</v>
      </c>
      <c r="E215" s="109">
        <v>0</v>
      </c>
      <c r="F215" s="109">
        <v>0</v>
      </c>
      <c r="G215" s="109">
        <v>0</v>
      </c>
      <c r="H215" s="109">
        <v>0</v>
      </c>
      <c r="I215" s="109">
        <v>0</v>
      </c>
      <c r="J215" s="109">
        <v>0</v>
      </c>
      <c r="K215" s="109">
        <v>0</v>
      </c>
      <c r="L215" s="109">
        <v>0</v>
      </c>
      <c r="M215" s="109">
        <v>0</v>
      </c>
      <c r="N215" s="109">
        <v>0</v>
      </c>
      <c r="O215" s="109">
        <v>0</v>
      </c>
      <c r="P215" s="109">
        <v>0</v>
      </c>
      <c r="Q215" s="109">
        <v>0</v>
      </c>
      <c r="R215" s="109">
        <v>0</v>
      </c>
      <c r="S215" s="109">
        <v>0</v>
      </c>
      <c r="T215" s="109">
        <v>0</v>
      </c>
      <c r="U215" s="109">
        <v>0</v>
      </c>
      <c r="V215" s="109">
        <v>0</v>
      </c>
      <c r="W215" s="109">
        <v>0</v>
      </c>
      <c r="X215" s="109">
        <v>0</v>
      </c>
      <c r="Y215" s="109">
        <v>0</v>
      </c>
      <c r="Z215" s="109">
        <v>0</v>
      </c>
      <c r="AA215" s="109">
        <v>0</v>
      </c>
      <c r="AB215" s="109">
        <v>0</v>
      </c>
      <c r="AC215" s="109">
        <v>0</v>
      </c>
      <c r="AD215" s="109">
        <v>0</v>
      </c>
      <c r="AE215" s="109">
        <v>0</v>
      </c>
      <c r="AF215" s="109">
        <v>0</v>
      </c>
      <c r="AG215" s="109">
        <v>0</v>
      </c>
      <c r="AH215" s="109">
        <v>0</v>
      </c>
      <c r="AI215" s="109">
        <v>0</v>
      </c>
      <c r="AJ215" s="109">
        <v>0</v>
      </c>
      <c r="AK215" s="109">
        <v>0</v>
      </c>
      <c r="AL215" s="109">
        <v>0</v>
      </c>
      <c r="AM215" s="109">
        <v>0</v>
      </c>
      <c r="AN215" s="109">
        <v>0</v>
      </c>
      <c r="AO215" s="109">
        <v>0</v>
      </c>
      <c r="AP215" s="109">
        <v>0</v>
      </c>
      <c r="AQ215" s="109">
        <v>0</v>
      </c>
      <c r="AR215" s="109">
        <v>0</v>
      </c>
      <c r="AS215" s="109">
        <v>0</v>
      </c>
      <c r="AT215" s="109">
        <v>0</v>
      </c>
      <c r="AU215" s="109">
        <v>0</v>
      </c>
      <c r="AV215" s="109">
        <v>0</v>
      </c>
      <c r="AW215" s="109">
        <v>0</v>
      </c>
      <c r="AX215" s="109">
        <v>0</v>
      </c>
      <c r="AY215" s="109">
        <v>0</v>
      </c>
    </row>
    <row r="216" spans="1:51">
      <c r="A216" s="108"/>
      <c r="B216" s="118">
        <v>8</v>
      </c>
      <c r="C216" s="105"/>
      <c r="D216" s="109">
        <v>0</v>
      </c>
      <c r="E216" s="109">
        <v>0</v>
      </c>
      <c r="F216" s="109">
        <v>0</v>
      </c>
      <c r="G216" s="109">
        <v>0</v>
      </c>
      <c r="H216" s="109">
        <v>0</v>
      </c>
      <c r="I216" s="109">
        <v>0</v>
      </c>
      <c r="J216" s="109">
        <v>0</v>
      </c>
      <c r="K216" s="109">
        <v>0</v>
      </c>
      <c r="L216" s="109">
        <v>0</v>
      </c>
      <c r="M216" s="109">
        <v>0</v>
      </c>
      <c r="N216" s="109">
        <v>0</v>
      </c>
      <c r="O216" s="109">
        <v>0</v>
      </c>
      <c r="P216" s="109">
        <v>0</v>
      </c>
      <c r="Q216" s="109">
        <v>0</v>
      </c>
      <c r="R216" s="109">
        <v>0</v>
      </c>
      <c r="S216" s="109">
        <v>0</v>
      </c>
      <c r="T216" s="109">
        <v>0</v>
      </c>
      <c r="U216" s="109">
        <v>0</v>
      </c>
      <c r="V216" s="109">
        <v>0</v>
      </c>
      <c r="W216" s="109">
        <v>0</v>
      </c>
      <c r="X216" s="109">
        <v>0</v>
      </c>
      <c r="Y216" s="109">
        <v>0</v>
      </c>
      <c r="Z216" s="109">
        <v>0</v>
      </c>
      <c r="AA216" s="109">
        <v>0</v>
      </c>
      <c r="AB216" s="109">
        <v>0</v>
      </c>
      <c r="AC216" s="109">
        <v>0</v>
      </c>
      <c r="AD216" s="109">
        <v>0</v>
      </c>
      <c r="AE216" s="109">
        <v>0</v>
      </c>
      <c r="AF216" s="109">
        <v>0</v>
      </c>
      <c r="AG216" s="109">
        <v>0</v>
      </c>
      <c r="AH216" s="109">
        <v>0</v>
      </c>
      <c r="AI216" s="109">
        <v>0</v>
      </c>
      <c r="AJ216" s="109">
        <v>0</v>
      </c>
      <c r="AK216" s="109">
        <v>0</v>
      </c>
      <c r="AL216" s="109">
        <v>0</v>
      </c>
      <c r="AM216" s="109">
        <v>0</v>
      </c>
      <c r="AN216" s="109">
        <v>0</v>
      </c>
      <c r="AO216" s="109">
        <v>0</v>
      </c>
      <c r="AP216" s="109">
        <v>0</v>
      </c>
      <c r="AQ216" s="109">
        <v>0</v>
      </c>
      <c r="AR216" s="109">
        <v>0</v>
      </c>
      <c r="AS216" s="109">
        <v>0</v>
      </c>
      <c r="AT216" s="109">
        <v>0</v>
      </c>
      <c r="AU216" s="109">
        <v>0</v>
      </c>
      <c r="AV216" s="109">
        <v>0</v>
      </c>
      <c r="AW216" s="109">
        <v>0</v>
      </c>
      <c r="AX216" s="109">
        <v>0</v>
      </c>
      <c r="AY216" s="109">
        <v>0</v>
      </c>
    </row>
    <row r="217" spans="1:51">
      <c r="A217" s="108"/>
      <c r="B217" s="118">
        <v>9</v>
      </c>
      <c r="C217" s="105"/>
      <c r="D217" s="109">
        <v>0</v>
      </c>
      <c r="E217" s="109">
        <v>0</v>
      </c>
      <c r="F217" s="109">
        <v>0</v>
      </c>
      <c r="G217" s="109">
        <v>0</v>
      </c>
      <c r="H217" s="109">
        <v>0</v>
      </c>
      <c r="I217" s="109">
        <v>0</v>
      </c>
      <c r="J217" s="109">
        <v>0</v>
      </c>
      <c r="K217" s="109">
        <v>0</v>
      </c>
      <c r="L217" s="109">
        <v>0</v>
      </c>
      <c r="M217" s="109">
        <v>0</v>
      </c>
      <c r="N217" s="109">
        <v>0</v>
      </c>
      <c r="O217" s="109">
        <v>0</v>
      </c>
      <c r="P217" s="109">
        <v>0</v>
      </c>
      <c r="Q217" s="109">
        <v>0</v>
      </c>
      <c r="R217" s="109">
        <v>0</v>
      </c>
      <c r="S217" s="109">
        <v>0</v>
      </c>
      <c r="T217" s="109">
        <v>0</v>
      </c>
      <c r="U217" s="109">
        <v>0</v>
      </c>
      <c r="V217" s="109">
        <v>0</v>
      </c>
      <c r="W217" s="109">
        <v>0</v>
      </c>
      <c r="X217" s="109">
        <v>0</v>
      </c>
      <c r="Y217" s="109">
        <v>0</v>
      </c>
      <c r="Z217" s="109">
        <v>0</v>
      </c>
      <c r="AA217" s="109">
        <v>0</v>
      </c>
      <c r="AB217" s="109">
        <v>0</v>
      </c>
      <c r="AC217" s="109">
        <v>0</v>
      </c>
      <c r="AD217" s="109">
        <v>0</v>
      </c>
      <c r="AE217" s="109">
        <v>0</v>
      </c>
      <c r="AF217" s="109">
        <v>0</v>
      </c>
      <c r="AG217" s="109">
        <v>0</v>
      </c>
      <c r="AH217" s="109">
        <v>0</v>
      </c>
      <c r="AI217" s="109">
        <v>0</v>
      </c>
      <c r="AJ217" s="109">
        <v>0</v>
      </c>
      <c r="AK217" s="109">
        <v>0</v>
      </c>
      <c r="AL217" s="109">
        <v>0</v>
      </c>
      <c r="AM217" s="109">
        <v>0</v>
      </c>
      <c r="AN217" s="109">
        <v>0</v>
      </c>
      <c r="AO217" s="109">
        <v>0</v>
      </c>
      <c r="AP217" s="109">
        <v>0</v>
      </c>
      <c r="AQ217" s="109">
        <v>0</v>
      </c>
      <c r="AR217" s="109">
        <v>0</v>
      </c>
      <c r="AS217" s="109">
        <v>0</v>
      </c>
      <c r="AT217" s="109">
        <v>0</v>
      </c>
      <c r="AU217" s="109">
        <v>0</v>
      </c>
      <c r="AV217" s="109">
        <v>0</v>
      </c>
      <c r="AW217" s="109">
        <v>0</v>
      </c>
      <c r="AX217" s="109">
        <v>0</v>
      </c>
      <c r="AY217" s="109">
        <v>0</v>
      </c>
    </row>
    <row r="218" spans="1:51">
      <c r="A218" s="108"/>
      <c r="B218" s="118">
        <v>10</v>
      </c>
      <c r="C218" s="105"/>
      <c r="D218" s="109">
        <v>0</v>
      </c>
      <c r="E218" s="109">
        <v>0</v>
      </c>
      <c r="F218" s="109">
        <v>0</v>
      </c>
      <c r="G218" s="109">
        <v>0</v>
      </c>
      <c r="H218" s="109">
        <v>0</v>
      </c>
      <c r="I218" s="109">
        <v>0</v>
      </c>
      <c r="J218" s="109">
        <v>0</v>
      </c>
      <c r="K218" s="109">
        <v>0</v>
      </c>
      <c r="L218" s="109">
        <v>0</v>
      </c>
      <c r="M218" s="109">
        <v>0</v>
      </c>
      <c r="N218" s="109">
        <v>0</v>
      </c>
      <c r="O218" s="109">
        <v>0</v>
      </c>
      <c r="P218" s="109">
        <v>0</v>
      </c>
      <c r="Q218" s="109">
        <v>0</v>
      </c>
      <c r="R218" s="109">
        <v>0</v>
      </c>
      <c r="S218" s="109">
        <v>0</v>
      </c>
      <c r="T218" s="109">
        <v>0</v>
      </c>
      <c r="U218" s="109">
        <v>0</v>
      </c>
      <c r="V218" s="109">
        <v>0</v>
      </c>
      <c r="W218" s="109">
        <v>0</v>
      </c>
      <c r="X218" s="109">
        <v>0</v>
      </c>
      <c r="Y218" s="109">
        <v>0</v>
      </c>
      <c r="Z218" s="109">
        <v>0</v>
      </c>
      <c r="AA218" s="109">
        <v>0</v>
      </c>
      <c r="AB218" s="109">
        <v>0</v>
      </c>
      <c r="AC218" s="109">
        <v>0</v>
      </c>
      <c r="AD218" s="109">
        <v>0</v>
      </c>
      <c r="AE218" s="109">
        <v>0</v>
      </c>
      <c r="AF218" s="109">
        <v>0</v>
      </c>
      <c r="AG218" s="109">
        <v>0</v>
      </c>
      <c r="AH218" s="109">
        <v>0</v>
      </c>
      <c r="AI218" s="109">
        <v>0</v>
      </c>
      <c r="AJ218" s="109">
        <v>0</v>
      </c>
      <c r="AK218" s="109">
        <v>0</v>
      </c>
      <c r="AL218" s="109">
        <v>0</v>
      </c>
      <c r="AM218" s="109">
        <v>0</v>
      </c>
      <c r="AN218" s="109">
        <v>0</v>
      </c>
      <c r="AO218" s="109">
        <v>0</v>
      </c>
      <c r="AP218" s="109">
        <v>0</v>
      </c>
      <c r="AQ218" s="109">
        <v>0</v>
      </c>
      <c r="AR218" s="109">
        <v>0</v>
      </c>
      <c r="AS218" s="109">
        <v>0</v>
      </c>
      <c r="AT218" s="109">
        <v>0</v>
      </c>
      <c r="AU218" s="109">
        <v>0</v>
      </c>
      <c r="AV218" s="109">
        <v>0</v>
      </c>
      <c r="AW218" s="109">
        <v>0</v>
      </c>
      <c r="AX218" s="109">
        <v>0</v>
      </c>
      <c r="AY218" s="109">
        <v>0</v>
      </c>
    </row>
    <row r="219" spans="1:51">
      <c r="A219" s="108"/>
      <c r="B219" s="118">
        <v>11</v>
      </c>
      <c r="C219" s="105"/>
      <c r="D219" s="109">
        <v>0</v>
      </c>
      <c r="E219" s="109">
        <v>0</v>
      </c>
      <c r="F219" s="109">
        <v>0</v>
      </c>
      <c r="G219" s="109">
        <v>0</v>
      </c>
      <c r="H219" s="109">
        <v>0</v>
      </c>
      <c r="I219" s="109">
        <v>0</v>
      </c>
      <c r="J219" s="109">
        <v>0</v>
      </c>
      <c r="K219" s="109">
        <v>0</v>
      </c>
      <c r="L219" s="109">
        <v>0</v>
      </c>
      <c r="M219" s="109">
        <v>0</v>
      </c>
      <c r="N219" s="109">
        <v>0</v>
      </c>
      <c r="O219" s="109">
        <v>0</v>
      </c>
      <c r="P219" s="109">
        <v>0</v>
      </c>
      <c r="Q219" s="109">
        <v>0</v>
      </c>
      <c r="R219" s="109">
        <v>0</v>
      </c>
      <c r="S219" s="109">
        <v>0</v>
      </c>
      <c r="T219" s="109">
        <v>0</v>
      </c>
      <c r="U219" s="109">
        <v>0</v>
      </c>
      <c r="V219" s="109">
        <v>0</v>
      </c>
      <c r="W219" s="109">
        <v>0</v>
      </c>
      <c r="X219" s="109">
        <v>0</v>
      </c>
      <c r="Y219" s="109">
        <v>0</v>
      </c>
      <c r="Z219" s="109">
        <v>0</v>
      </c>
      <c r="AA219" s="109">
        <v>0</v>
      </c>
      <c r="AB219" s="109">
        <v>0</v>
      </c>
      <c r="AC219" s="109">
        <v>0</v>
      </c>
      <c r="AD219" s="109">
        <v>0</v>
      </c>
      <c r="AE219" s="109">
        <v>0</v>
      </c>
      <c r="AF219" s="109">
        <v>0</v>
      </c>
      <c r="AG219" s="109">
        <v>0</v>
      </c>
      <c r="AH219" s="109">
        <v>0</v>
      </c>
      <c r="AI219" s="109">
        <v>0</v>
      </c>
      <c r="AJ219" s="109">
        <v>0</v>
      </c>
      <c r="AK219" s="109">
        <v>0</v>
      </c>
      <c r="AL219" s="109">
        <v>0</v>
      </c>
      <c r="AM219" s="109">
        <v>0</v>
      </c>
      <c r="AN219" s="109">
        <v>0</v>
      </c>
      <c r="AO219" s="109">
        <v>0</v>
      </c>
      <c r="AP219" s="109">
        <v>0</v>
      </c>
      <c r="AQ219" s="109">
        <v>0</v>
      </c>
      <c r="AR219" s="109">
        <v>0</v>
      </c>
      <c r="AS219" s="109">
        <v>0</v>
      </c>
      <c r="AT219" s="109">
        <v>0</v>
      </c>
      <c r="AU219" s="109">
        <v>0</v>
      </c>
      <c r="AV219" s="109">
        <v>0</v>
      </c>
      <c r="AW219" s="109">
        <v>0</v>
      </c>
      <c r="AX219" s="109">
        <v>0</v>
      </c>
      <c r="AY219" s="109">
        <v>0</v>
      </c>
    </row>
    <row r="220" spans="1:51">
      <c r="A220" s="108"/>
      <c r="B220" s="118">
        <v>12</v>
      </c>
      <c r="C220" s="105"/>
      <c r="D220" s="109">
        <v>0</v>
      </c>
      <c r="E220" s="109">
        <v>0</v>
      </c>
      <c r="F220" s="109">
        <v>0</v>
      </c>
      <c r="G220" s="109">
        <v>0</v>
      </c>
      <c r="H220" s="109">
        <v>0</v>
      </c>
      <c r="I220" s="109">
        <v>0</v>
      </c>
      <c r="J220" s="109">
        <v>0</v>
      </c>
      <c r="K220" s="109">
        <v>0</v>
      </c>
      <c r="L220" s="109">
        <v>0</v>
      </c>
      <c r="M220" s="109">
        <v>0</v>
      </c>
      <c r="N220" s="109">
        <v>0</v>
      </c>
      <c r="O220" s="109">
        <v>0</v>
      </c>
      <c r="P220" s="109">
        <v>0</v>
      </c>
      <c r="Q220" s="109">
        <v>0</v>
      </c>
      <c r="R220" s="109">
        <v>0</v>
      </c>
      <c r="S220" s="109">
        <v>0</v>
      </c>
      <c r="T220" s="109">
        <v>0</v>
      </c>
      <c r="U220" s="109">
        <v>0</v>
      </c>
      <c r="V220" s="109">
        <v>0</v>
      </c>
      <c r="W220" s="109">
        <v>0</v>
      </c>
      <c r="X220" s="109">
        <v>0</v>
      </c>
      <c r="Y220" s="109">
        <v>0</v>
      </c>
      <c r="Z220" s="109">
        <v>0</v>
      </c>
      <c r="AA220" s="109">
        <v>0</v>
      </c>
      <c r="AB220" s="109">
        <v>0</v>
      </c>
      <c r="AC220" s="109">
        <v>0</v>
      </c>
      <c r="AD220" s="109">
        <v>0</v>
      </c>
      <c r="AE220" s="109">
        <v>0</v>
      </c>
      <c r="AF220" s="109">
        <v>0</v>
      </c>
      <c r="AG220" s="109">
        <v>0</v>
      </c>
      <c r="AH220" s="109">
        <v>0</v>
      </c>
      <c r="AI220" s="109">
        <v>0</v>
      </c>
      <c r="AJ220" s="109">
        <v>0</v>
      </c>
      <c r="AK220" s="109">
        <v>0</v>
      </c>
      <c r="AL220" s="109">
        <v>0</v>
      </c>
      <c r="AM220" s="109">
        <v>0</v>
      </c>
      <c r="AN220" s="109">
        <v>0</v>
      </c>
      <c r="AO220" s="109">
        <v>0</v>
      </c>
      <c r="AP220" s="109">
        <v>0</v>
      </c>
      <c r="AQ220" s="109">
        <v>0</v>
      </c>
      <c r="AR220" s="109">
        <v>0</v>
      </c>
      <c r="AS220" s="109">
        <v>0</v>
      </c>
      <c r="AT220" s="109">
        <v>0</v>
      </c>
      <c r="AU220" s="109">
        <v>0</v>
      </c>
      <c r="AV220" s="109">
        <v>0</v>
      </c>
      <c r="AW220" s="109">
        <v>0</v>
      </c>
      <c r="AX220" s="109">
        <v>0</v>
      </c>
      <c r="AY220" s="109">
        <v>0</v>
      </c>
    </row>
    <row r="221" spans="1:51">
      <c r="A221" s="108"/>
      <c r="B221" s="119">
        <v>13</v>
      </c>
      <c r="C221" s="105"/>
      <c r="D221" s="109">
        <v>0</v>
      </c>
      <c r="E221" s="109">
        <v>0</v>
      </c>
      <c r="F221" s="109">
        <v>0</v>
      </c>
      <c r="G221" s="109">
        <v>0</v>
      </c>
      <c r="H221" s="109">
        <v>0</v>
      </c>
      <c r="I221" s="109">
        <v>0</v>
      </c>
      <c r="J221" s="109">
        <v>0</v>
      </c>
      <c r="K221" s="109">
        <v>0</v>
      </c>
      <c r="L221" s="109">
        <v>0</v>
      </c>
      <c r="M221" s="109">
        <v>0</v>
      </c>
      <c r="N221" s="109">
        <v>0</v>
      </c>
      <c r="O221" s="109">
        <v>0</v>
      </c>
      <c r="P221" s="109">
        <v>0</v>
      </c>
      <c r="Q221" s="109">
        <v>0</v>
      </c>
      <c r="R221" s="109">
        <v>0</v>
      </c>
      <c r="S221" s="109">
        <v>0</v>
      </c>
      <c r="T221" s="109">
        <v>0</v>
      </c>
      <c r="U221" s="109">
        <v>0</v>
      </c>
      <c r="V221" s="109">
        <v>0</v>
      </c>
      <c r="W221" s="109">
        <v>0</v>
      </c>
      <c r="X221" s="109">
        <v>0</v>
      </c>
      <c r="Y221" s="109">
        <v>0</v>
      </c>
      <c r="Z221" s="109">
        <v>0</v>
      </c>
      <c r="AA221" s="109">
        <v>0</v>
      </c>
      <c r="AB221" s="109">
        <v>0</v>
      </c>
      <c r="AC221" s="109">
        <v>0</v>
      </c>
      <c r="AD221" s="109">
        <v>0</v>
      </c>
      <c r="AE221" s="109">
        <v>0</v>
      </c>
      <c r="AF221" s="109">
        <v>0</v>
      </c>
      <c r="AG221" s="109">
        <v>0</v>
      </c>
      <c r="AH221" s="109">
        <v>0</v>
      </c>
      <c r="AI221" s="109">
        <v>0</v>
      </c>
      <c r="AJ221" s="109">
        <v>0</v>
      </c>
      <c r="AK221" s="109">
        <v>0</v>
      </c>
      <c r="AL221" s="109">
        <v>0</v>
      </c>
      <c r="AM221" s="109">
        <v>0</v>
      </c>
      <c r="AN221" s="109">
        <v>0</v>
      </c>
      <c r="AO221" s="109">
        <v>0</v>
      </c>
      <c r="AP221" s="109">
        <v>0</v>
      </c>
      <c r="AQ221" s="109">
        <v>0</v>
      </c>
      <c r="AR221" s="109">
        <v>0</v>
      </c>
      <c r="AS221" s="109">
        <v>0</v>
      </c>
      <c r="AT221" s="109">
        <v>0</v>
      </c>
      <c r="AU221" s="109">
        <v>0</v>
      </c>
      <c r="AV221" s="109">
        <v>0</v>
      </c>
      <c r="AW221" s="109">
        <v>0</v>
      </c>
      <c r="AX221" s="109">
        <v>0</v>
      </c>
      <c r="AY221" s="109">
        <v>0</v>
      </c>
    </row>
    <row r="222" spans="1:51">
      <c r="A222" s="108"/>
      <c r="B222" s="119">
        <v>14</v>
      </c>
      <c r="C222" s="105"/>
      <c r="D222" s="109">
        <v>0</v>
      </c>
      <c r="E222" s="109">
        <v>0</v>
      </c>
      <c r="F222" s="109">
        <v>0</v>
      </c>
      <c r="G222" s="109">
        <v>0</v>
      </c>
      <c r="H222" s="109">
        <v>0</v>
      </c>
      <c r="I222" s="109">
        <v>0</v>
      </c>
      <c r="J222" s="109">
        <v>0</v>
      </c>
      <c r="K222" s="109">
        <v>0</v>
      </c>
      <c r="L222" s="109">
        <v>0</v>
      </c>
      <c r="M222" s="109">
        <v>0</v>
      </c>
      <c r="N222" s="109">
        <v>0</v>
      </c>
      <c r="O222" s="109">
        <v>0</v>
      </c>
      <c r="P222" s="109">
        <v>0</v>
      </c>
      <c r="Q222" s="109">
        <v>0</v>
      </c>
      <c r="R222" s="109">
        <v>0</v>
      </c>
      <c r="S222" s="109">
        <v>0</v>
      </c>
      <c r="T222" s="109">
        <v>0</v>
      </c>
      <c r="U222" s="109">
        <v>0</v>
      </c>
      <c r="V222" s="109">
        <v>0</v>
      </c>
      <c r="W222" s="109">
        <v>0</v>
      </c>
      <c r="X222" s="109">
        <v>0</v>
      </c>
      <c r="Y222" s="109">
        <v>0</v>
      </c>
      <c r="Z222" s="109">
        <v>0</v>
      </c>
      <c r="AA222" s="109">
        <v>0</v>
      </c>
      <c r="AB222" s="109">
        <v>0</v>
      </c>
      <c r="AC222" s="109">
        <v>0</v>
      </c>
      <c r="AD222" s="109">
        <v>0</v>
      </c>
      <c r="AE222" s="109">
        <v>0</v>
      </c>
      <c r="AF222" s="109">
        <v>0</v>
      </c>
      <c r="AG222" s="109">
        <v>0</v>
      </c>
      <c r="AH222" s="109">
        <v>0</v>
      </c>
      <c r="AI222" s="109">
        <v>0</v>
      </c>
      <c r="AJ222" s="109">
        <v>0</v>
      </c>
      <c r="AK222" s="109">
        <v>0</v>
      </c>
      <c r="AL222" s="109">
        <v>0</v>
      </c>
      <c r="AM222" s="109">
        <v>0</v>
      </c>
      <c r="AN222" s="109">
        <v>0</v>
      </c>
      <c r="AO222" s="109">
        <v>0</v>
      </c>
      <c r="AP222" s="109">
        <v>0</v>
      </c>
      <c r="AQ222" s="109">
        <v>0</v>
      </c>
      <c r="AR222" s="109">
        <v>0</v>
      </c>
      <c r="AS222" s="109">
        <v>0</v>
      </c>
      <c r="AT222" s="109">
        <v>0</v>
      </c>
      <c r="AU222" s="109">
        <v>0</v>
      </c>
      <c r="AV222" s="109">
        <v>0</v>
      </c>
      <c r="AW222" s="109">
        <v>0</v>
      </c>
      <c r="AX222" s="109">
        <v>0</v>
      </c>
      <c r="AY222" s="109">
        <v>0</v>
      </c>
    </row>
    <row r="223" spans="1:51">
      <c r="A223" s="108"/>
      <c r="B223" s="119">
        <v>15</v>
      </c>
      <c r="C223" s="105"/>
      <c r="D223" s="109">
        <v>0</v>
      </c>
      <c r="E223" s="109">
        <v>0</v>
      </c>
      <c r="F223" s="109">
        <v>0</v>
      </c>
      <c r="G223" s="109">
        <v>0</v>
      </c>
      <c r="H223" s="109">
        <v>0</v>
      </c>
      <c r="I223" s="109">
        <v>0</v>
      </c>
      <c r="J223" s="109">
        <v>0</v>
      </c>
      <c r="K223" s="109">
        <v>0</v>
      </c>
      <c r="L223" s="109">
        <v>0</v>
      </c>
      <c r="M223" s="109">
        <v>0</v>
      </c>
      <c r="N223" s="109">
        <v>0</v>
      </c>
      <c r="O223" s="109">
        <v>0</v>
      </c>
      <c r="P223" s="109">
        <v>0</v>
      </c>
      <c r="Q223" s="109">
        <v>0</v>
      </c>
      <c r="R223" s="109">
        <v>0</v>
      </c>
      <c r="S223" s="109">
        <v>0</v>
      </c>
      <c r="T223" s="109">
        <v>0</v>
      </c>
      <c r="U223" s="109">
        <v>0</v>
      </c>
      <c r="V223" s="109">
        <v>0</v>
      </c>
      <c r="W223" s="109">
        <v>0</v>
      </c>
      <c r="X223" s="109">
        <v>0</v>
      </c>
      <c r="Y223" s="109">
        <v>0</v>
      </c>
      <c r="Z223" s="109">
        <v>0</v>
      </c>
      <c r="AA223" s="109">
        <v>0</v>
      </c>
      <c r="AB223" s="109">
        <v>0</v>
      </c>
      <c r="AC223" s="109">
        <v>0</v>
      </c>
      <c r="AD223" s="109">
        <v>0</v>
      </c>
      <c r="AE223" s="109">
        <v>0</v>
      </c>
      <c r="AF223" s="109">
        <v>0</v>
      </c>
      <c r="AG223" s="109">
        <v>0</v>
      </c>
      <c r="AH223" s="109">
        <v>0</v>
      </c>
      <c r="AI223" s="109">
        <v>0</v>
      </c>
      <c r="AJ223" s="109">
        <v>0</v>
      </c>
      <c r="AK223" s="109">
        <v>0</v>
      </c>
      <c r="AL223" s="109">
        <v>0</v>
      </c>
      <c r="AM223" s="109">
        <v>0</v>
      </c>
      <c r="AN223" s="109">
        <v>0</v>
      </c>
      <c r="AO223" s="109">
        <v>0</v>
      </c>
      <c r="AP223" s="109">
        <v>0</v>
      </c>
      <c r="AQ223" s="109">
        <v>0</v>
      </c>
      <c r="AR223" s="109">
        <v>0</v>
      </c>
      <c r="AS223" s="109">
        <v>0</v>
      </c>
      <c r="AT223" s="109">
        <v>0</v>
      </c>
      <c r="AU223" s="109">
        <v>0</v>
      </c>
      <c r="AV223" s="109">
        <v>0</v>
      </c>
      <c r="AW223" s="109">
        <v>0</v>
      </c>
      <c r="AX223" s="109">
        <v>0</v>
      </c>
      <c r="AY223" s="109">
        <v>0</v>
      </c>
    </row>
    <row r="224" spans="1:51">
      <c r="A224" s="108"/>
      <c r="B224" s="119">
        <v>16</v>
      </c>
      <c r="C224" s="105"/>
      <c r="D224" s="109">
        <v>0</v>
      </c>
      <c r="E224" s="109">
        <v>0</v>
      </c>
      <c r="F224" s="109">
        <v>0</v>
      </c>
      <c r="G224" s="109">
        <v>0</v>
      </c>
      <c r="H224" s="109">
        <v>0</v>
      </c>
      <c r="I224" s="109">
        <v>0</v>
      </c>
      <c r="J224" s="109">
        <v>0</v>
      </c>
      <c r="K224" s="109">
        <v>0</v>
      </c>
      <c r="L224" s="109">
        <v>0</v>
      </c>
      <c r="M224" s="109">
        <v>0</v>
      </c>
      <c r="N224" s="109">
        <v>0</v>
      </c>
      <c r="O224" s="109">
        <v>0</v>
      </c>
      <c r="P224" s="109">
        <v>0</v>
      </c>
      <c r="Q224" s="109">
        <v>0</v>
      </c>
      <c r="R224" s="109">
        <v>0</v>
      </c>
      <c r="S224" s="109">
        <v>0</v>
      </c>
      <c r="T224" s="109">
        <v>0</v>
      </c>
      <c r="U224" s="109">
        <v>0</v>
      </c>
      <c r="V224" s="109">
        <v>0</v>
      </c>
      <c r="W224" s="109">
        <v>0</v>
      </c>
      <c r="X224" s="109">
        <v>0</v>
      </c>
      <c r="Y224" s="109">
        <v>0</v>
      </c>
      <c r="Z224" s="109">
        <v>0</v>
      </c>
      <c r="AA224" s="109">
        <v>0</v>
      </c>
      <c r="AB224" s="109">
        <v>0</v>
      </c>
      <c r="AC224" s="109">
        <v>0</v>
      </c>
      <c r="AD224" s="109">
        <v>0</v>
      </c>
      <c r="AE224" s="109">
        <v>0</v>
      </c>
      <c r="AF224" s="109">
        <v>0</v>
      </c>
      <c r="AG224" s="109">
        <v>0</v>
      </c>
      <c r="AH224" s="109">
        <v>0</v>
      </c>
      <c r="AI224" s="109">
        <v>0</v>
      </c>
      <c r="AJ224" s="109">
        <v>0</v>
      </c>
      <c r="AK224" s="109">
        <v>0</v>
      </c>
      <c r="AL224" s="109">
        <v>0</v>
      </c>
      <c r="AM224" s="109">
        <v>0</v>
      </c>
      <c r="AN224" s="109">
        <v>0</v>
      </c>
      <c r="AO224" s="109">
        <v>0</v>
      </c>
      <c r="AP224" s="109">
        <v>0</v>
      </c>
      <c r="AQ224" s="109">
        <v>0</v>
      </c>
      <c r="AR224" s="109">
        <v>0</v>
      </c>
      <c r="AS224" s="109">
        <v>0</v>
      </c>
      <c r="AT224" s="109">
        <v>0</v>
      </c>
      <c r="AU224" s="109">
        <v>0</v>
      </c>
      <c r="AV224" s="109">
        <v>0</v>
      </c>
      <c r="AW224" s="109">
        <v>0</v>
      </c>
      <c r="AX224" s="109">
        <v>0</v>
      </c>
      <c r="AY224" s="109">
        <v>0</v>
      </c>
    </row>
    <row r="225" spans="1:51">
      <c r="A225" s="108"/>
      <c r="B225" s="119">
        <v>17</v>
      </c>
      <c r="C225" s="105"/>
      <c r="D225" s="109">
        <v>0</v>
      </c>
      <c r="E225" s="109">
        <v>0</v>
      </c>
      <c r="F225" s="109">
        <v>0</v>
      </c>
      <c r="G225" s="109">
        <v>0</v>
      </c>
      <c r="H225" s="109">
        <v>0</v>
      </c>
      <c r="I225" s="109">
        <v>0</v>
      </c>
      <c r="J225" s="109">
        <v>0</v>
      </c>
      <c r="K225" s="109">
        <v>0</v>
      </c>
      <c r="L225" s="109">
        <v>0</v>
      </c>
      <c r="M225" s="109">
        <v>0</v>
      </c>
      <c r="N225" s="109">
        <v>0</v>
      </c>
      <c r="O225" s="109">
        <v>0</v>
      </c>
      <c r="P225" s="109">
        <v>0</v>
      </c>
      <c r="Q225" s="109">
        <v>0</v>
      </c>
      <c r="R225" s="109">
        <v>0</v>
      </c>
      <c r="S225" s="109">
        <v>0</v>
      </c>
      <c r="T225" s="109">
        <v>0</v>
      </c>
      <c r="U225" s="109">
        <v>0</v>
      </c>
      <c r="V225" s="109">
        <v>0</v>
      </c>
      <c r="W225" s="109">
        <v>0</v>
      </c>
      <c r="X225" s="109">
        <v>0</v>
      </c>
      <c r="Y225" s="109">
        <v>0</v>
      </c>
      <c r="Z225" s="109">
        <v>0</v>
      </c>
      <c r="AA225" s="109">
        <v>0</v>
      </c>
      <c r="AB225" s="109">
        <v>0</v>
      </c>
      <c r="AC225" s="109">
        <v>0</v>
      </c>
      <c r="AD225" s="109">
        <v>0</v>
      </c>
      <c r="AE225" s="109">
        <v>0</v>
      </c>
      <c r="AF225" s="109">
        <v>0</v>
      </c>
      <c r="AG225" s="109">
        <v>0</v>
      </c>
      <c r="AH225" s="109">
        <v>0</v>
      </c>
      <c r="AI225" s="109">
        <v>0</v>
      </c>
      <c r="AJ225" s="109">
        <v>0</v>
      </c>
      <c r="AK225" s="109">
        <v>0</v>
      </c>
      <c r="AL225" s="109">
        <v>0</v>
      </c>
      <c r="AM225" s="109">
        <v>0</v>
      </c>
      <c r="AN225" s="109">
        <v>0</v>
      </c>
      <c r="AO225" s="109">
        <v>0</v>
      </c>
      <c r="AP225" s="109">
        <v>0</v>
      </c>
      <c r="AQ225" s="109">
        <v>0</v>
      </c>
      <c r="AR225" s="109">
        <v>0</v>
      </c>
      <c r="AS225" s="109">
        <v>0</v>
      </c>
      <c r="AT225" s="109">
        <v>0</v>
      </c>
      <c r="AU225" s="109">
        <v>0</v>
      </c>
      <c r="AV225" s="109">
        <v>0</v>
      </c>
      <c r="AW225" s="109">
        <v>0</v>
      </c>
      <c r="AX225" s="109">
        <v>0</v>
      </c>
      <c r="AY225" s="109">
        <v>0</v>
      </c>
    </row>
    <row r="226" spans="1:51">
      <c r="A226" s="108"/>
      <c r="B226" s="119">
        <v>18</v>
      </c>
      <c r="C226" s="105"/>
      <c r="D226" s="109">
        <v>0</v>
      </c>
      <c r="E226" s="109">
        <v>0</v>
      </c>
      <c r="F226" s="109">
        <v>0</v>
      </c>
      <c r="G226" s="109">
        <v>0</v>
      </c>
      <c r="H226" s="109">
        <v>0</v>
      </c>
      <c r="I226" s="109">
        <v>0</v>
      </c>
      <c r="J226" s="109">
        <v>0</v>
      </c>
      <c r="K226" s="109">
        <v>0</v>
      </c>
      <c r="L226" s="109">
        <v>0</v>
      </c>
      <c r="M226" s="109">
        <v>0</v>
      </c>
      <c r="N226" s="109">
        <v>0</v>
      </c>
      <c r="O226" s="109">
        <v>0</v>
      </c>
      <c r="P226" s="109">
        <v>0</v>
      </c>
      <c r="Q226" s="109">
        <v>0</v>
      </c>
      <c r="R226" s="109">
        <v>0</v>
      </c>
      <c r="S226" s="109">
        <v>0</v>
      </c>
      <c r="T226" s="109">
        <v>0</v>
      </c>
      <c r="U226" s="109">
        <v>0</v>
      </c>
      <c r="V226" s="109">
        <v>0</v>
      </c>
      <c r="W226" s="109">
        <v>0</v>
      </c>
      <c r="X226" s="109">
        <v>0</v>
      </c>
      <c r="Y226" s="109">
        <v>0</v>
      </c>
      <c r="Z226" s="109">
        <v>0</v>
      </c>
      <c r="AA226" s="109">
        <v>0</v>
      </c>
      <c r="AB226" s="109">
        <v>0</v>
      </c>
      <c r="AC226" s="109">
        <v>0</v>
      </c>
      <c r="AD226" s="109">
        <v>0</v>
      </c>
      <c r="AE226" s="109">
        <v>0</v>
      </c>
      <c r="AF226" s="109">
        <v>0</v>
      </c>
      <c r="AG226" s="109">
        <v>0</v>
      </c>
      <c r="AH226" s="109">
        <v>0</v>
      </c>
      <c r="AI226" s="109">
        <v>0</v>
      </c>
      <c r="AJ226" s="109">
        <v>0</v>
      </c>
      <c r="AK226" s="109">
        <v>0</v>
      </c>
      <c r="AL226" s="109">
        <v>0</v>
      </c>
      <c r="AM226" s="109">
        <v>0</v>
      </c>
      <c r="AN226" s="109">
        <v>0</v>
      </c>
      <c r="AO226" s="109">
        <v>0</v>
      </c>
      <c r="AP226" s="109">
        <v>0</v>
      </c>
      <c r="AQ226" s="109">
        <v>0</v>
      </c>
      <c r="AR226" s="109">
        <v>0</v>
      </c>
      <c r="AS226" s="109">
        <v>0</v>
      </c>
      <c r="AT226" s="109">
        <v>0</v>
      </c>
      <c r="AU226" s="109">
        <v>0</v>
      </c>
      <c r="AV226" s="109">
        <v>0</v>
      </c>
      <c r="AW226" s="109">
        <v>0</v>
      </c>
      <c r="AX226" s="109">
        <v>0</v>
      </c>
      <c r="AY226" s="109">
        <v>0</v>
      </c>
    </row>
    <row r="227" spans="1:51">
      <c r="A227" s="108"/>
      <c r="B227" s="119">
        <v>19</v>
      </c>
      <c r="C227" s="105"/>
      <c r="D227" s="109">
        <v>0</v>
      </c>
      <c r="E227" s="109">
        <v>0</v>
      </c>
      <c r="F227" s="109">
        <v>0</v>
      </c>
      <c r="G227" s="109">
        <v>0</v>
      </c>
      <c r="H227" s="109">
        <v>0</v>
      </c>
      <c r="I227" s="109">
        <v>0</v>
      </c>
      <c r="J227" s="109">
        <v>0</v>
      </c>
      <c r="K227" s="109">
        <v>0</v>
      </c>
      <c r="L227" s="109">
        <v>0</v>
      </c>
      <c r="M227" s="109">
        <v>0</v>
      </c>
      <c r="N227" s="109">
        <v>0</v>
      </c>
      <c r="O227" s="109">
        <v>0</v>
      </c>
      <c r="P227" s="109">
        <v>0</v>
      </c>
      <c r="Q227" s="109">
        <v>0</v>
      </c>
      <c r="R227" s="109">
        <v>0</v>
      </c>
      <c r="S227" s="109">
        <v>0</v>
      </c>
      <c r="T227" s="109">
        <v>0</v>
      </c>
      <c r="U227" s="109">
        <v>0</v>
      </c>
      <c r="V227" s="109">
        <v>0</v>
      </c>
      <c r="W227" s="109">
        <v>0</v>
      </c>
      <c r="X227" s="109">
        <v>0</v>
      </c>
      <c r="Y227" s="109">
        <v>0</v>
      </c>
      <c r="Z227" s="109">
        <v>0</v>
      </c>
      <c r="AA227" s="109">
        <v>0</v>
      </c>
      <c r="AB227" s="109">
        <v>0</v>
      </c>
      <c r="AC227" s="109">
        <v>0</v>
      </c>
      <c r="AD227" s="109">
        <v>0</v>
      </c>
      <c r="AE227" s="109">
        <v>0</v>
      </c>
      <c r="AF227" s="109">
        <v>0</v>
      </c>
      <c r="AG227" s="109">
        <v>0</v>
      </c>
      <c r="AH227" s="109">
        <v>0</v>
      </c>
      <c r="AI227" s="109">
        <v>0</v>
      </c>
      <c r="AJ227" s="109">
        <v>0</v>
      </c>
      <c r="AK227" s="109">
        <v>0</v>
      </c>
      <c r="AL227" s="109">
        <v>0</v>
      </c>
      <c r="AM227" s="109">
        <v>0</v>
      </c>
      <c r="AN227" s="109">
        <v>0</v>
      </c>
      <c r="AO227" s="109">
        <v>0</v>
      </c>
      <c r="AP227" s="109">
        <v>0</v>
      </c>
      <c r="AQ227" s="109">
        <v>0</v>
      </c>
      <c r="AR227" s="109">
        <v>0</v>
      </c>
      <c r="AS227" s="109">
        <v>0</v>
      </c>
      <c r="AT227" s="109">
        <v>0</v>
      </c>
      <c r="AU227" s="109">
        <v>0</v>
      </c>
      <c r="AV227" s="109">
        <v>0</v>
      </c>
      <c r="AW227" s="109">
        <v>0</v>
      </c>
      <c r="AX227" s="109">
        <v>0</v>
      </c>
      <c r="AY227" s="109">
        <v>0</v>
      </c>
    </row>
    <row r="228" spans="1:51">
      <c r="A228" s="108"/>
      <c r="B228" s="119">
        <v>20</v>
      </c>
      <c r="C228" s="105"/>
      <c r="D228" s="109">
        <v>0</v>
      </c>
      <c r="E228" s="109">
        <v>0</v>
      </c>
      <c r="F228" s="109">
        <v>0</v>
      </c>
      <c r="G228" s="109">
        <v>0</v>
      </c>
      <c r="H228" s="109">
        <v>0</v>
      </c>
      <c r="I228" s="109">
        <v>0</v>
      </c>
      <c r="J228" s="109">
        <v>0</v>
      </c>
      <c r="K228" s="109">
        <v>0</v>
      </c>
      <c r="L228" s="109">
        <v>0</v>
      </c>
      <c r="M228" s="109">
        <v>0</v>
      </c>
      <c r="N228" s="109">
        <v>0</v>
      </c>
      <c r="O228" s="109">
        <v>0</v>
      </c>
      <c r="P228" s="109">
        <v>0</v>
      </c>
      <c r="Q228" s="109">
        <v>0</v>
      </c>
      <c r="R228" s="109">
        <v>0</v>
      </c>
      <c r="S228" s="109">
        <v>0</v>
      </c>
      <c r="T228" s="109">
        <v>0</v>
      </c>
      <c r="U228" s="109">
        <v>0</v>
      </c>
      <c r="V228" s="109">
        <v>0</v>
      </c>
      <c r="W228" s="109">
        <v>0</v>
      </c>
      <c r="X228" s="109">
        <v>0</v>
      </c>
      <c r="Y228" s="109">
        <v>0</v>
      </c>
      <c r="Z228" s="109">
        <v>0</v>
      </c>
      <c r="AA228" s="109">
        <v>0</v>
      </c>
      <c r="AB228" s="109">
        <v>0</v>
      </c>
      <c r="AC228" s="109">
        <v>0</v>
      </c>
      <c r="AD228" s="109">
        <v>0</v>
      </c>
      <c r="AE228" s="109">
        <v>0</v>
      </c>
      <c r="AF228" s="109">
        <v>0</v>
      </c>
      <c r="AG228" s="109">
        <v>0</v>
      </c>
      <c r="AH228" s="109">
        <v>0</v>
      </c>
      <c r="AI228" s="109">
        <v>0</v>
      </c>
      <c r="AJ228" s="109">
        <v>0</v>
      </c>
      <c r="AK228" s="109">
        <v>0</v>
      </c>
      <c r="AL228" s="109">
        <v>0</v>
      </c>
      <c r="AM228" s="109">
        <v>0</v>
      </c>
      <c r="AN228" s="109">
        <v>0</v>
      </c>
      <c r="AO228" s="109">
        <v>0</v>
      </c>
      <c r="AP228" s="109">
        <v>0</v>
      </c>
      <c r="AQ228" s="109">
        <v>0</v>
      </c>
      <c r="AR228" s="109">
        <v>0</v>
      </c>
      <c r="AS228" s="109">
        <v>0</v>
      </c>
      <c r="AT228" s="109">
        <v>0</v>
      </c>
      <c r="AU228" s="109">
        <v>0</v>
      </c>
      <c r="AV228" s="109">
        <v>0</v>
      </c>
      <c r="AW228" s="109">
        <v>0</v>
      </c>
      <c r="AX228" s="109">
        <v>0</v>
      </c>
      <c r="AY228" s="109">
        <v>0</v>
      </c>
    </row>
    <row r="229" spans="1:51">
      <c r="A229" s="108"/>
      <c r="B229" s="119">
        <v>21</v>
      </c>
      <c r="C229" s="105"/>
      <c r="D229" s="109">
        <v>0</v>
      </c>
      <c r="E229" s="109">
        <v>0</v>
      </c>
      <c r="F229" s="109">
        <v>0</v>
      </c>
      <c r="G229" s="109">
        <v>0</v>
      </c>
      <c r="H229" s="109">
        <v>0</v>
      </c>
      <c r="I229" s="109">
        <v>0</v>
      </c>
      <c r="J229" s="109">
        <v>0</v>
      </c>
      <c r="K229" s="109">
        <v>0</v>
      </c>
      <c r="L229" s="109">
        <v>0</v>
      </c>
      <c r="M229" s="109">
        <v>0</v>
      </c>
      <c r="N229" s="109">
        <v>0</v>
      </c>
      <c r="O229" s="109">
        <v>0</v>
      </c>
      <c r="P229" s="109">
        <v>0</v>
      </c>
      <c r="Q229" s="109">
        <v>0</v>
      </c>
      <c r="R229" s="109">
        <v>0</v>
      </c>
      <c r="S229" s="109">
        <v>0</v>
      </c>
      <c r="T229" s="109">
        <v>0</v>
      </c>
      <c r="U229" s="109">
        <v>0</v>
      </c>
      <c r="V229" s="109">
        <v>0</v>
      </c>
      <c r="W229" s="109">
        <v>0</v>
      </c>
      <c r="X229" s="109">
        <v>0</v>
      </c>
      <c r="Y229" s="109">
        <v>0</v>
      </c>
      <c r="Z229" s="109">
        <v>0</v>
      </c>
      <c r="AA229" s="109">
        <v>0</v>
      </c>
      <c r="AB229" s="109">
        <v>0</v>
      </c>
      <c r="AC229" s="109">
        <v>0</v>
      </c>
      <c r="AD229" s="109">
        <v>0</v>
      </c>
      <c r="AE229" s="109">
        <v>0</v>
      </c>
      <c r="AF229" s="109">
        <v>0</v>
      </c>
      <c r="AG229" s="109">
        <v>0</v>
      </c>
      <c r="AH229" s="109">
        <v>0</v>
      </c>
      <c r="AI229" s="109">
        <v>0</v>
      </c>
      <c r="AJ229" s="109">
        <v>0</v>
      </c>
      <c r="AK229" s="109">
        <v>0</v>
      </c>
      <c r="AL229" s="109">
        <v>0</v>
      </c>
      <c r="AM229" s="109">
        <v>0</v>
      </c>
      <c r="AN229" s="109">
        <v>0</v>
      </c>
      <c r="AO229" s="109">
        <v>0</v>
      </c>
      <c r="AP229" s="109">
        <v>0</v>
      </c>
      <c r="AQ229" s="109">
        <v>0</v>
      </c>
      <c r="AR229" s="109">
        <v>0</v>
      </c>
      <c r="AS229" s="109">
        <v>0</v>
      </c>
      <c r="AT229" s="109">
        <v>0</v>
      </c>
      <c r="AU229" s="109">
        <v>0</v>
      </c>
      <c r="AV229" s="109">
        <v>0</v>
      </c>
      <c r="AW229" s="109">
        <v>0</v>
      </c>
      <c r="AX229" s="109">
        <v>0</v>
      </c>
      <c r="AY229" s="109">
        <v>0</v>
      </c>
    </row>
    <row r="230" spans="1:51">
      <c r="A230" s="108"/>
      <c r="B230" s="119">
        <v>22</v>
      </c>
      <c r="C230" s="105"/>
      <c r="D230" s="109">
        <v>0</v>
      </c>
      <c r="E230" s="109">
        <v>0</v>
      </c>
      <c r="F230" s="109">
        <v>0</v>
      </c>
      <c r="G230" s="109">
        <v>0</v>
      </c>
      <c r="H230" s="109">
        <v>0</v>
      </c>
      <c r="I230" s="109">
        <v>0</v>
      </c>
      <c r="J230" s="109">
        <v>0</v>
      </c>
      <c r="K230" s="109">
        <v>0</v>
      </c>
      <c r="L230" s="109">
        <v>0</v>
      </c>
      <c r="M230" s="109">
        <v>0</v>
      </c>
      <c r="N230" s="109">
        <v>0</v>
      </c>
      <c r="O230" s="109">
        <v>0</v>
      </c>
      <c r="P230" s="109">
        <v>0</v>
      </c>
      <c r="Q230" s="109">
        <v>0</v>
      </c>
      <c r="R230" s="109">
        <v>0</v>
      </c>
      <c r="S230" s="109">
        <v>0</v>
      </c>
      <c r="T230" s="109">
        <v>0</v>
      </c>
      <c r="U230" s="109">
        <v>0</v>
      </c>
      <c r="V230" s="109">
        <v>0</v>
      </c>
      <c r="W230" s="109">
        <v>0</v>
      </c>
      <c r="X230" s="109">
        <v>0</v>
      </c>
      <c r="Y230" s="109">
        <v>0</v>
      </c>
      <c r="Z230" s="109">
        <v>0</v>
      </c>
      <c r="AA230" s="109">
        <v>0</v>
      </c>
      <c r="AB230" s="109">
        <v>0</v>
      </c>
      <c r="AC230" s="109">
        <v>0</v>
      </c>
      <c r="AD230" s="109">
        <v>0</v>
      </c>
      <c r="AE230" s="109">
        <v>0</v>
      </c>
      <c r="AF230" s="109">
        <v>0</v>
      </c>
      <c r="AG230" s="109">
        <v>0</v>
      </c>
      <c r="AH230" s="109">
        <v>0</v>
      </c>
      <c r="AI230" s="109">
        <v>0</v>
      </c>
      <c r="AJ230" s="109">
        <v>0</v>
      </c>
      <c r="AK230" s="109">
        <v>0</v>
      </c>
      <c r="AL230" s="109">
        <v>0</v>
      </c>
      <c r="AM230" s="109">
        <v>0</v>
      </c>
      <c r="AN230" s="109">
        <v>0</v>
      </c>
      <c r="AO230" s="109">
        <v>0</v>
      </c>
      <c r="AP230" s="109">
        <v>0</v>
      </c>
      <c r="AQ230" s="109">
        <v>0</v>
      </c>
      <c r="AR230" s="109">
        <v>0</v>
      </c>
      <c r="AS230" s="109">
        <v>0</v>
      </c>
      <c r="AT230" s="109">
        <v>0</v>
      </c>
      <c r="AU230" s="109">
        <v>0</v>
      </c>
      <c r="AV230" s="109">
        <v>0</v>
      </c>
      <c r="AW230" s="109">
        <v>0</v>
      </c>
      <c r="AX230" s="109">
        <v>0</v>
      </c>
      <c r="AY230" s="109">
        <v>0</v>
      </c>
    </row>
    <row r="231" spans="1:51">
      <c r="A231" s="108"/>
      <c r="B231" s="119">
        <v>23</v>
      </c>
      <c r="C231" s="105"/>
      <c r="D231" s="109">
        <v>0</v>
      </c>
      <c r="E231" s="109">
        <v>0</v>
      </c>
      <c r="F231" s="109">
        <v>0</v>
      </c>
      <c r="G231" s="109">
        <v>0</v>
      </c>
      <c r="H231" s="109">
        <v>0</v>
      </c>
      <c r="I231" s="109">
        <v>0</v>
      </c>
      <c r="J231" s="109">
        <v>0</v>
      </c>
      <c r="K231" s="109">
        <v>0</v>
      </c>
      <c r="L231" s="109">
        <v>0</v>
      </c>
      <c r="M231" s="109">
        <v>0</v>
      </c>
      <c r="N231" s="109">
        <v>0</v>
      </c>
      <c r="O231" s="109">
        <v>0</v>
      </c>
      <c r="P231" s="109">
        <v>0</v>
      </c>
      <c r="Q231" s="109">
        <v>0</v>
      </c>
      <c r="R231" s="109">
        <v>0</v>
      </c>
      <c r="S231" s="109">
        <v>0</v>
      </c>
      <c r="T231" s="109">
        <v>0</v>
      </c>
      <c r="U231" s="109">
        <v>0</v>
      </c>
      <c r="V231" s="109">
        <v>0</v>
      </c>
      <c r="W231" s="109">
        <v>0</v>
      </c>
      <c r="X231" s="109">
        <v>0</v>
      </c>
      <c r="Y231" s="109">
        <v>0</v>
      </c>
      <c r="Z231" s="109">
        <v>0</v>
      </c>
      <c r="AA231" s="109">
        <v>0</v>
      </c>
      <c r="AB231" s="109">
        <v>0</v>
      </c>
      <c r="AC231" s="109">
        <v>0</v>
      </c>
      <c r="AD231" s="109">
        <v>0</v>
      </c>
      <c r="AE231" s="109">
        <v>0</v>
      </c>
      <c r="AF231" s="109">
        <v>0</v>
      </c>
      <c r="AG231" s="109">
        <v>0</v>
      </c>
      <c r="AH231" s="109">
        <v>0</v>
      </c>
      <c r="AI231" s="109">
        <v>0</v>
      </c>
      <c r="AJ231" s="109">
        <v>0</v>
      </c>
      <c r="AK231" s="109">
        <v>0</v>
      </c>
      <c r="AL231" s="109">
        <v>0</v>
      </c>
      <c r="AM231" s="109">
        <v>0</v>
      </c>
      <c r="AN231" s="109">
        <v>0</v>
      </c>
      <c r="AO231" s="109">
        <v>0</v>
      </c>
      <c r="AP231" s="109">
        <v>0</v>
      </c>
      <c r="AQ231" s="109">
        <v>0</v>
      </c>
      <c r="AR231" s="109">
        <v>0</v>
      </c>
      <c r="AS231" s="109">
        <v>0</v>
      </c>
      <c r="AT231" s="109">
        <v>0</v>
      </c>
      <c r="AU231" s="109">
        <v>0</v>
      </c>
      <c r="AV231" s="109">
        <v>0</v>
      </c>
      <c r="AW231" s="109">
        <v>0</v>
      </c>
      <c r="AX231" s="109">
        <v>0</v>
      </c>
      <c r="AY231" s="109">
        <v>0</v>
      </c>
    </row>
    <row r="232" spans="1:51">
      <c r="A232" s="108"/>
      <c r="B232" s="119">
        <v>24</v>
      </c>
      <c r="C232" s="105"/>
      <c r="D232" s="109">
        <v>0</v>
      </c>
      <c r="E232" s="109">
        <v>0</v>
      </c>
      <c r="F232" s="109">
        <v>0</v>
      </c>
      <c r="G232" s="109">
        <v>0</v>
      </c>
      <c r="H232" s="109">
        <v>0</v>
      </c>
      <c r="I232" s="109">
        <v>0</v>
      </c>
      <c r="J232" s="109">
        <v>0</v>
      </c>
      <c r="K232" s="109">
        <v>0</v>
      </c>
      <c r="L232" s="109">
        <v>0</v>
      </c>
      <c r="M232" s="109">
        <v>0</v>
      </c>
      <c r="N232" s="109">
        <v>0</v>
      </c>
      <c r="O232" s="109">
        <v>0</v>
      </c>
      <c r="P232" s="109">
        <v>0</v>
      </c>
      <c r="Q232" s="109">
        <v>0</v>
      </c>
      <c r="R232" s="109">
        <v>0</v>
      </c>
      <c r="S232" s="109">
        <v>0</v>
      </c>
      <c r="T232" s="109">
        <v>0</v>
      </c>
      <c r="U232" s="109">
        <v>0</v>
      </c>
      <c r="V232" s="109">
        <v>0</v>
      </c>
      <c r="W232" s="109">
        <v>0</v>
      </c>
      <c r="X232" s="109">
        <v>0</v>
      </c>
      <c r="Y232" s="109">
        <v>0</v>
      </c>
      <c r="Z232" s="109">
        <v>0</v>
      </c>
      <c r="AA232" s="109">
        <v>0</v>
      </c>
      <c r="AB232" s="109">
        <v>0</v>
      </c>
      <c r="AC232" s="109">
        <v>0</v>
      </c>
      <c r="AD232" s="109">
        <v>0</v>
      </c>
      <c r="AE232" s="109">
        <v>0</v>
      </c>
      <c r="AF232" s="109">
        <v>0</v>
      </c>
      <c r="AG232" s="109">
        <v>0</v>
      </c>
      <c r="AH232" s="109">
        <v>0</v>
      </c>
      <c r="AI232" s="109">
        <v>0</v>
      </c>
      <c r="AJ232" s="109">
        <v>0</v>
      </c>
      <c r="AK232" s="109">
        <v>0</v>
      </c>
      <c r="AL232" s="109">
        <v>0</v>
      </c>
      <c r="AM232" s="109">
        <v>0</v>
      </c>
      <c r="AN232" s="109">
        <v>0</v>
      </c>
      <c r="AO232" s="109">
        <v>0</v>
      </c>
      <c r="AP232" s="109">
        <v>0</v>
      </c>
      <c r="AQ232" s="109">
        <v>0</v>
      </c>
      <c r="AR232" s="109">
        <v>0</v>
      </c>
      <c r="AS232" s="109">
        <v>0</v>
      </c>
      <c r="AT232" s="109">
        <v>0</v>
      </c>
      <c r="AU232" s="109">
        <v>0</v>
      </c>
      <c r="AV232" s="109">
        <v>0</v>
      </c>
      <c r="AW232" s="109">
        <v>0</v>
      </c>
      <c r="AX232" s="109">
        <v>0</v>
      </c>
      <c r="AY232" s="109">
        <v>0</v>
      </c>
    </row>
    <row r="233" spans="1:51">
      <c r="A233" s="108"/>
      <c r="B233" s="126">
        <v>25</v>
      </c>
      <c r="C233" s="105"/>
      <c r="D233" s="109">
        <v>0</v>
      </c>
      <c r="E233" s="109">
        <v>0</v>
      </c>
      <c r="F233" s="109">
        <v>0</v>
      </c>
      <c r="G233" s="109">
        <v>0</v>
      </c>
      <c r="H233" s="109">
        <v>0</v>
      </c>
      <c r="I233" s="109">
        <v>0</v>
      </c>
      <c r="J233" s="109">
        <v>0</v>
      </c>
      <c r="K233" s="109">
        <v>0</v>
      </c>
      <c r="L233" s="109">
        <v>0</v>
      </c>
      <c r="M233" s="109">
        <v>0</v>
      </c>
      <c r="N233" s="109">
        <v>0</v>
      </c>
      <c r="O233" s="109">
        <v>0</v>
      </c>
      <c r="P233" s="109">
        <v>0</v>
      </c>
      <c r="Q233" s="109">
        <v>0</v>
      </c>
      <c r="R233" s="109">
        <v>0</v>
      </c>
      <c r="S233" s="109">
        <v>0</v>
      </c>
      <c r="T233" s="109">
        <v>0</v>
      </c>
      <c r="U233" s="109">
        <v>0</v>
      </c>
      <c r="V233" s="109">
        <v>0</v>
      </c>
      <c r="W233" s="109">
        <v>0</v>
      </c>
      <c r="X233" s="109">
        <v>0</v>
      </c>
      <c r="Y233" s="109">
        <v>0</v>
      </c>
      <c r="Z233" s="109">
        <v>0</v>
      </c>
      <c r="AA233" s="109">
        <v>0</v>
      </c>
      <c r="AB233" s="109">
        <v>0</v>
      </c>
      <c r="AC233" s="109">
        <v>0</v>
      </c>
      <c r="AD233" s="109">
        <v>0</v>
      </c>
      <c r="AE233" s="109">
        <v>0</v>
      </c>
      <c r="AF233" s="109">
        <v>0</v>
      </c>
      <c r="AG233" s="109">
        <v>0</v>
      </c>
      <c r="AH233" s="109">
        <v>0</v>
      </c>
      <c r="AI233" s="109">
        <v>0</v>
      </c>
      <c r="AJ233" s="109">
        <v>0</v>
      </c>
      <c r="AK233" s="109">
        <v>0</v>
      </c>
      <c r="AL233" s="109">
        <v>0</v>
      </c>
      <c r="AM233" s="109">
        <v>0</v>
      </c>
      <c r="AN233" s="109">
        <v>0</v>
      </c>
      <c r="AO233" s="109">
        <v>0</v>
      </c>
      <c r="AP233" s="109">
        <v>0</v>
      </c>
      <c r="AQ233" s="109">
        <v>0</v>
      </c>
      <c r="AR233" s="109">
        <v>0</v>
      </c>
      <c r="AS233" s="109">
        <v>0</v>
      </c>
      <c r="AT233" s="109">
        <v>0</v>
      </c>
      <c r="AU233" s="109">
        <v>0</v>
      </c>
      <c r="AV233" s="109">
        <v>0</v>
      </c>
      <c r="AW233" s="109">
        <v>0</v>
      </c>
      <c r="AX233" s="109">
        <v>0</v>
      </c>
      <c r="AY233" s="109">
        <v>0</v>
      </c>
    </row>
    <row r="234" spans="1:51">
      <c r="A234" s="108"/>
      <c r="B234" s="126">
        <v>26</v>
      </c>
      <c r="C234" s="105"/>
      <c r="D234" s="109">
        <v>0</v>
      </c>
      <c r="E234" s="109">
        <v>0</v>
      </c>
      <c r="F234" s="109">
        <v>0</v>
      </c>
      <c r="G234" s="109">
        <v>0</v>
      </c>
      <c r="H234" s="109">
        <v>0</v>
      </c>
      <c r="I234" s="109">
        <v>0</v>
      </c>
      <c r="J234" s="109">
        <v>0</v>
      </c>
      <c r="K234" s="109">
        <v>0</v>
      </c>
      <c r="L234" s="109">
        <v>0</v>
      </c>
      <c r="M234" s="109">
        <v>0</v>
      </c>
      <c r="N234" s="109">
        <v>0</v>
      </c>
      <c r="O234" s="109">
        <v>0</v>
      </c>
      <c r="P234" s="109">
        <v>0</v>
      </c>
      <c r="Q234" s="109">
        <v>0</v>
      </c>
      <c r="R234" s="109">
        <v>0</v>
      </c>
      <c r="S234" s="109">
        <v>0</v>
      </c>
      <c r="T234" s="109">
        <v>0</v>
      </c>
      <c r="U234" s="109">
        <v>0</v>
      </c>
      <c r="V234" s="109">
        <v>0</v>
      </c>
      <c r="W234" s="109">
        <v>0</v>
      </c>
      <c r="X234" s="109">
        <v>0</v>
      </c>
      <c r="Y234" s="109">
        <v>0</v>
      </c>
      <c r="Z234" s="109">
        <v>0</v>
      </c>
      <c r="AA234" s="109">
        <v>0</v>
      </c>
      <c r="AB234" s="109">
        <v>0</v>
      </c>
      <c r="AC234" s="109">
        <v>0</v>
      </c>
      <c r="AD234" s="109">
        <v>0</v>
      </c>
      <c r="AE234" s="109">
        <v>0</v>
      </c>
      <c r="AF234" s="109">
        <v>0</v>
      </c>
      <c r="AG234" s="109">
        <v>0</v>
      </c>
      <c r="AH234" s="109">
        <v>0</v>
      </c>
      <c r="AI234" s="109">
        <v>0</v>
      </c>
      <c r="AJ234" s="109">
        <v>0</v>
      </c>
      <c r="AK234" s="109">
        <v>0</v>
      </c>
      <c r="AL234" s="109">
        <v>0</v>
      </c>
      <c r="AM234" s="109">
        <v>0</v>
      </c>
      <c r="AN234" s="109">
        <v>0</v>
      </c>
      <c r="AO234" s="109">
        <v>0</v>
      </c>
      <c r="AP234" s="109">
        <v>0</v>
      </c>
      <c r="AQ234" s="109">
        <v>0</v>
      </c>
      <c r="AR234" s="109">
        <v>0</v>
      </c>
      <c r="AS234" s="109">
        <v>0</v>
      </c>
      <c r="AT234" s="109">
        <v>0</v>
      </c>
      <c r="AU234" s="109">
        <v>0</v>
      </c>
      <c r="AV234" s="109">
        <v>0</v>
      </c>
      <c r="AW234" s="109">
        <v>0</v>
      </c>
      <c r="AX234" s="109">
        <v>0</v>
      </c>
      <c r="AY234" s="109">
        <v>0</v>
      </c>
    </row>
    <row r="235" spans="1:51">
      <c r="A235" s="108"/>
      <c r="B235" s="126">
        <v>27</v>
      </c>
      <c r="C235" s="105"/>
      <c r="D235" s="109">
        <v>0</v>
      </c>
      <c r="E235" s="109">
        <v>0</v>
      </c>
      <c r="F235" s="109">
        <v>0</v>
      </c>
      <c r="G235" s="109">
        <v>0</v>
      </c>
      <c r="H235" s="109">
        <v>0</v>
      </c>
      <c r="I235" s="109">
        <v>0</v>
      </c>
      <c r="J235" s="109">
        <v>0</v>
      </c>
      <c r="K235" s="109">
        <v>0</v>
      </c>
      <c r="L235" s="109">
        <v>0</v>
      </c>
      <c r="M235" s="109">
        <v>0</v>
      </c>
      <c r="N235" s="109">
        <v>0</v>
      </c>
      <c r="O235" s="109">
        <v>0</v>
      </c>
      <c r="P235" s="109">
        <v>0</v>
      </c>
      <c r="Q235" s="109">
        <v>0</v>
      </c>
      <c r="R235" s="109">
        <v>0</v>
      </c>
      <c r="S235" s="109">
        <v>0</v>
      </c>
      <c r="T235" s="109">
        <v>0</v>
      </c>
      <c r="U235" s="109">
        <v>0</v>
      </c>
      <c r="V235" s="109">
        <v>0</v>
      </c>
      <c r="W235" s="109">
        <v>0</v>
      </c>
      <c r="X235" s="109">
        <v>0</v>
      </c>
      <c r="Y235" s="109">
        <v>0</v>
      </c>
      <c r="Z235" s="109">
        <v>0</v>
      </c>
      <c r="AA235" s="109">
        <v>0</v>
      </c>
      <c r="AB235" s="109">
        <v>0</v>
      </c>
      <c r="AC235" s="109">
        <v>0</v>
      </c>
      <c r="AD235" s="109">
        <v>0</v>
      </c>
      <c r="AE235" s="109">
        <v>0</v>
      </c>
      <c r="AF235" s="109">
        <v>0</v>
      </c>
      <c r="AG235" s="109">
        <v>0</v>
      </c>
      <c r="AH235" s="109">
        <v>0</v>
      </c>
      <c r="AI235" s="109">
        <v>0</v>
      </c>
      <c r="AJ235" s="109">
        <v>0</v>
      </c>
      <c r="AK235" s="109">
        <v>0</v>
      </c>
      <c r="AL235" s="109">
        <v>0</v>
      </c>
      <c r="AM235" s="109">
        <v>0</v>
      </c>
      <c r="AN235" s="109">
        <v>0</v>
      </c>
      <c r="AO235" s="109">
        <v>0</v>
      </c>
      <c r="AP235" s="109">
        <v>0</v>
      </c>
      <c r="AQ235" s="109">
        <v>0</v>
      </c>
      <c r="AR235" s="109">
        <v>0</v>
      </c>
      <c r="AS235" s="109">
        <v>0</v>
      </c>
      <c r="AT235" s="109">
        <v>0</v>
      </c>
      <c r="AU235" s="109">
        <v>0</v>
      </c>
      <c r="AV235" s="109">
        <v>0</v>
      </c>
      <c r="AW235" s="109">
        <v>0</v>
      </c>
      <c r="AX235" s="109">
        <v>0</v>
      </c>
      <c r="AY235" s="109">
        <v>0</v>
      </c>
    </row>
    <row r="236" spans="1:51">
      <c r="A236" s="108"/>
      <c r="B236" s="126">
        <v>28</v>
      </c>
      <c r="C236" s="105"/>
      <c r="D236" s="109">
        <v>0</v>
      </c>
      <c r="E236" s="109">
        <v>0</v>
      </c>
      <c r="F236" s="109">
        <v>0</v>
      </c>
      <c r="G236" s="109">
        <v>0</v>
      </c>
      <c r="H236" s="109">
        <v>0</v>
      </c>
      <c r="I236" s="109">
        <v>0</v>
      </c>
      <c r="J236" s="109">
        <v>0</v>
      </c>
      <c r="K236" s="109">
        <v>0</v>
      </c>
      <c r="L236" s="109">
        <v>0</v>
      </c>
      <c r="M236" s="109">
        <v>0</v>
      </c>
      <c r="N236" s="109">
        <v>0</v>
      </c>
      <c r="O236" s="109">
        <v>0</v>
      </c>
      <c r="P236" s="109">
        <v>0</v>
      </c>
      <c r="Q236" s="109">
        <v>0</v>
      </c>
      <c r="R236" s="109">
        <v>0</v>
      </c>
      <c r="S236" s="109">
        <v>0</v>
      </c>
      <c r="T236" s="109">
        <v>0</v>
      </c>
      <c r="U236" s="109">
        <v>0</v>
      </c>
      <c r="V236" s="109">
        <v>0</v>
      </c>
      <c r="W236" s="109">
        <v>0</v>
      </c>
      <c r="X236" s="109">
        <v>0</v>
      </c>
      <c r="Y236" s="109">
        <v>0</v>
      </c>
      <c r="Z236" s="109">
        <v>0</v>
      </c>
      <c r="AA236" s="109">
        <v>0</v>
      </c>
      <c r="AB236" s="109">
        <v>0</v>
      </c>
      <c r="AC236" s="109">
        <v>0</v>
      </c>
      <c r="AD236" s="109">
        <v>0</v>
      </c>
      <c r="AE236" s="109">
        <v>0</v>
      </c>
      <c r="AF236" s="109">
        <v>0</v>
      </c>
      <c r="AG236" s="109">
        <v>0</v>
      </c>
      <c r="AH236" s="109">
        <v>0</v>
      </c>
      <c r="AI236" s="109">
        <v>0</v>
      </c>
      <c r="AJ236" s="109">
        <v>0</v>
      </c>
      <c r="AK236" s="109">
        <v>0</v>
      </c>
      <c r="AL236" s="109">
        <v>0</v>
      </c>
      <c r="AM236" s="109">
        <v>0</v>
      </c>
      <c r="AN236" s="109">
        <v>0</v>
      </c>
      <c r="AO236" s="109">
        <v>0</v>
      </c>
      <c r="AP236" s="109">
        <v>0</v>
      </c>
      <c r="AQ236" s="109">
        <v>0</v>
      </c>
      <c r="AR236" s="109">
        <v>0</v>
      </c>
      <c r="AS236" s="109">
        <v>0</v>
      </c>
      <c r="AT236" s="109">
        <v>0</v>
      </c>
      <c r="AU236" s="109">
        <v>0</v>
      </c>
      <c r="AV236" s="109">
        <v>0</v>
      </c>
      <c r="AW236" s="109">
        <v>0</v>
      </c>
      <c r="AX236" s="109">
        <v>0</v>
      </c>
      <c r="AY236" s="109">
        <v>0</v>
      </c>
    </row>
    <row r="237" spans="1:51">
      <c r="A237" s="108"/>
      <c r="B237" s="126">
        <v>29</v>
      </c>
      <c r="C237" s="105"/>
      <c r="D237" s="109">
        <v>0</v>
      </c>
      <c r="E237" s="109">
        <v>0</v>
      </c>
      <c r="F237" s="109">
        <v>0</v>
      </c>
      <c r="G237" s="109">
        <v>0</v>
      </c>
      <c r="H237" s="109">
        <v>0</v>
      </c>
      <c r="I237" s="109">
        <v>0</v>
      </c>
      <c r="J237" s="109">
        <v>0</v>
      </c>
      <c r="K237" s="109">
        <v>0</v>
      </c>
      <c r="L237" s="109">
        <v>0</v>
      </c>
      <c r="M237" s="109">
        <v>0</v>
      </c>
      <c r="N237" s="109">
        <v>0</v>
      </c>
      <c r="O237" s="109">
        <v>0</v>
      </c>
      <c r="P237" s="109">
        <v>0</v>
      </c>
      <c r="Q237" s="109">
        <v>0</v>
      </c>
      <c r="R237" s="109">
        <v>0</v>
      </c>
      <c r="S237" s="109">
        <v>0</v>
      </c>
      <c r="T237" s="109">
        <v>0</v>
      </c>
      <c r="U237" s="109">
        <v>0</v>
      </c>
      <c r="V237" s="109">
        <v>0</v>
      </c>
      <c r="W237" s="109">
        <v>0</v>
      </c>
      <c r="X237" s="109">
        <v>0</v>
      </c>
      <c r="Y237" s="109">
        <v>0</v>
      </c>
      <c r="Z237" s="109">
        <v>0</v>
      </c>
      <c r="AA237" s="109">
        <v>0</v>
      </c>
      <c r="AB237" s="109">
        <v>0</v>
      </c>
      <c r="AC237" s="109">
        <v>0</v>
      </c>
      <c r="AD237" s="109">
        <v>0</v>
      </c>
      <c r="AE237" s="109">
        <v>0</v>
      </c>
      <c r="AF237" s="109">
        <v>0</v>
      </c>
      <c r="AG237" s="109">
        <v>0</v>
      </c>
      <c r="AH237" s="109">
        <v>0</v>
      </c>
      <c r="AI237" s="109">
        <v>0</v>
      </c>
      <c r="AJ237" s="109">
        <v>0</v>
      </c>
      <c r="AK237" s="109">
        <v>0</v>
      </c>
      <c r="AL237" s="109">
        <v>0</v>
      </c>
      <c r="AM237" s="109">
        <v>0</v>
      </c>
      <c r="AN237" s="109">
        <v>0</v>
      </c>
      <c r="AO237" s="109">
        <v>0</v>
      </c>
      <c r="AP237" s="109">
        <v>0</v>
      </c>
      <c r="AQ237" s="109">
        <v>0</v>
      </c>
      <c r="AR237" s="109">
        <v>0</v>
      </c>
      <c r="AS237" s="109">
        <v>0</v>
      </c>
      <c r="AT237" s="109">
        <v>0</v>
      </c>
      <c r="AU237" s="109">
        <v>0</v>
      </c>
      <c r="AV237" s="109">
        <v>0</v>
      </c>
      <c r="AW237" s="109">
        <v>0</v>
      </c>
      <c r="AX237" s="109">
        <v>0</v>
      </c>
      <c r="AY237" s="109">
        <v>0</v>
      </c>
    </row>
    <row r="238" spans="1:51">
      <c r="A238" s="108"/>
      <c r="B238" s="126">
        <v>30</v>
      </c>
      <c r="C238" s="105"/>
      <c r="D238" s="109">
        <v>0</v>
      </c>
      <c r="E238" s="109">
        <v>0</v>
      </c>
      <c r="F238" s="109">
        <v>0</v>
      </c>
      <c r="G238" s="109">
        <v>0</v>
      </c>
      <c r="H238" s="109">
        <v>0</v>
      </c>
      <c r="I238" s="109">
        <v>0</v>
      </c>
      <c r="J238" s="109">
        <v>0</v>
      </c>
      <c r="K238" s="109">
        <v>0</v>
      </c>
      <c r="L238" s="109">
        <v>0</v>
      </c>
      <c r="M238" s="109">
        <v>0</v>
      </c>
      <c r="N238" s="109">
        <v>0</v>
      </c>
      <c r="O238" s="109">
        <v>0</v>
      </c>
      <c r="P238" s="109">
        <v>0</v>
      </c>
      <c r="Q238" s="109">
        <v>0</v>
      </c>
      <c r="R238" s="109">
        <v>0</v>
      </c>
      <c r="S238" s="109">
        <v>0</v>
      </c>
      <c r="T238" s="109">
        <v>0</v>
      </c>
      <c r="U238" s="109">
        <v>0</v>
      </c>
      <c r="V238" s="109">
        <v>0</v>
      </c>
      <c r="W238" s="109">
        <v>0</v>
      </c>
      <c r="X238" s="109">
        <v>0</v>
      </c>
      <c r="Y238" s="109">
        <v>0</v>
      </c>
      <c r="Z238" s="109">
        <v>0</v>
      </c>
      <c r="AA238" s="109">
        <v>0</v>
      </c>
      <c r="AB238" s="109">
        <v>0</v>
      </c>
      <c r="AC238" s="109">
        <v>0</v>
      </c>
      <c r="AD238" s="109">
        <v>0</v>
      </c>
      <c r="AE238" s="109">
        <v>0</v>
      </c>
      <c r="AF238" s="109">
        <v>0</v>
      </c>
      <c r="AG238" s="109">
        <v>0</v>
      </c>
      <c r="AH238" s="109">
        <v>0</v>
      </c>
      <c r="AI238" s="109">
        <v>0</v>
      </c>
      <c r="AJ238" s="109">
        <v>0</v>
      </c>
      <c r="AK238" s="109">
        <v>0</v>
      </c>
      <c r="AL238" s="109">
        <v>0</v>
      </c>
      <c r="AM238" s="109">
        <v>0</v>
      </c>
      <c r="AN238" s="109">
        <v>0</v>
      </c>
      <c r="AO238" s="109">
        <v>0</v>
      </c>
      <c r="AP238" s="109">
        <v>0</v>
      </c>
      <c r="AQ238" s="109">
        <v>0</v>
      </c>
      <c r="AR238" s="109">
        <v>0</v>
      </c>
      <c r="AS238" s="109">
        <v>0</v>
      </c>
      <c r="AT238" s="109">
        <v>0</v>
      </c>
      <c r="AU238" s="109">
        <v>0</v>
      </c>
      <c r="AV238" s="109">
        <v>0</v>
      </c>
      <c r="AW238" s="109">
        <v>0</v>
      </c>
      <c r="AX238" s="109">
        <v>0</v>
      </c>
      <c r="AY238" s="109">
        <v>0</v>
      </c>
    </row>
    <row r="239" spans="1:51">
      <c r="A239" s="108"/>
      <c r="B239" s="126">
        <v>31</v>
      </c>
      <c r="C239" s="105"/>
      <c r="D239" s="109">
        <v>0</v>
      </c>
      <c r="E239" s="109">
        <v>0</v>
      </c>
      <c r="F239" s="109">
        <v>0</v>
      </c>
      <c r="G239" s="109">
        <v>0</v>
      </c>
      <c r="H239" s="109">
        <v>0</v>
      </c>
      <c r="I239" s="109">
        <v>0</v>
      </c>
      <c r="J239" s="109">
        <v>0</v>
      </c>
      <c r="K239" s="109">
        <v>0</v>
      </c>
      <c r="L239" s="109">
        <v>0</v>
      </c>
      <c r="M239" s="109">
        <v>0</v>
      </c>
      <c r="N239" s="109">
        <v>0</v>
      </c>
      <c r="O239" s="109">
        <v>0</v>
      </c>
      <c r="P239" s="109">
        <v>0</v>
      </c>
      <c r="Q239" s="109">
        <v>0</v>
      </c>
      <c r="R239" s="109">
        <v>0</v>
      </c>
      <c r="S239" s="109">
        <v>0</v>
      </c>
      <c r="T239" s="109">
        <v>0</v>
      </c>
      <c r="U239" s="109">
        <v>0</v>
      </c>
      <c r="V239" s="109">
        <v>0</v>
      </c>
      <c r="W239" s="109">
        <v>0</v>
      </c>
      <c r="X239" s="109">
        <v>0</v>
      </c>
      <c r="Y239" s="109">
        <v>0</v>
      </c>
      <c r="Z239" s="109">
        <v>0</v>
      </c>
      <c r="AA239" s="109">
        <v>0</v>
      </c>
      <c r="AB239" s="109">
        <v>0</v>
      </c>
      <c r="AC239" s="109">
        <v>0</v>
      </c>
      <c r="AD239" s="109">
        <v>0</v>
      </c>
      <c r="AE239" s="109">
        <v>0</v>
      </c>
      <c r="AF239" s="109">
        <v>0</v>
      </c>
      <c r="AG239" s="109">
        <v>0</v>
      </c>
      <c r="AH239" s="109">
        <v>0</v>
      </c>
      <c r="AI239" s="109">
        <v>0</v>
      </c>
      <c r="AJ239" s="109">
        <v>0</v>
      </c>
      <c r="AK239" s="109">
        <v>0</v>
      </c>
      <c r="AL239" s="109">
        <v>0</v>
      </c>
      <c r="AM239" s="109">
        <v>0</v>
      </c>
      <c r="AN239" s="109">
        <v>0</v>
      </c>
      <c r="AO239" s="109">
        <v>0</v>
      </c>
      <c r="AP239" s="109">
        <v>0</v>
      </c>
      <c r="AQ239" s="109">
        <v>0</v>
      </c>
      <c r="AR239" s="109">
        <v>0</v>
      </c>
      <c r="AS239" s="109">
        <v>0</v>
      </c>
      <c r="AT239" s="109">
        <v>0</v>
      </c>
      <c r="AU239" s="109">
        <v>0</v>
      </c>
      <c r="AV239" s="109">
        <v>0</v>
      </c>
      <c r="AW239" s="109">
        <v>0</v>
      </c>
      <c r="AX239" s="109">
        <v>0</v>
      </c>
      <c r="AY239" s="109">
        <v>0</v>
      </c>
    </row>
    <row r="240" spans="1:51">
      <c r="A240" s="108"/>
      <c r="B240" s="126">
        <v>32</v>
      </c>
      <c r="C240" s="105"/>
      <c r="D240" s="109">
        <v>0</v>
      </c>
      <c r="E240" s="109">
        <v>0</v>
      </c>
      <c r="F240" s="109">
        <v>0</v>
      </c>
      <c r="G240" s="109">
        <v>0</v>
      </c>
      <c r="H240" s="109">
        <v>0</v>
      </c>
      <c r="I240" s="109">
        <v>0</v>
      </c>
      <c r="J240" s="109">
        <v>0</v>
      </c>
      <c r="K240" s="109">
        <v>0</v>
      </c>
      <c r="L240" s="109">
        <v>0</v>
      </c>
      <c r="M240" s="109">
        <v>0</v>
      </c>
      <c r="N240" s="109">
        <v>0</v>
      </c>
      <c r="O240" s="109">
        <v>0</v>
      </c>
      <c r="P240" s="109">
        <v>0</v>
      </c>
      <c r="Q240" s="109">
        <v>0</v>
      </c>
      <c r="R240" s="109">
        <v>0</v>
      </c>
      <c r="S240" s="109">
        <v>0</v>
      </c>
      <c r="T240" s="109">
        <v>0</v>
      </c>
      <c r="U240" s="109">
        <v>0</v>
      </c>
      <c r="V240" s="109">
        <v>0</v>
      </c>
      <c r="W240" s="109">
        <v>0</v>
      </c>
      <c r="X240" s="109">
        <v>0</v>
      </c>
      <c r="Y240" s="109">
        <v>0</v>
      </c>
      <c r="Z240" s="109">
        <v>0</v>
      </c>
      <c r="AA240" s="109">
        <v>0</v>
      </c>
      <c r="AB240" s="109">
        <v>0</v>
      </c>
      <c r="AC240" s="109">
        <v>0</v>
      </c>
      <c r="AD240" s="109">
        <v>0</v>
      </c>
      <c r="AE240" s="109">
        <v>0</v>
      </c>
      <c r="AF240" s="109">
        <v>0</v>
      </c>
      <c r="AG240" s="109">
        <v>0</v>
      </c>
      <c r="AH240" s="109">
        <v>0</v>
      </c>
      <c r="AI240" s="109">
        <v>0</v>
      </c>
      <c r="AJ240" s="109">
        <v>0</v>
      </c>
      <c r="AK240" s="109">
        <v>0</v>
      </c>
      <c r="AL240" s="109">
        <v>0</v>
      </c>
      <c r="AM240" s="109">
        <v>0</v>
      </c>
      <c r="AN240" s="109">
        <v>0</v>
      </c>
      <c r="AO240" s="109">
        <v>0</v>
      </c>
      <c r="AP240" s="109">
        <v>0</v>
      </c>
      <c r="AQ240" s="109">
        <v>0</v>
      </c>
      <c r="AR240" s="109">
        <v>0</v>
      </c>
      <c r="AS240" s="109">
        <v>0</v>
      </c>
      <c r="AT240" s="109">
        <v>0</v>
      </c>
      <c r="AU240" s="109">
        <v>0</v>
      </c>
      <c r="AV240" s="109">
        <v>0</v>
      </c>
      <c r="AW240" s="109">
        <v>0</v>
      </c>
      <c r="AX240" s="109">
        <v>0</v>
      </c>
      <c r="AY240" s="109">
        <v>0</v>
      </c>
    </row>
    <row r="241" spans="1:51">
      <c r="A241" s="108"/>
      <c r="B241" s="126">
        <v>33</v>
      </c>
      <c r="C241" s="105"/>
      <c r="D241" s="109">
        <v>0</v>
      </c>
      <c r="E241" s="109">
        <v>0</v>
      </c>
      <c r="F241" s="109">
        <v>0</v>
      </c>
      <c r="G241" s="109">
        <v>0</v>
      </c>
      <c r="H241" s="109">
        <v>0</v>
      </c>
      <c r="I241" s="109">
        <v>0</v>
      </c>
      <c r="J241" s="109">
        <v>0</v>
      </c>
      <c r="K241" s="109">
        <v>0</v>
      </c>
      <c r="L241" s="109">
        <v>0</v>
      </c>
      <c r="M241" s="109">
        <v>0</v>
      </c>
      <c r="N241" s="109">
        <v>0</v>
      </c>
      <c r="O241" s="109">
        <v>0</v>
      </c>
      <c r="P241" s="109">
        <v>0</v>
      </c>
      <c r="Q241" s="109">
        <v>0</v>
      </c>
      <c r="R241" s="109">
        <v>0</v>
      </c>
      <c r="S241" s="109">
        <v>0</v>
      </c>
      <c r="T241" s="109">
        <v>0</v>
      </c>
      <c r="U241" s="109">
        <v>0</v>
      </c>
      <c r="V241" s="109">
        <v>0</v>
      </c>
      <c r="W241" s="109">
        <v>0</v>
      </c>
      <c r="X241" s="109">
        <v>0</v>
      </c>
      <c r="Y241" s="109">
        <v>0</v>
      </c>
      <c r="Z241" s="109">
        <v>0</v>
      </c>
      <c r="AA241" s="109">
        <v>0</v>
      </c>
      <c r="AB241" s="109">
        <v>0</v>
      </c>
      <c r="AC241" s="109">
        <v>0</v>
      </c>
      <c r="AD241" s="109">
        <v>0</v>
      </c>
      <c r="AE241" s="109">
        <v>0</v>
      </c>
      <c r="AF241" s="109">
        <v>0</v>
      </c>
      <c r="AG241" s="109">
        <v>0</v>
      </c>
      <c r="AH241" s="109">
        <v>0</v>
      </c>
      <c r="AI241" s="109">
        <v>0</v>
      </c>
      <c r="AJ241" s="109">
        <v>0</v>
      </c>
      <c r="AK241" s="109">
        <v>0</v>
      </c>
      <c r="AL241" s="109">
        <v>0</v>
      </c>
      <c r="AM241" s="109">
        <v>0</v>
      </c>
      <c r="AN241" s="109">
        <v>0</v>
      </c>
      <c r="AO241" s="109">
        <v>0</v>
      </c>
      <c r="AP241" s="109">
        <v>0</v>
      </c>
      <c r="AQ241" s="109">
        <v>0</v>
      </c>
      <c r="AR241" s="109">
        <v>0</v>
      </c>
      <c r="AS241" s="109">
        <v>0</v>
      </c>
      <c r="AT241" s="109">
        <v>0</v>
      </c>
      <c r="AU241" s="109">
        <v>0</v>
      </c>
      <c r="AV241" s="109">
        <v>0</v>
      </c>
      <c r="AW241" s="109">
        <v>0</v>
      </c>
      <c r="AX241" s="109">
        <v>0</v>
      </c>
      <c r="AY241" s="109">
        <v>0</v>
      </c>
    </row>
    <row r="242" spans="1:51">
      <c r="A242" s="108"/>
      <c r="B242" s="126">
        <v>34</v>
      </c>
      <c r="C242" s="105"/>
      <c r="D242" s="109">
        <v>0</v>
      </c>
      <c r="E242" s="109">
        <v>0</v>
      </c>
      <c r="F242" s="109">
        <v>0</v>
      </c>
      <c r="G242" s="109">
        <v>0</v>
      </c>
      <c r="H242" s="109">
        <v>0</v>
      </c>
      <c r="I242" s="109">
        <v>0</v>
      </c>
      <c r="J242" s="109">
        <v>0</v>
      </c>
      <c r="K242" s="109">
        <v>0</v>
      </c>
      <c r="L242" s="109">
        <v>0</v>
      </c>
      <c r="M242" s="109">
        <v>0</v>
      </c>
      <c r="N242" s="109">
        <v>0</v>
      </c>
      <c r="O242" s="109">
        <v>0</v>
      </c>
      <c r="P242" s="109">
        <v>0</v>
      </c>
      <c r="Q242" s="109">
        <v>0</v>
      </c>
      <c r="R242" s="109">
        <v>0</v>
      </c>
      <c r="S242" s="109">
        <v>0</v>
      </c>
      <c r="T242" s="109">
        <v>0</v>
      </c>
      <c r="U242" s="109">
        <v>0</v>
      </c>
      <c r="V242" s="109">
        <v>0</v>
      </c>
      <c r="W242" s="109">
        <v>0</v>
      </c>
      <c r="X242" s="109">
        <v>0</v>
      </c>
      <c r="Y242" s="109">
        <v>0</v>
      </c>
      <c r="Z242" s="109">
        <v>0</v>
      </c>
      <c r="AA242" s="109">
        <v>0</v>
      </c>
      <c r="AB242" s="109">
        <v>0</v>
      </c>
      <c r="AC242" s="109">
        <v>0</v>
      </c>
      <c r="AD242" s="109">
        <v>0</v>
      </c>
      <c r="AE242" s="109">
        <v>0</v>
      </c>
      <c r="AF242" s="109">
        <v>0</v>
      </c>
      <c r="AG242" s="109">
        <v>0</v>
      </c>
      <c r="AH242" s="109">
        <v>0</v>
      </c>
      <c r="AI242" s="109">
        <v>0</v>
      </c>
      <c r="AJ242" s="109">
        <v>0</v>
      </c>
      <c r="AK242" s="109">
        <v>0</v>
      </c>
      <c r="AL242" s="109">
        <v>0</v>
      </c>
      <c r="AM242" s="109">
        <v>0</v>
      </c>
      <c r="AN242" s="109">
        <v>0</v>
      </c>
      <c r="AO242" s="109">
        <v>0</v>
      </c>
      <c r="AP242" s="109">
        <v>0</v>
      </c>
      <c r="AQ242" s="109">
        <v>0</v>
      </c>
      <c r="AR242" s="109">
        <v>0</v>
      </c>
      <c r="AS242" s="109">
        <v>0</v>
      </c>
      <c r="AT242" s="109">
        <v>0</v>
      </c>
      <c r="AU242" s="109">
        <v>0</v>
      </c>
      <c r="AV242" s="109">
        <v>0</v>
      </c>
      <c r="AW242" s="109">
        <v>0</v>
      </c>
      <c r="AX242" s="109">
        <v>0</v>
      </c>
      <c r="AY242" s="109">
        <v>0</v>
      </c>
    </row>
    <row r="243" spans="1:51">
      <c r="A243" s="108"/>
      <c r="B243" s="126">
        <v>35</v>
      </c>
      <c r="C243" s="105"/>
      <c r="D243" s="109">
        <v>0</v>
      </c>
      <c r="E243" s="109">
        <v>0</v>
      </c>
      <c r="F243" s="109">
        <v>0</v>
      </c>
      <c r="G243" s="109">
        <v>0</v>
      </c>
      <c r="H243" s="109">
        <v>0</v>
      </c>
      <c r="I243" s="109">
        <v>0</v>
      </c>
      <c r="J243" s="109">
        <v>0</v>
      </c>
      <c r="K243" s="109">
        <v>0</v>
      </c>
      <c r="L243" s="109">
        <v>0</v>
      </c>
      <c r="M243" s="109">
        <v>0</v>
      </c>
      <c r="N243" s="109">
        <v>0</v>
      </c>
      <c r="O243" s="109">
        <v>0</v>
      </c>
      <c r="P243" s="109">
        <v>0</v>
      </c>
      <c r="Q243" s="109">
        <v>0</v>
      </c>
      <c r="R243" s="109">
        <v>0</v>
      </c>
      <c r="S243" s="109">
        <v>0</v>
      </c>
      <c r="T243" s="109">
        <v>0</v>
      </c>
      <c r="U243" s="109">
        <v>0</v>
      </c>
      <c r="V243" s="109">
        <v>0</v>
      </c>
      <c r="W243" s="109">
        <v>0</v>
      </c>
      <c r="X243" s="109">
        <v>0</v>
      </c>
      <c r="Y243" s="109">
        <v>0</v>
      </c>
      <c r="Z243" s="109">
        <v>0</v>
      </c>
      <c r="AA243" s="109">
        <v>0</v>
      </c>
      <c r="AB243" s="109">
        <v>0</v>
      </c>
      <c r="AC243" s="109">
        <v>0</v>
      </c>
      <c r="AD243" s="109">
        <v>0</v>
      </c>
      <c r="AE243" s="109">
        <v>0</v>
      </c>
      <c r="AF243" s="109">
        <v>0</v>
      </c>
      <c r="AG243" s="109">
        <v>0</v>
      </c>
      <c r="AH243" s="109">
        <v>0</v>
      </c>
      <c r="AI243" s="109">
        <v>0</v>
      </c>
      <c r="AJ243" s="109">
        <v>0</v>
      </c>
      <c r="AK243" s="109">
        <v>0</v>
      </c>
      <c r="AL243" s="109">
        <v>0</v>
      </c>
      <c r="AM243" s="109">
        <v>0</v>
      </c>
      <c r="AN243" s="109">
        <v>0</v>
      </c>
      <c r="AO243" s="109">
        <v>0</v>
      </c>
      <c r="AP243" s="109">
        <v>0</v>
      </c>
      <c r="AQ243" s="109">
        <v>0</v>
      </c>
      <c r="AR243" s="109">
        <v>0</v>
      </c>
      <c r="AS243" s="109">
        <v>0</v>
      </c>
      <c r="AT243" s="109">
        <v>0</v>
      </c>
      <c r="AU243" s="109">
        <v>0</v>
      </c>
      <c r="AV243" s="109">
        <v>0</v>
      </c>
      <c r="AW243" s="109">
        <v>0</v>
      </c>
      <c r="AX243" s="109">
        <v>0</v>
      </c>
      <c r="AY243" s="109">
        <v>0</v>
      </c>
    </row>
    <row r="244" spans="1:51">
      <c r="A244" s="108"/>
      <c r="B244" s="126">
        <v>36</v>
      </c>
      <c r="C244" s="105"/>
      <c r="D244" s="109">
        <v>0</v>
      </c>
      <c r="E244" s="109">
        <v>0</v>
      </c>
      <c r="F244" s="109">
        <v>0</v>
      </c>
      <c r="G244" s="109">
        <v>0</v>
      </c>
      <c r="H244" s="109">
        <v>0</v>
      </c>
      <c r="I244" s="109">
        <v>0</v>
      </c>
      <c r="J244" s="109">
        <v>0</v>
      </c>
      <c r="K244" s="109">
        <v>0</v>
      </c>
      <c r="L244" s="109">
        <v>0</v>
      </c>
      <c r="M244" s="109">
        <v>0</v>
      </c>
      <c r="N244" s="109">
        <v>0</v>
      </c>
      <c r="O244" s="109">
        <v>0</v>
      </c>
      <c r="P244" s="109">
        <v>0</v>
      </c>
      <c r="Q244" s="109">
        <v>0</v>
      </c>
      <c r="R244" s="109">
        <v>0</v>
      </c>
      <c r="S244" s="109">
        <v>0</v>
      </c>
      <c r="T244" s="109">
        <v>0</v>
      </c>
      <c r="U244" s="109">
        <v>0</v>
      </c>
      <c r="V244" s="109">
        <v>0</v>
      </c>
      <c r="W244" s="109">
        <v>0</v>
      </c>
      <c r="X244" s="109">
        <v>0</v>
      </c>
      <c r="Y244" s="109">
        <v>0</v>
      </c>
      <c r="Z244" s="109">
        <v>0</v>
      </c>
      <c r="AA244" s="109">
        <v>0</v>
      </c>
      <c r="AB244" s="109">
        <v>0</v>
      </c>
      <c r="AC244" s="109">
        <v>0</v>
      </c>
      <c r="AD244" s="109">
        <v>0</v>
      </c>
      <c r="AE244" s="109">
        <v>0</v>
      </c>
      <c r="AF244" s="109">
        <v>0</v>
      </c>
      <c r="AG244" s="109">
        <v>0</v>
      </c>
      <c r="AH244" s="109">
        <v>0</v>
      </c>
      <c r="AI244" s="109">
        <v>0</v>
      </c>
      <c r="AJ244" s="109">
        <v>0</v>
      </c>
      <c r="AK244" s="109">
        <v>0</v>
      </c>
      <c r="AL244" s="109">
        <v>0</v>
      </c>
      <c r="AM244" s="109">
        <v>0</v>
      </c>
      <c r="AN244" s="109">
        <v>0</v>
      </c>
      <c r="AO244" s="109">
        <v>0</v>
      </c>
      <c r="AP244" s="109">
        <v>0</v>
      </c>
      <c r="AQ244" s="109">
        <v>0</v>
      </c>
      <c r="AR244" s="109">
        <v>0</v>
      </c>
      <c r="AS244" s="109">
        <v>0</v>
      </c>
      <c r="AT244" s="109">
        <v>0</v>
      </c>
      <c r="AU244" s="109">
        <v>0</v>
      </c>
      <c r="AV244" s="109">
        <v>0</v>
      </c>
      <c r="AW244" s="109">
        <v>0</v>
      </c>
      <c r="AX244" s="109">
        <v>0</v>
      </c>
      <c r="AY244" s="109">
        <v>0</v>
      </c>
    </row>
    <row r="245" spans="1:51">
      <c r="A245" s="108"/>
      <c r="B245" s="129">
        <v>37</v>
      </c>
      <c r="C245" s="105"/>
      <c r="D245" s="109">
        <v>0</v>
      </c>
      <c r="E245" s="109">
        <v>0</v>
      </c>
      <c r="F245" s="109">
        <v>0</v>
      </c>
      <c r="G245" s="109">
        <v>0</v>
      </c>
      <c r="H245" s="109">
        <v>0</v>
      </c>
      <c r="I245" s="109">
        <v>0</v>
      </c>
      <c r="J245" s="109">
        <v>0</v>
      </c>
      <c r="K245" s="109">
        <v>0</v>
      </c>
      <c r="L245" s="109">
        <v>0</v>
      </c>
      <c r="M245" s="109">
        <v>0</v>
      </c>
      <c r="N245" s="109">
        <v>0</v>
      </c>
      <c r="O245" s="109">
        <v>0</v>
      </c>
      <c r="P245" s="109">
        <v>0</v>
      </c>
      <c r="Q245" s="109">
        <v>0</v>
      </c>
      <c r="R245" s="109">
        <v>0</v>
      </c>
      <c r="S245" s="109">
        <v>0</v>
      </c>
      <c r="T245" s="109">
        <v>0</v>
      </c>
      <c r="U245" s="109">
        <v>0</v>
      </c>
      <c r="V245" s="109">
        <v>0</v>
      </c>
      <c r="W245" s="109">
        <v>0</v>
      </c>
      <c r="X245" s="109">
        <v>0</v>
      </c>
      <c r="Y245" s="109">
        <v>0</v>
      </c>
      <c r="Z245" s="109">
        <v>0</v>
      </c>
      <c r="AA245" s="109">
        <v>0</v>
      </c>
      <c r="AB245" s="109">
        <v>0</v>
      </c>
      <c r="AC245" s="109">
        <v>0</v>
      </c>
      <c r="AD245" s="109">
        <v>0</v>
      </c>
      <c r="AE245" s="109">
        <v>0</v>
      </c>
      <c r="AF245" s="109">
        <v>0</v>
      </c>
      <c r="AG245" s="109">
        <v>0</v>
      </c>
      <c r="AH245" s="109">
        <v>0</v>
      </c>
      <c r="AI245" s="109">
        <v>0</v>
      </c>
      <c r="AJ245" s="109">
        <v>0</v>
      </c>
      <c r="AK245" s="109">
        <v>0</v>
      </c>
      <c r="AL245" s="109">
        <v>0</v>
      </c>
      <c r="AM245" s="109">
        <v>0</v>
      </c>
      <c r="AN245" s="109">
        <v>0</v>
      </c>
      <c r="AO245" s="109">
        <v>0</v>
      </c>
      <c r="AP245" s="109">
        <v>0</v>
      </c>
      <c r="AQ245" s="109">
        <v>0</v>
      </c>
      <c r="AR245" s="109">
        <v>0</v>
      </c>
      <c r="AS245" s="109">
        <v>0</v>
      </c>
      <c r="AT245" s="109">
        <v>0</v>
      </c>
      <c r="AU245" s="109">
        <v>0</v>
      </c>
      <c r="AV245" s="109">
        <v>0</v>
      </c>
      <c r="AW245" s="109">
        <v>0</v>
      </c>
      <c r="AX245" s="109">
        <v>0</v>
      </c>
      <c r="AY245" s="109">
        <v>0</v>
      </c>
    </row>
    <row r="246" spans="1:51">
      <c r="A246" s="108"/>
      <c r="B246" s="129">
        <v>38</v>
      </c>
      <c r="C246" s="105"/>
      <c r="D246" s="109">
        <v>0</v>
      </c>
      <c r="E246" s="109">
        <v>0</v>
      </c>
      <c r="F246" s="109">
        <v>0</v>
      </c>
      <c r="G246" s="109">
        <v>0</v>
      </c>
      <c r="H246" s="109">
        <v>0</v>
      </c>
      <c r="I246" s="109">
        <v>0</v>
      </c>
      <c r="J246" s="109">
        <v>0</v>
      </c>
      <c r="K246" s="109">
        <v>0</v>
      </c>
      <c r="L246" s="109">
        <v>0</v>
      </c>
      <c r="M246" s="109">
        <v>0</v>
      </c>
      <c r="N246" s="109">
        <v>0</v>
      </c>
      <c r="O246" s="109">
        <v>0</v>
      </c>
      <c r="P246" s="109">
        <v>0</v>
      </c>
      <c r="Q246" s="109">
        <v>0</v>
      </c>
      <c r="R246" s="109">
        <v>0</v>
      </c>
      <c r="S246" s="109">
        <v>0</v>
      </c>
      <c r="T246" s="109">
        <v>0</v>
      </c>
      <c r="U246" s="109">
        <v>0</v>
      </c>
      <c r="V246" s="109">
        <v>0</v>
      </c>
      <c r="W246" s="109">
        <v>0</v>
      </c>
      <c r="X246" s="109">
        <v>0</v>
      </c>
      <c r="Y246" s="109">
        <v>0</v>
      </c>
      <c r="Z246" s="109">
        <v>0</v>
      </c>
      <c r="AA246" s="109">
        <v>0</v>
      </c>
      <c r="AB246" s="109">
        <v>0</v>
      </c>
      <c r="AC246" s="109">
        <v>0</v>
      </c>
      <c r="AD246" s="109">
        <v>0</v>
      </c>
      <c r="AE246" s="109">
        <v>0</v>
      </c>
      <c r="AF246" s="109">
        <v>0</v>
      </c>
      <c r="AG246" s="109">
        <v>0</v>
      </c>
      <c r="AH246" s="109">
        <v>0</v>
      </c>
      <c r="AI246" s="109">
        <v>0</v>
      </c>
      <c r="AJ246" s="109">
        <v>0</v>
      </c>
      <c r="AK246" s="109">
        <v>0</v>
      </c>
      <c r="AL246" s="109">
        <v>0</v>
      </c>
      <c r="AM246" s="109">
        <v>0</v>
      </c>
      <c r="AN246" s="109">
        <v>0</v>
      </c>
      <c r="AO246" s="109">
        <v>0</v>
      </c>
      <c r="AP246" s="109">
        <v>0</v>
      </c>
      <c r="AQ246" s="109">
        <v>0</v>
      </c>
      <c r="AR246" s="109">
        <v>0</v>
      </c>
      <c r="AS246" s="109">
        <v>0</v>
      </c>
      <c r="AT246" s="109">
        <v>0</v>
      </c>
      <c r="AU246" s="109">
        <v>0</v>
      </c>
      <c r="AV246" s="109">
        <v>0</v>
      </c>
      <c r="AW246" s="109">
        <v>0</v>
      </c>
      <c r="AX246" s="109">
        <v>0</v>
      </c>
      <c r="AY246" s="109">
        <v>0</v>
      </c>
    </row>
    <row r="247" spans="1:51">
      <c r="A247" s="108"/>
      <c r="B247" s="129">
        <v>39</v>
      </c>
      <c r="C247" s="105"/>
      <c r="D247" s="109">
        <v>0</v>
      </c>
      <c r="E247" s="109">
        <v>0</v>
      </c>
      <c r="F247" s="109">
        <v>0</v>
      </c>
      <c r="G247" s="109">
        <v>0</v>
      </c>
      <c r="H247" s="109">
        <v>0</v>
      </c>
      <c r="I247" s="109">
        <v>0</v>
      </c>
      <c r="J247" s="109">
        <v>0</v>
      </c>
      <c r="K247" s="109">
        <v>0</v>
      </c>
      <c r="L247" s="109">
        <v>0</v>
      </c>
      <c r="M247" s="109">
        <v>0</v>
      </c>
      <c r="N247" s="109">
        <v>0</v>
      </c>
      <c r="O247" s="109">
        <v>0</v>
      </c>
      <c r="P247" s="109">
        <v>0</v>
      </c>
      <c r="Q247" s="109">
        <v>0</v>
      </c>
      <c r="R247" s="109">
        <v>0</v>
      </c>
      <c r="S247" s="109">
        <v>0</v>
      </c>
      <c r="T247" s="109">
        <v>0</v>
      </c>
      <c r="U247" s="109">
        <v>0</v>
      </c>
      <c r="V247" s="109">
        <v>0</v>
      </c>
      <c r="W247" s="109">
        <v>0</v>
      </c>
      <c r="X247" s="109">
        <v>0</v>
      </c>
      <c r="Y247" s="109">
        <v>0</v>
      </c>
      <c r="Z247" s="109">
        <v>0</v>
      </c>
      <c r="AA247" s="109">
        <v>0</v>
      </c>
      <c r="AB247" s="109">
        <v>0</v>
      </c>
      <c r="AC247" s="109">
        <v>0</v>
      </c>
      <c r="AD247" s="109">
        <v>0</v>
      </c>
      <c r="AE247" s="109">
        <v>0</v>
      </c>
      <c r="AF247" s="109">
        <v>0</v>
      </c>
      <c r="AG247" s="109">
        <v>0</v>
      </c>
      <c r="AH247" s="109">
        <v>0</v>
      </c>
      <c r="AI247" s="109">
        <v>0</v>
      </c>
      <c r="AJ247" s="109">
        <v>0</v>
      </c>
      <c r="AK247" s="109">
        <v>0</v>
      </c>
      <c r="AL247" s="109">
        <v>0</v>
      </c>
      <c r="AM247" s="109">
        <v>0</v>
      </c>
      <c r="AN247" s="109">
        <v>0</v>
      </c>
      <c r="AO247" s="109">
        <v>0</v>
      </c>
      <c r="AP247" s="109">
        <v>0</v>
      </c>
      <c r="AQ247" s="109">
        <v>0</v>
      </c>
      <c r="AR247" s="109">
        <v>0</v>
      </c>
      <c r="AS247" s="109">
        <v>0</v>
      </c>
      <c r="AT247" s="109">
        <v>0</v>
      </c>
      <c r="AU247" s="109">
        <v>0</v>
      </c>
      <c r="AV247" s="109">
        <v>0</v>
      </c>
      <c r="AW247" s="109">
        <v>0</v>
      </c>
      <c r="AX247" s="109">
        <v>0</v>
      </c>
      <c r="AY247" s="109">
        <v>0</v>
      </c>
    </row>
    <row r="248" spans="1:51">
      <c r="A248" s="108"/>
      <c r="B248" s="129">
        <v>40</v>
      </c>
      <c r="C248" s="105"/>
      <c r="D248" s="109">
        <v>0</v>
      </c>
      <c r="E248" s="109">
        <v>0</v>
      </c>
      <c r="F248" s="109">
        <v>0</v>
      </c>
      <c r="G248" s="109">
        <v>0</v>
      </c>
      <c r="H248" s="109">
        <v>0</v>
      </c>
      <c r="I248" s="109">
        <v>0</v>
      </c>
      <c r="J248" s="109">
        <v>0</v>
      </c>
      <c r="K248" s="109">
        <v>0</v>
      </c>
      <c r="L248" s="109">
        <v>0</v>
      </c>
      <c r="M248" s="109">
        <v>0</v>
      </c>
      <c r="N248" s="109">
        <v>0</v>
      </c>
      <c r="O248" s="109">
        <v>0</v>
      </c>
      <c r="P248" s="109">
        <v>0</v>
      </c>
      <c r="Q248" s="109">
        <v>0</v>
      </c>
      <c r="R248" s="109">
        <v>0</v>
      </c>
      <c r="S248" s="109">
        <v>0</v>
      </c>
      <c r="T248" s="109">
        <v>0</v>
      </c>
      <c r="U248" s="109">
        <v>0</v>
      </c>
      <c r="V248" s="109">
        <v>0</v>
      </c>
      <c r="W248" s="109">
        <v>0</v>
      </c>
      <c r="X248" s="109">
        <v>0</v>
      </c>
      <c r="Y248" s="109">
        <v>0</v>
      </c>
      <c r="Z248" s="109">
        <v>0</v>
      </c>
      <c r="AA248" s="109">
        <v>0</v>
      </c>
      <c r="AB248" s="109">
        <v>0</v>
      </c>
      <c r="AC248" s="109">
        <v>0</v>
      </c>
      <c r="AD248" s="109">
        <v>0</v>
      </c>
      <c r="AE248" s="109">
        <v>0</v>
      </c>
      <c r="AF248" s="109">
        <v>0</v>
      </c>
      <c r="AG248" s="109">
        <v>0</v>
      </c>
      <c r="AH248" s="109">
        <v>0</v>
      </c>
      <c r="AI248" s="109">
        <v>0</v>
      </c>
      <c r="AJ248" s="109">
        <v>0</v>
      </c>
      <c r="AK248" s="109">
        <v>0</v>
      </c>
      <c r="AL248" s="109">
        <v>0</v>
      </c>
      <c r="AM248" s="109">
        <v>0</v>
      </c>
      <c r="AN248" s="109">
        <v>0</v>
      </c>
      <c r="AO248" s="109">
        <v>0</v>
      </c>
      <c r="AP248" s="109">
        <v>0</v>
      </c>
      <c r="AQ248" s="109">
        <v>0</v>
      </c>
      <c r="AR248" s="109">
        <v>0</v>
      </c>
      <c r="AS248" s="109">
        <v>0</v>
      </c>
      <c r="AT248" s="109">
        <v>0</v>
      </c>
      <c r="AU248" s="109">
        <v>0</v>
      </c>
      <c r="AV248" s="109">
        <v>0</v>
      </c>
      <c r="AW248" s="109">
        <v>0</v>
      </c>
      <c r="AX248" s="109">
        <v>0</v>
      </c>
      <c r="AY248" s="109">
        <v>0</v>
      </c>
    </row>
    <row r="249" spans="1:51">
      <c r="A249" s="108"/>
      <c r="B249" s="129">
        <v>41</v>
      </c>
      <c r="C249" s="105"/>
      <c r="D249" s="109">
        <v>0</v>
      </c>
      <c r="E249" s="109">
        <v>0</v>
      </c>
      <c r="F249" s="109">
        <v>0</v>
      </c>
      <c r="G249" s="109">
        <v>0</v>
      </c>
      <c r="H249" s="109">
        <v>0</v>
      </c>
      <c r="I249" s="109">
        <v>0</v>
      </c>
      <c r="J249" s="109">
        <v>0</v>
      </c>
      <c r="K249" s="109">
        <v>0</v>
      </c>
      <c r="L249" s="109">
        <v>0</v>
      </c>
      <c r="M249" s="109">
        <v>0</v>
      </c>
      <c r="N249" s="109">
        <v>0</v>
      </c>
      <c r="O249" s="109">
        <v>0</v>
      </c>
      <c r="P249" s="109">
        <v>0</v>
      </c>
      <c r="Q249" s="109">
        <v>0</v>
      </c>
      <c r="R249" s="109">
        <v>0</v>
      </c>
      <c r="S249" s="109">
        <v>0</v>
      </c>
      <c r="T249" s="109">
        <v>0</v>
      </c>
      <c r="U249" s="109">
        <v>0</v>
      </c>
      <c r="V249" s="109">
        <v>0</v>
      </c>
      <c r="W249" s="109">
        <v>0</v>
      </c>
      <c r="X249" s="109">
        <v>0</v>
      </c>
      <c r="Y249" s="109">
        <v>0</v>
      </c>
      <c r="Z249" s="109">
        <v>0</v>
      </c>
      <c r="AA249" s="109">
        <v>0</v>
      </c>
      <c r="AB249" s="109">
        <v>0</v>
      </c>
      <c r="AC249" s="109">
        <v>0</v>
      </c>
      <c r="AD249" s="109">
        <v>0</v>
      </c>
      <c r="AE249" s="109">
        <v>0</v>
      </c>
      <c r="AF249" s="109">
        <v>0</v>
      </c>
      <c r="AG249" s="109">
        <v>0</v>
      </c>
      <c r="AH249" s="109">
        <v>0</v>
      </c>
      <c r="AI249" s="109">
        <v>0</v>
      </c>
      <c r="AJ249" s="109">
        <v>0</v>
      </c>
      <c r="AK249" s="109">
        <v>0</v>
      </c>
      <c r="AL249" s="109">
        <v>0</v>
      </c>
      <c r="AM249" s="109">
        <v>0</v>
      </c>
      <c r="AN249" s="109">
        <v>0</v>
      </c>
      <c r="AO249" s="109">
        <v>0</v>
      </c>
      <c r="AP249" s="109">
        <v>0</v>
      </c>
      <c r="AQ249" s="109">
        <v>0</v>
      </c>
      <c r="AR249" s="109">
        <v>0</v>
      </c>
      <c r="AS249" s="109">
        <v>0</v>
      </c>
      <c r="AT249" s="109">
        <v>0</v>
      </c>
      <c r="AU249" s="109">
        <v>0</v>
      </c>
      <c r="AV249" s="109">
        <v>0</v>
      </c>
      <c r="AW249" s="109">
        <v>0</v>
      </c>
      <c r="AX249" s="109">
        <v>0</v>
      </c>
      <c r="AY249" s="109">
        <v>0</v>
      </c>
    </row>
    <row r="250" spans="1:51">
      <c r="A250" s="108"/>
      <c r="B250" s="129">
        <v>42</v>
      </c>
      <c r="C250" s="105"/>
      <c r="D250" s="109">
        <v>0</v>
      </c>
      <c r="E250" s="109">
        <v>0</v>
      </c>
      <c r="F250" s="109">
        <v>0</v>
      </c>
      <c r="G250" s="109">
        <v>0</v>
      </c>
      <c r="H250" s="109">
        <v>0</v>
      </c>
      <c r="I250" s="109">
        <v>0</v>
      </c>
      <c r="J250" s="109">
        <v>0</v>
      </c>
      <c r="K250" s="109">
        <v>0</v>
      </c>
      <c r="L250" s="109">
        <v>0</v>
      </c>
      <c r="M250" s="109">
        <v>0</v>
      </c>
      <c r="N250" s="109">
        <v>0</v>
      </c>
      <c r="O250" s="109">
        <v>0</v>
      </c>
      <c r="P250" s="109">
        <v>0</v>
      </c>
      <c r="Q250" s="109">
        <v>0</v>
      </c>
      <c r="R250" s="109">
        <v>0</v>
      </c>
      <c r="S250" s="109">
        <v>0</v>
      </c>
      <c r="T250" s="109">
        <v>0</v>
      </c>
      <c r="U250" s="109">
        <v>0</v>
      </c>
      <c r="V250" s="109">
        <v>0</v>
      </c>
      <c r="W250" s="109">
        <v>0</v>
      </c>
      <c r="X250" s="109">
        <v>0</v>
      </c>
      <c r="Y250" s="109">
        <v>0</v>
      </c>
      <c r="Z250" s="109">
        <v>0</v>
      </c>
      <c r="AA250" s="109">
        <v>0</v>
      </c>
      <c r="AB250" s="109">
        <v>0</v>
      </c>
      <c r="AC250" s="109">
        <v>0</v>
      </c>
      <c r="AD250" s="109">
        <v>0</v>
      </c>
      <c r="AE250" s="109">
        <v>0</v>
      </c>
      <c r="AF250" s="109">
        <v>0</v>
      </c>
      <c r="AG250" s="109">
        <v>0</v>
      </c>
      <c r="AH250" s="109">
        <v>0</v>
      </c>
      <c r="AI250" s="109">
        <v>0</v>
      </c>
      <c r="AJ250" s="109">
        <v>0</v>
      </c>
      <c r="AK250" s="109">
        <v>0</v>
      </c>
      <c r="AL250" s="109">
        <v>0</v>
      </c>
      <c r="AM250" s="109">
        <v>0</v>
      </c>
      <c r="AN250" s="109">
        <v>0</v>
      </c>
      <c r="AO250" s="109">
        <v>0</v>
      </c>
      <c r="AP250" s="109">
        <v>0</v>
      </c>
      <c r="AQ250" s="109">
        <v>0</v>
      </c>
      <c r="AR250" s="109">
        <v>0</v>
      </c>
      <c r="AS250" s="109">
        <v>0</v>
      </c>
      <c r="AT250" s="109">
        <v>0</v>
      </c>
      <c r="AU250" s="109">
        <v>0</v>
      </c>
      <c r="AV250" s="109">
        <v>0</v>
      </c>
      <c r="AW250" s="109">
        <v>0</v>
      </c>
      <c r="AX250" s="109">
        <v>0</v>
      </c>
      <c r="AY250" s="109">
        <v>0</v>
      </c>
    </row>
    <row r="251" spans="1:51">
      <c r="A251" s="108"/>
      <c r="B251" s="129">
        <v>43</v>
      </c>
      <c r="C251" s="105"/>
      <c r="D251" s="109">
        <v>0</v>
      </c>
      <c r="E251" s="109">
        <v>0</v>
      </c>
      <c r="F251" s="109">
        <v>0</v>
      </c>
      <c r="G251" s="109">
        <v>0</v>
      </c>
      <c r="H251" s="109">
        <v>0</v>
      </c>
      <c r="I251" s="109">
        <v>0</v>
      </c>
      <c r="J251" s="109">
        <v>0</v>
      </c>
      <c r="K251" s="109">
        <v>0</v>
      </c>
      <c r="L251" s="109">
        <v>0</v>
      </c>
      <c r="M251" s="109">
        <v>0</v>
      </c>
      <c r="N251" s="109">
        <v>0</v>
      </c>
      <c r="O251" s="109">
        <v>0</v>
      </c>
      <c r="P251" s="109">
        <v>0</v>
      </c>
      <c r="Q251" s="109">
        <v>0</v>
      </c>
      <c r="R251" s="109">
        <v>0</v>
      </c>
      <c r="S251" s="109">
        <v>0</v>
      </c>
      <c r="T251" s="109">
        <v>0</v>
      </c>
      <c r="U251" s="109">
        <v>0</v>
      </c>
      <c r="V251" s="109">
        <v>0</v>
      </c>
      <c r="W251" s="109">
        <v>0</v>
      </c>
      <c r="X251" s="109">
        <v>0</v>
      </c>
      <c r="Y251" s="109">
        <v>0</v>
      </c>
      <c r="Z251" s="109">
        <v>0</v>
      </c>
      <c r="AA251" s="109">
        <v>0</v>
      </c>
      <c r="AB251" s="109">
        <v>0</v>
      </c>
      <c r="AC251" s="109">
        <v>0</v>
      </c>
      <c r="AD251" s="109">
        <v>0</v>
      </c>
      <c r="AE251" s="109">
        <v>0</v>
      </c>
      <c r="AF251" s="109">
        <v>0</v>
      </c>
      <c r="AG251" s="109">
        <v>0</v>
      </c>
      <c r="AH251" s="109">
        <v>0</v>
      </c>
      <c r="AI251" s="109">
        <v>0</v>
      </c>
      <c r="AJ251" s="109">
        <v>0</v>
      </c>
      <c r="AK251" s="109">
        <v>0</v>
      </c>
      <c r="AL251" s="109">
        <v>0</v>
      </c>
      <c r="AM251" s="109">
        <v>0</v>
      </c>
      <c r="AN251" s="109">
        <v>0</v>
      </c>
      <c r="AO251" s="109">
        <v>0</v>
      </c>
      <c r="AP251" s="109">
        <v>0</v>
      </c>
      <c r="AQ251" s="109">
        <v>0</v>
      </c>
      <c r="AR251" s="109">
        <v>0</v>
      </c>
      <c r="AS251" s="109">
        <v>0</v>
      </c>
      <c r="AT251" s="109">
        <v>0</v>
      </c>
      <c r="AU251" s="109">
        <v>0</v>
      </c>
      <c r="AV251" s="109">
        <v>0</v>
      </c>
      <c r="AW251" s="109">
        <v>0</v>
      </c>
      <c r="AX251" s="109">
        <v>0</v>
      </c>
      <c r="AY251" s="109">
        <v>0</v>
      </c>
    </row>
    <row r="252" spans="1:51">
      <c r="A252" s="108"/>
      <c r="B252" s="129">
        <v>44</v>
      </c>
      <c r="C252" s="105"/>
      <c r="D252" s="109">
        <v>0</v>
      </c>
      <c r="E252" s="109">
        <v>0</v>
      </c>
      <c r="F252" s="109">
        <v>0</v>
      </c>
      <c r="G252" s="109">
        <v>0</v>
      </c>
      <c r="H252" s="109">
        <v>0</v>
      </c>
      <c r="I252" s="109">
        <v>0</v>
      </c>
      <c r="J252" s="109">
        <v>0</v>
      </c>
      <c r="K252" s="109">
        <v>0</v>
      </c>
      <c r="L252" s="109">
        <v>0</v>
      </c>
      <c r="M252" s="109">
        <v>0</v>
      </c>
      <c r="N252" s="109">
        <v>0</v>
      </c>
      <c r="O252" s="109">
        <v>0</v>
      </c>
      <c r="P252" s="109">
        <v>0</v>
      </c>
      <c r="Q252" s="109">
        <v>0</v>
      </c>
      <c r="R252" s="109">
        <v>0</v>
      </c>
      <c r="S252" s="109">
        <v>0</v>
      </c>
      <c r="T252" s="109">
        <v>0</v>
      </c>
      <c r="U252" s="109">
        <v>0</v>
      </c>
      <c r="V252" s="109">
        <v>0</v>
      </c>
      <c r="W252" s="109">
        <v>0</v>
      </c>
      <c r="X252" s="109">
        <v>0</v>
      </c>
      <c r="Y252" s="109">
        <v>0</v>
      </c>
      <c r="Z252" s="109">
        <v>0</v>
      </c>
      <c r="AA252" s="109">
        <v>0</v>
      </c>
      <c r="AB252" s="109">
        <v>0</v>
      </c>
      <c r="AC252" s="109">
        <v>0</v>
      </c>
      <c r="AD252" s="109">
        <v>0</v>
      </c>
      <c r="AE252" s="109">
        <v>0</v>
      </c>
      <c r="AF252" s="109">
        <v>0</v>
      </c>
      <c r="AG252" s="109">
        <v>0</v>
      </c>
      <c r="AH252" s="109">
        <v>0</v>
      </c>
      <c r="AI252" s="109">
        <v>0</v>
      </c>
      <c r="AJ252" s="109">
        <v>0</v>
      </c>
      <c r="AK252" s="109">
        <v>0</v>
      </c>
      <c r="AL252" s="109">
        <v>0</v>
      </c>
      <c r="AM252" s="109">
        <v>0</v>
      </c>
      <c r="AN252" s="109">
        <v>0</v>
      </c>
      <c r="AO252" s="109">
        <v>0</v>
      </c>
      <c r="AP252" s="109">
        <v>0</v>
      </c>
      <c r="AQ252" s="109">
        <v>0</v>
      </c>
      <c r="AR252" s="109">
        <v>0</v>
      </c>
      <c r="AS252" s="109">
        <v>0</v>
      </c>
      <c r="AT252" s="109">
        <v>0</v>
      </c>
      <c r="AU252" s="109">
        <v>0</v>
      </c>
      <c r="AV252" s="109">
        <v>0</v>
      </c>
      <c r="AW252" s="109">
        <v>0</v>
      </c>
      <c r="AX252" s="109">
        <v>0</v>
      </c>
      <c r="AY252" s="109">
        <v>0</v>
      </c>
    </row>
    <row r="253" spans="1:51">
      <c r="A253" s="108"/>
      <c r="B253" s="129">
        <v>45</v>
      </c>
      <c r="C253" s="105"/>
      <c r="D253" s="109">
        <v>0</v>
      </c>
      <c r="E253" s="109">
        <v>0</v>
      </c>
      <c r="F253" s="109">
        <v>0</v>
      </c>
      <c r="G253" s="109">
        <v>0</v>
      </c>
      <c r="H253" s="109">
        <v>0</v>
      </c>
      <c r="I253" s="109">
        <v>0</v>
      </c>
      <c r="J253" s="109">
        <v>0</v>
      </c>
      <c r="K253" s="109">
        <v>0</v>
      </c>
      <c r="L253" s="109">
        <v>0</v>
      </c>
      <c r="M253" s="109">
        <v>0</v>
      </c>
      <c r="N253" s="109">
        <v>0</v>
      </c>
      <c r="O253" s="109">
        <v>0</v>
      </c>
      <c r="P253" s="109">
        <v>0</v>
      </c>
      <c r="Q253" s="109">
        <v>0</v>
      </c>
      <c r="R253" s="109">
        <v>0</v>
      </c>
      <c r="S253" s="109">
        <v>0</v>
      </c>
      <c r="T253" s="109">
        <v>0</v>
      </c>
      <c r="U253" s="109">
        <v>0</v>
      </c>
      <c r="V253" s="109">
        <v>0</v>
      </c>
      <c r="W253" s="109">
        <v>0</v>
      </c>
      <c r="X253" s="109">
        <v>0</v>
      </c>
      <c r="Y253" s="109">
        <v>0</v>
      </c>
      <c r="Z253" s="109">
        <v>0</v>
      </c>
      <c r="AA253" s="109">
        <v>0</v>
      </c>
      <c r="AB253" s="109">
        <v>0</v>
      </c>
      <c r="AC253" s="109">
        <v>0</v>
      </c>
      <c r="AD253" s="109">
        <v>0</v>
      </c>
      <c r="AE253" s="109">
        <v>0</v>
      </c>
      <c r="AF253" s="109">
        <v>0</v>
      </c>
      <c r="AG253" s="109">
        <v>0</v>
      </c>
      <c r="AH253" s="109">
        <v>0</v>
      </c>
      <c r="AI253" s="109">
        <v>0</v>
      </c>
      <c r="AJ253" s="109">
        <v>0</v>
      </c>
      <c r="AK253" s="109">
        <v>0</v>
      </c>
      <c r="AL253" s="109">
        <v>0</v>
      </c>
      <c r="AM253" s="109">
        <v>0</v>
      </c>
      <c r="AN253" s="109">
        <v>0</v>
      </c>
      <c r="AO253" s="109">
        <v>0</v>
      </c>
      <c r="AP253" s="109">
        <v>0</v>
      </c>
      <c r="AQ253" s="109">
        <v>0</v>
      </c>
      <c r="AR253" s="109">
        <v>0</v>
      </c>
      <c r="AS253" s="109">
        <v>0</v>
      </c>
      <c r="AT253" s="109">
        <v>0</v>
      </c>
      <c r="AU253" s="109">
        <v>0</v>
      </c>
      <c r="AV253" s="109">
        <v>0</v>
      </c>
      <c r="AW253" s="109">
        <v>0</v>
      </c>
      <c r="AX253" s="109">
        <v>0</v>
      </c>
      <c r="AY253" s="109">
        <v>0</v>
      </c>
    </row>
    <row r="254" spans="1:51">
      <c r="A254" s="108"/>
      <c r="B254" s="129">
        <v>46</v>
      </c>
      <c r="C254" s="105"/>
      <c r="D254" s="109">
        <v>0</v>
      </c>
      <c r="E254" s="109">
        <v>0</v>
      </c>
      <c r="F254" s="109">
        <v>0</v>
      </c>
      <c r="G254" s="109">
        <v>0</v>
      </c>
      <c r="H254" s="109">
        <v>0</v>
      </c>
      <c r="I254" s="109">
        <v>0</v>
      </c>
      <c r="J254" s="109">
        <v>0</v>
      </c>
      <c r="K254" s="109">
        <v>0</v>
      </c>
      <c r="L254" s="109">
        <v>0</v>
      </c>
      <c r="M254" s="109">
        <v>0</v>
      </c>
      <c r="N254" s="109">
        <v>0</v>
      </c>
      <c r="O254" s="109">
        <v>0</v>
      </c>
      <c r="P254" s="109">
        <v>0</v>
      </c>
      <c r="Q254" s="109">
        <v>0</v>
      </c>
      <c r="R254" s="109">
        <v>0</v>
      </c>
      <c r="S254" s="109">
        <v>0</v>
      </c>
      <c r="T254" s="109">
        <v>0</v>
      </c>
      <c r="U254" s="109">
        <v>0</v>
      </c>
      <c r="V254" s="109">
        <v>0</v>
      </c>
      <c r="W254" s="109">
        <v>0</v>
      </c>
      <c r="X254" s="109">
        <v>0</v>
      </c>
      <c r="Y254" s="109">
        <v>0</v>
      </c>
      <c r="Z254" s="109">
        <v>0</v>
      </c>
      <c r="AA254" s="109">
        <v>0</v>
      </c>
      <c r="AB254" s="109">
        <v>0</v>
      </c>
      <c r="AC254" s="109">
        <v>0</v>
      </c>
      <c r="AD254" s="109">
        <v>0</v>
      </c>
      <c r="AE254" s="109">
        <v>0</v>
      </c>
      <c r="AF254" s="109">
        <v>0</v>
      </c>
      <c r="AG254" s="109">
        <v>0</v>
      </c>
      <c r="AH254" s="109">
        <v>0</v>
      </c>
      <c r="AI254" s="109">
        <v>0</v>
      </c>
      <c r="AJ254" s="109">
        <v>0</v>
      </c>
      <c r="AK254" s="109">
        <v>0</v>
      </c>
      <c r="AL254" s="109">
        <v>0</v>
      </c>
      <c r="AM254" s="109">
        <v>0</v>
      </c>
      <c r="AN254" s="109">
        <v>0</v>
      </c>
      <c r="AO254" s="109">
        <v>0</v>
      </c>
      <c r="AP254" s="109">
        <v>0</v>
      </c>
      <c r="AQ254" s="109">
        <v>0</v>
      </c>
      <c r="AR254" s="109">
        <v>0</v>
      </c>
      <c r="AS254" s="109">
        <v>0</v>
      </c>
      <c r="AT254" s="109">
        <v>0</v>
      </c>
      <c r="AU254" s="109">
        <v>0</v>
      </c>
      <c r="AV254" s="109">
        <v>0</v>
      </c>
      <c r="AW254" s="109">
        <v>0</v>
      </c>
      <c r="AX254" s="109">
        <v>0</v>
      </c>
      <c r="AY254" s="109">
        <v>0</v>
      </c>
    </row>
    <row r="255" spans="1:51">
      <c r="A255" s="108"/>
      <c r="B255" s="129">
        <v>47</v>
      </c>
      <c r="C255" s="105"/>
      <c r="D255" s="109">
        <v>0</v>
      </c>
      <c r="E255" s="109">
        <v>0</v>
      </c>
      <c r="F255" s="109">
        <v>0</v>
      </c>
      <c r="G255" s="109">
        <v>0</v>
      </c>
      <c r="H255" s="109">
        <v>0</v>
      </c>
      <c r="I255" s="109">
        <v>0</v>
      </c>
      <c r="J255" s="109">
        <v>0</v>
      </c>
      <c r="K255" s="109">
        <v>0</v>
      </c>
      <c r="L255" s="109">
        <v>0</v>
      </c>
      <c r="M255" s="109">
        <v>0</v>
      </c>
      <c r="N255" s="109">
        <v>0</v>
      </c>
      <c r="O255" s="109">
        <v>0</v>
      </c>
      <c r="P255" s="109">
        <v>0</v>
      </c>
      <c r="Q255" s="109">
        <v>0</v>
      </c>
      <c r="R255" s="109">
        <v>0</v>
      </c>
      <c r="S255" s="109">
        <v>0</v>
      </c>
      <c r="T255" s="109">
        <v>0</v>
      </c>
      <c r="U255" s="109">
        <v>0</v>
      </c>
      <c r="V255" s="109">
        <v>0</v>
      </c>
      <c r="W255" s="109">
        <v>0</v>
      </c>
      <c r="X255" s="109">
        <v>0</v>
      </c>
      <c r="Y255" s="109">
        <v>0</v>
      </c>
      <c r="Z255" s="109">
        <v>0</v>
      </c>
      <c r="AA255" s="109">
        <v>0</v>
      </c>
      <c r="AB255" s="109">
        <v>0</v>
      </c>
      <c r="AC255" s="109">
        <v>0</v>
      </c>
      <c r="AD255" s="109">
        <v>0</v>
      </c>
      <c r="AE255" s="109">
        <v>0</v>
      </c>
      <c r="AF255" s="109">
        <v>0</v>
      </c>
      <c r="AG255" s="109">
        <v>0</v>
      </c>
      <c r="AH255" s="109">
        <v>0</v>
      </c>
      <c r="AI255" s="109">
        <v>0</v>
      </c>
      <c r="AJ255" s="109">
        <v>0</v>
      </c>
      <c r="AK255" s="109">
        <v>0</v>
      </c>
      <c r="AL255" s="109">
        <v>0</v>
      </c>
      <c r="AM255" s="109">
        <v>0</v>
      </c>
      <c r="AN255" s="109">
        <v>0</v>
      </c>
      <c r="AO255" s="109">
        <v>0</v>
      </c>
      <c r="AP255" s="109">
        <v>0</v>
      </c>
      <c r="AQ255" s="109">
        <v>0</v>
      </c>
      <c r="AR255" s="109">
        <v>0</v>
      </c>
      <c r="AS255" s="109">
        <v>0</v>
      </c>
      <c r="AT255" s="109">
        <v>0</v>
      </c>
      <c r="AU255" s="109">
        <v>0</v>
      </c>
      <c r="AV255" s="109">
        <v>0</v>
      </c>
      <c r="AW255" s="109">
        <v>0</v>
      </c>
      <c r="AX255" s="109">
        <v>0</v>
      </c>
      <c r="AY255" s="109">
        <v>0</v>
      </c>
    </row>
    <row r="256" spans="1:51">
      <c r="A256" s="127"/>
      <c r="B256" s="128">
        <v>48</v>
      </c>
      <c r="C256" s="113"/>
      <c r="D256" s="124">
        <v>0</v>
      </c>
      <c r="E256" s="124">
        <v>0</v>
      </c>
      <c r="F256" s="124">
        <v>0</v>
      </c>
      <c r="G256" s="124">
        <v>0</v>
      </c>
      <c r="H256" s="124">
        <v>0</v>
      </c>
      <c r="I256" s="124">
        <v>0</v>
      </c>
      <c r="J256" s="124">
        <v>0</v>
      </c>
      <c r="K256" s="124">
        <v>0</v>
      </c>
      <c r="L256" s="124">
        <v>0</v>
      </c>
      <c r="M256" s="124">
        <v>0</v>
      </c>
      <c r="N256" s="124">
        <v>0</v>
      </c>
      <c r="O256" s="124">
        <v>0</v>
      </c>
      <c r="P256" s="124">
        <v>0</v>
      </c>
      <c r="Q256" s="124">
        <v>0</v>
      </c>
      <c r="R256" s="124">
        <v>0</v>
      </c>
      <c r="S256" s="124">
        <v>0</v>
      </c>
      <c r="T256" s="124">
        <v>0</v>
      </c>
      <c r="U256" s="124">
        <v>0</v>
      </c>
      <c r="V256" s="124">
        <v>0</v>
      </c>
      <c r="W256" s="124">
        <v>0</v>
      </c>
      <c r="X256" s="124">
        <v>0</v>
      </c>
      <c r="Y256" s="124">
        <v>0</v>
      </c>
      <c r="Z256" s="124">
        <v>0</v>
      </c>
      <c r="AA256" s="124">
        <v>0</v>
      </c>
      <c r="AB256" s="124">
        <v>0</v>
      </c>
      <c r="AC256" s="124">
        <v>0</v>
      </c>
      <c r="AD256" s="124">
        <v>0</v>
      </c>
      <c r="AE256" s="124">
        <v>0</v>
      </c>
      <c r="AF256" s="124">
        <v>0</v>
      </c>
      <c r="AG256" s="124">
        <v>0</v>
      </c>
      <c r="AH256" s="124">
        <v>0</v>
      </c>
      <c r="AI256" s="124">
        <v>0</v>
      </c>
      <c r="AJ256" s="124">
        <v>0</v>
      </c>
      <c r="AK256" s="124">
        <v>0</v>
      </c>
      <c r="AL256" s="124">
        <v>0</v>
      </c>
      <c r="AM256" s="124">
        <v>0</v>
      </c>
      <c r="AN256" s="124">
        <v>0</v>
      </c>
      <c r="AO256" s="124">
        <v>0</v>
      </c>
      <c r="AP256" s="124">
        <v>0</v>
      </c>
      <c r="AQ256" s="124">
        <v>0</v>
      </c>
      <c r="AR256" s="124">
        <v>0</v>
      </c>
      <c r="AS256" s="124">
        <v>0</v>
      </c>
      <c r="AT256" s="124">
        <v>0</v>
      </c>
      <c r="AU256" s="124">
        <v>0</v>
      </c>
      <c r="AV256" s="124">
        <v>0</v>
      </c>
      <c r="AW256" s="124">
        <v>0</v>
      </c>
      <c r="AX256" s="124">
        <v>0</v>
      </c>
      <c r="AY256" s="124">
        <v>0</v>
      </c>
    </row>
    <row r="258" spans="1:52">
      <c r="A258" s="101" t="s">
        <v>300</v>
      </c>
    </row>
    <row r="259" spans="1:52">
      <c r="A259" s="136" t="s">
        <v>124</v>
      </c>
      <c r="B259" s="137">
        <v>650</v>
      </c>
      <c r="C259" s="123" t="s">
        <v>292</v>
      </c>
      <c r="D259" s="123">
        <f>E$14*$B$259</f>
        <v>0</v>
      </c>
      <c r="E259" s="123">
        <f t="shared" ref="E259:AX259" si="5">F$14*$B$259</f>
        <v>0</v>
      </c>
      <c r="F259" s="123">
        <f t="shared" si="5"/>
        <v>218884.30395543162</v>
      </c>
      <c r="G259" s="123">
        <f t="shared" si="5"/>
        <v>153224.82087292807</v>
      </c>
      <c r="H259" s="123">
        <f t="shared" si="5"/>
        <v>581873.24945231492</v>
      </c>
      <c r="I259" s="123">
        <f t="shared" si="5"/>
        <v>553491.84162683366</v>
      </c>
      <c r="J259" s="123">
        <f t="shared" si="5"/>
        <v>463970.60587121436</v>
      </c>
      <c r="K259" s="123">
        <f t="shared" si="5"/>
        <v>62998.418539875682</v>
      </c>
      <c r="L259" s="123">
        <f t="shared" si="5"/>
        <v>744218.24965671939</v>
      </c>
      <c r="M259" s="123">
        <f t="shared" si="5"/>
        <v>534722.58436438185</v>
      </c>
      <c r="N259" s="123">
        <f t="shared" si="5"/>
        <v>425609.40548927442</v>
      </c>
      <c r="O259" s="123">
        <f t="shared" si="5"/>
        <v>409176.21569498465</v>
      </c>
      <c r="P259" s="123">
        <f t="shared" si="5"/>
        <v>401297.42926288949</v>
      </c>
      <c r="Q259" s="123">
        <f t="shared" si="5"/>
        <v>417873.22272215656</v>
      </c>
      <c r="R259" s="123">
        <f t="shared" si="5"/>
        <v>424022.67611373554</v>
      </c>
      <c r="S259" s="123">
        <f t="shared" si="5"/>
        <v>65844.33375906646</v>
      </c>
      <c r="T259" s="123">
        <f t="shared" si="5"/>
        <v>590993.42878379126</v>
      </c>
      <c r="U259" s="123">
        <f t="shared" si="5"/>
        <v>634868.14360299008</v>
      </c>
      <c r="V259" s="123">
        <f t="shared" si="5"/>
        <v>489360.6756965649</v>
      </c>
      <c r="W259" s="123">
        <f t="shared" si="5"/>
        <v>429858.34493499115</v>
      </c>
      <c r="X259" s="123">
        <f t="shared" si="5"/>
        <v>274159.00113849394</v>
      </c>
      <c r="Y259" s="123">
        <f t="shared" si="5"/>
        <v>159071.20437435433</v>
      </c>
      <c r="Z259" s="123">
        <f t="shared" si="5"/>
        <v>744218.24965671939</v>
      </c>
      <c r="AA259" s="123">
        <f t="shared" si="5"/>
        <v>532060.67836438189</v>
      </c>
      <c r="AB259" s="123">
        <f t="shared" si="5"/>
        <v>458941.67278191639</v>
      </c>
      <c r="AC259" s="123">
        <f t="shared" si="5"/>
        <v>420645.17926970683</v>
      </c>
      <c r="AD259" s="123">
        <f t="shared" si="5"/>
        <v>420466.15143932088</v>
      </c>
      <c r="AE259" s="123">
        <f t="shared" si="5"/>
        <v>410205.34426428645</v>
      </c>
      <c r="AF259" s="123">
        <f t="shared" si="5"/>
        <v>422032.0824185001</v>
      </c>
      <c r="AG259" s="123">
        <f t="shared" si="5"/>
        <v>422681.04171293671</v>
      </c>
      <c r="AH259" s="123">
        <f t="shared" si="5"/>
        <v>276317.0044576205</v>
      </c>
      <c r="AI259" s="123">
        <f t="shared" si="5"/>
        <v>153227.66173886842</v>
      </c>
      <c r="AJ259" s="123">
        <f t="shared" si="5"/>
        <v>744223.93138860015</v>
      </c>
      <c r="AK259" s="123">
        <f t="shared" si="5"/>
        <v>144425.57225862495</v>
      </c>
      <c r="AL259" s="123">
        <f t="shared" si="5"/>
        <v>590996.26964973169</v>
      </c>
      <c r="AM259" s="123">
        <f t="shared" si="5"/>
        <v>245904.0235018722</v>
      </c>
      <c r="AN259" s="123">
        <f t="shared" si="5"/>
        <v>218884.30395543162</v>
      </c>
      <c r="AO259" s="123">
        <f t="shared" si="5"/>
        <v>0</v>
      </c>
      <c r="AP259" s="123">
        <f t="shared" si="5"/>
        <v>739663.84172286186</v>
      </c>
      <c r="AQ259" s="123">
        <f t="shared" si="5"/>
        <v>616977.75426252745</v>
      </c>
      <c r="AR259" s="123">
        <f t="shared" si="5"/>
        <v>464356.28906519618</v>
      </c>
      <c r="AS259" s="123">
        <f t="shared" si="5"/>
        <v>48924.025526637168</v>
      </c>
      <c r="AT259" s="123">
        <f t="shared" si="5"/>
        <v>0</v>
      </c>
      <c r="AU259" s="123">
        <f t="shared" si="5"/>
        <v>0</v>
      </c>
      <c r="AV259" s="123">
        <f t="shared" si="5"/>
        <v>372111.96569430007</v>
      </c>
      <c r="AW259" s="123">
        <f t="shared" si="5"/>
        <v>389531.01245767222</v>
      </c>
      <c r="AX259" s="123">
        <f t="shared" si="5"/>
        <v>265793.19617024425</v>
      </c>
      <c r="AY259" s="123">
        <f>AZ$14*$B$259</f>
        <v>145790.69565278274</v>
      </c>
      <c r="AZ259" s="138">
        <f>SUM($D259:$AY259)</f>
        <v>17283896.103323732</v>
      </c>
    </row>
    <row r="260" spans="1:52">
      <c r="A260" s="139" t="s">
        <v>301</v>
      </c>
      <c r="B260" s="113">
        <v>60</v>
      </c>
      <c r="C260" s="124" t="s">
        <v>292</v>
      </c>
      <c r="D260" s="124">
        <f>(D$175-D$176+D$177-D$178+D$179-D$180+D$181-D$182)*$B$260</f>
        <v>8759.954099999999</v>
      </c>
      <c r="E260" s="124">
        <f t="shared" ref="E260:AY260" si="6">(E$175-E$176+E$177-E$178+E$179-E$180+E$181-E$182)*$B$260</f>
        <v>17039.908199999998</v>
      </c>
      <c r="F260" s="124">
        <f t="shared" si="6"/>
        <v>22079.86229999999</v>
      </c>
      <c r="G260" s="124">
        <f t="shared" si="6"/>
        <v>27719.816400000003</v>
      </c>
      <c r="H260" s="124">
        <f t="shared" si="6"/>
        <v>99248.190514612463</v>
      </c>
      <c r="I260" s="124">
        <f t="shared" si="6"/>
        <v>144211.50611028404</v>
      </c>
      <c r="J260" s="124">
        <f t="shared" si="6"/>
        <v>157397.2515230182</v>
      </c>
      <c r="K260" s="124">
        <f t="shared" si="6"/>
        <v>108067.90840768826</v>
      </c>
      <c r="L260" s="124">
        <f t="shared" si="6"/>
        <v>202210.61209825653</v>
      </c>
      <c r="M260" s="124">
        <f t="shared" si="6"/>
        <v>237330.91513745696</v>
      </c>
      <c r="N260" s="124">
        <f t="shared" si="6"/>
        <v>236505.58151787421</v>
      </c>
      <c r="O260" s="124">
        <f t="shared" si="6"/>
        <v>231364.73297263941</v>
      </c>
      <c r="P260" s="124">
        <f t="shared" si="6"/>
        <v>232094.25229397125</v>
      </c>
      <c r="Q260" s="124">
        <f t="shared" si="6"/>
        <v>221086.42577917737</v>
      </c>
      <c r="R260" s="124">
        <f t="shared" si="6"/>
        <v>235416.65158174638</v>
      </c>
      <c r="S260" s="124">
        <f t="shared" si="6"/>
        <v>243512.27790098215</v>
      </c>
      <c r="T260" s="124">
        <f t="shared" si="6"/>
        <v>277959.84064937668</v>
      </c>
      <c r="U260" s="124">
        <f t="shared" si="6"/>
        <v>351374.45222895849</v>
      </c>
      <c r="V260" s="124">
        <f t="shared" si="6"/>
        <v>361088.20343253622</v>
      </c>
      <c r="W260" s="124">
        <f t="shared" si="6"/>
        <v>373182.97299966612</v>
      </c>
      <c r="X260" s="124">
        <f t="shared" si="6"/>
        <v>324255.25581934268</v>
      </c>
      <c r="Y260" s="124">
        <f t="shared" si="6"/>
        <v>304167.22827697115</v>
      </c>
      <c r="Z260" s="124">
        <f t="shared" si="6"/>
        <v>425958.22992149135</v>
      </c>
      <c r="AA260" s="124">
        <f t="shared" si="6"/>
        <v>459764.28816069179</v>
      </c>
      <c r="AB260" s="124">
        <f t="shared" si="6"/>
        <v>454096.03255744249</v>
      </c>
      <c r="AC260" s="124">
        <f t="shared" si="6"/>
        <v>457873.335124631</v>
      </c>
      <c r="AD260" s="124">
        <f t="shared" si="6"/>
        <v>451352.10239811277</v>
      </c>
      <c r="AE260" s="124">
        <f t="shared" si="6"/>
        <v>431601.66375725443</v>
      </c>
      <c r="AF260" s="124">
        <f t="shared" si="6"/>
        <v>422330.50683511171</v>
      </c>
      <c r="AG260" s="124">
        <f t="shared" si="6"/>
        <v>435035.17669744068</v>
      </c>
      <c r="AH260" s="124">
        <f t="shared" si="6"/>
        <v>437784.60713378259</v>
      </c>
      <c r="AI260" s="124">
        <f t="shared" si="6"/>
        <v>430050.15931823832</v>
      </c>
      <c r="AJ260" s="124">
        <f t="shared" si="6"/>
        <v>521303.4855044171</v>
      </c>
      <c r="AK260" s="124">
        <f t="shared" si="6"/>
        <v>457391.84483769693</v>
      </c>
      <c r="AL260" s="124">
        <f t="shared" si="6"/>
        <v>501493.34830928704</v>
      </c>
      <c r="AM260" s="124">
        <f t="shared" si="6"/>
        <v>464496.88693692983</v>
      </c>
      <c r="AN260" s="124">
        <f t="shared" si="6"/>
        <v>459622.8522684839</v>
      </c>
      <c r="AO260" s="124">
        <f t="shared" si="6"/>
        <v>463627.50114898529</v>
      </c>
      <c r="AP260" s="124">
        <f t="shared" si="6"/>
        <v>534917.71273610578</v>
      </c>
      <c r="AQ260" s="124">
        <f t="shared" si="6"/>
        <v>571185.55186939915</v>
      </c>
      <c r="AR260" s="124">
        <f t="shared" si="6"/>
        <v>547173.93811890495</v>
      </c>
      <c r="AS260" s="124">
        <f t="shared" si="6"/>
        <v>488405.11137362517</v>
      </c>
      <c r="AT260" s="124">
        <f t="shared" si="6"/>
        <v>447064.46882565902</v>
      </c>
      <c r="AU260" s="124">
        <f t="shared" si="6"/>
        <v>412864.47392565891</v>
      </c>
      <c r="AV260" s="124">
        <f t="shared" si="6"/>
        <v>386379.09109233896</v>
      </c>
      <c r="AW260" s="124">
        <f t="shared" si="6"/>
        <v>377165.60116469639</v>
      </c>
      <c r="AX260" s="124">
        <f t="shared" si="6"/>
        <v>370861.66411357676</v>
      </c>
      <c r="AY260" s="124">
        <f t="shared" si="6"/>
        <v>366100.92815079971</v>
      </c>
      <c r="AZ260" s="140">
        <f>SUM($D260:$AY260)</f>
        <v>16191974.362525323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99"/>
  </cols>
  <sheetData>
    <row r="2" spans="1:99">
      <c r="B2" s="101" t="s">
        <v>271</v>
      </c>
    </row>
    <row r="3" spans="1:99">
      <c r="B3" s="102" t="s">
        <v>282</v>
      </c>
    </row>
    <row r="4" spans="1:99">
      <c r="A4" s="100"/>
      <c r="B4" s="100"/>
      <c r="C4" s="98" t="s">
        <v>273</v>
      </c>
      <c r="D4" s="98" t="s">
        <v>92</v>
      </c>
      <c r="E4" s="100"/>
      <c r="F4" s="100"/>
      <c r="G4" s="100"/>
      <c r="H4" s="100"/>
      <c r="I4" s="100"/>
      <c r="J4" s="100"/>
      <c r="K4" s="100"/>
      <c r="L4" s="98" t="s">
        <v>93</v>
      </c>
      <c r="M4" s="100"/>
      <c r="N4" s="100"/>
      <c r="O4" s="100"/>
      <c r="P4" s="100"/>
      <c r="Q4" s="100"/>
      <c r="R4" s="100"/>
      <c r="S4" s="100"/>
      <c r="T4" s="98" t="s">
        <v>94</v>
      </c>
      <c r="U4" s="100"/>
      <c r="V4" s="100"/>
      <c r="W4" s="100"/>
      <c r="X4" s="100"/>
      <c r="Y4" s="100"/>
      <c r="Z4" s="100"/>
      <c r="AA4" s="100"/>
      <c r="AB4" s="98" t="s">
        <v>95</v>
      </c>
      <c r="AC4" s="100"/>
      <c r="AD4" s="100"/>
      <c r="AE4" s="100"/>
      <c r="AF4" s="100"/>
      <c r="AG4" s="100"/>
      <c r="AH4" s="100"/>
      <c r="AI4" s="100"/>
      <c r="AJ4" s="98" t="s">
        <v>96</v>
      </c>
      <c r="AK4" s="100"/>
      <c r="AL4" s="100"/>
      <c r="AM4" s="100"/>
      <c r="AN4" s="100"/>
      <c r="AO4" s="100"/>
      <c r="AP4" s="100"/>
      <c r="AQ4" s="100"/>
      <c r="AR4" s="98" t="s">
        <v>97</v>
      </c>
      <c r="AS4" s="100"/>
      <c r="AT4" s="100"/>
      <c r="AU4" s="100"/>
      <c r="AV4" s="100"/>
      <c r="AW4" s="100"/>
      <c r="AX4" s="100"/>
      <c r="AY4" s="100"/>
      <c r="AZ4" s="98" t="s">
        <v>98</v>
      </c>
      <c r="BA4" s="100"/>
      <c r="BB4" s="100"/>
      <c r="BC4" s="100"/>
      <c r="BD4" s="100"/>
      <c r="BE4" s="100"/>
      <c r="BF4" s="100"/>
      <c r="BG4" s="100"/>
      <c r="BH4" s="98" t="s">
        <v>99</v>
      </c>
      <c r="BI4" s="100"/>
      <c r="BJ4" s="100"/>
      <c r="BK4" s="100"/>
      <c r="BL4" s="100"/>
      <c r="BM4" s="100"/>
      <c r="BN4" s="100"/>
      <c r="BO4" s="100"/>
      <c r="BP4" s="98" t="s">
        <v>100</v>
      </c>
      <c r="BQ4" s="100"/>
      <c r="BR4" s="100"/>
      <c r="BS4" s="100"/>
      <c r="BT4" s="100"/>
      <c r="BU4" s="100"/>
      <c r="BV4" s="100"/>
      <c r="BW4" s="100"/>
      <c r="BX4" s="98" t="s">
        <v>101</v>
      </c>
      <c r="BY4" s="100"/>
      <c r="BZ4" s="100"/>
      <c r="CA4" s="100"/>
      <c r="CB4" s="100"/>
      <c r="CC4" s="100"/>
      <c r="CD4" s="100"/>
      <c r="CE4" s="100"/>
      <c r="CF4" s="98" t="s">
        <v>102</v>
      </c>
      <c r="CG4" s="100"/>
      <c r="CH4" s="100"/>
      <c r="CI4" s="100"/>
      <c r="CJ4" s="100"/>
      <c r="CK4" s="100"/>
      <c r="CL4" s="100"/>
      <c r="CM4" s="100"/>
      <c r="CN4" s="98" t="s">
        <v>103</v>
      </c>
      <c r="CO4" s="100"/>
      <c r="CP4" s="100"/>
      <c r="CQ4" s="100"/>
      <c r="CR4" s="100"/>
      <c r="CS4" s="100"/>
      <c r="CT4" s="100"/>
      <c r="CU4" s="100"/>
    </row>
    <row r="5" spans="1:99">
      <c r="B5" s="98" t="s">
        <v>166</v>
      </c>
      <c r="C5" s="98" t="s">
        <v>274</v>
      </c>
      <c r="D5" s="98">
        <v>1</v>
      </c>
      <c r="E5" s="98"/>
      <c r="F5" s="98">
        <v>2</v>
      </c>
      <c r="G5" s="98"/>
      <c r="H5" s="98">
        <v>3</v>
      </c>
      <c r="I5" s="98"/>
      <c r="J5" s="98">
        <v>4</v>
      </c>
      <c r="K5" s="98"/>
      <c r="L5" s="98">
        <v>1</v>
      </c>
      <c r="M5" s="98"/>
      <c r="N5" s="98">
        <v>2</v>
      </c>
      <c r="O5" s="98"/>
      <c r="P5" s="98">
        <v>3</v>
      </c>
      <c r="Q5" s="98"/>
      <c r="R5" s="98">
        <v>4</v>
      </c>
      <c r="S5" s="98"/>
      <c r="T5" s="98">
        <v>1</v>
      </c>
      <c r="U5" s="98"/>
      <c r="V5" s="98">
        <v>2</v>
      </c>
      <c r="W5" s="98"/>
      <c r="X5" s="98">
        <v>3</v>
      </c>
      <c r="Y5" s="98"/>
      <c r="Z5" s="98">
        <v>4</v>
      </c>
      <c r="AA5" s="98"/>
      <c r="AB5" s="98">
        <v>1</v>
      </c>
      <c r="AC5" s="98"/>
      <c r="AD5" s="98">
        <v>2</v>
      </c>
      <c r="AE5" s="98"/>
      <c r="AF5" s="98">
        <v>3</v>
      </c>
      <c r="AG5" s="98"/>
      <c r="AH5" s="98">
        <v>4</v>
      </c>
      <c r="AI5" s="98"/>
      <c r="AJ5" s="98">
        <v>1</v>
      </c>
      <c r="AK5" s="98"/>
      <c r="AL5" s="98">
        <v>2</v>
      </c>
      <c r="AM5" s="98"/>
      <c r="AN5" s="98">
        <v>3</v>
      </c>
      <c r="AO5" s="98"/>
      <c r="AP5" s="98">
        <v>4</v>
      </c>
      <c r="AQ5" s="98"/>
      <c r="AR5" s="98">
        <v>1</v>
      </c>
      <c r="AS5" s="98"/>
      <c r="AT5" s="98">
        <v>2</v>
      </c>
      <c r="AU5" s="98"/>
      <c r="AV5" s="98">
        <v>3</v>
      </c>
      <c r="AW5" s="98"/>
      <c r="AX5" s="98">
        <v>4</v>
      </c>
      <c r="AY5" s="98"/>
      <c r="AZ5" s="98">
        <v>1</v>
      </c>
      <c r="BA5" s="98"/>
      <c r="BB5" s="98">
        <v>2</v>
      </c>
      <c r="BC5" s="98"/>
      <c r="BD5" s="98">
        <v>3</v>
      </c>
      <c r="BE5" s="98"/>
      <c r="BF5" s="98">
        <v>4</v>
      </c>
      <c r="BG5" s="98"/>
      <c r="BH5" s="98">
        <v>1</v>
      </c>
      <c r="BI5" s="98"/>
      <c r="BJ5" s="98">
        <v>2</v>
      </c>
      <c r="BK5" s="98"/>
      <c r="BL5" s="98">
        <v>3</v>
      </c>
      <c r="BM5" s="98"/>
      <c r="BN5" s="98">
        <v>4</v>
      </c>
      <c r="BO5" s="98"/>
      <c r="BP5" s="98">
        <v>1</v>
      </c>
      <c r="BQ5" s="98"/>
      <c r="BR5" s="98">
        <v>2</v>
      </c>
      <c r="BS5" s="98"/>
      <c r="BT5" s="98">
        <v>3</v>
      </c>
      <c r="BU5" s="98"/>
      <c r="BV5" s="98">
        <v>4</v>
      </c>
      <c r="BW5" s="98"/>
      <c r="BX5" s="98">
        <v>1</v>
      </c>
      <c r="BY5" s="98"/>
      <c r="BZ5" s="98">
        <v>2</v>
      </c>
      <c r="CA5" s="98"/>
      <c r="CB5" s="98">
        <v>3</v>
      </c>
      <c r="CC5" s="98"/>
      <c r="CD5" s="98">
        <v>4</v>
      </c>
      <c r="CE5" s="98"/>
      <c r="CF5" s="98">
        <v>1</v>
      </c>
      <c r="CG5" s="98"/>
      <c r="CH5" s="98">
        <v>2</v>
      </c>
      <c r="CI5" s="98"/>
      <c r="CJ5" s="98">
        <v>3</v>
      </c>
      <c r="CK5" s="98"/>
      <c r="CL5" s="98">
        <v>4</v>
      </c>
      <c r="CM5" s="98"/>
      <c r="CN5" s="98">
        <v>1</v>
      </c>
      <c r="CO5" s="98"/>
      <c r="CP5" s="98">
        <v>2</v>
      </c>
      <c r="CQ5" s="98"/>
      <c r="CR5" s="98">
        <v>3</v>
      </c>
      <c r="CS5" s="98"/>
      <c r="CT5" s="98">
        <v>4</v>
      </c>
      <c r="CU5" s="98"/>
    </row>
    <row r="6" spans="1:99">
      <c r="B6" s="98" t="s">
        <v>126</v>
      </c>
      <c r="C6" s="98" t="s">
        <v>171</v>
      </c>
      <c r="D6" s="99">
        <v>11</v>
      </c>
      <c r="E6" s="99">
        <v>6362.4</v>
      </c>
      <c r="F6" s="99">
        <v>10</v>
      </c>
      <c r="G6" s="99">
        <v>5784</v>
      </c>
      <c r="H6" s="99">
        <v>12</v>
      </c>
      <c r="I6" s="99">
        <v>6940.7999999999993</v>
      </c>
      <c r="J6" s="99">
        <v>11</v>
      </c>
      <c r="K6" s="99">
        <v>6362.4</v>
      </c>
      <c r="L6" s="99">
        <v>11</v>
      </c>
      <c r="M6" s="99">
        <v>6362.4</v>
      </c>
      <c r="N6" s="99">
        <v>9</v>
      </c>
      <c r="O6" s="99">
        <v>5205.5999999999995</v>
      </c>
      <c r="P6" s="99">
        <v>17</v>
      </c>
      <c r="Q6" s="99">
        <v>9832.7999999999993</v>
      </c>
      <c r="R6" s="99">
        <v>16</v>
      </c>
      <c r="S6" s="99">
        <v>9254.4</v>
      </c>
      <c r="T6" s="99">
        <v>16</v>
      </c>
      <c r="U6" s="99">
        <v>9254.4</v>
      </c>
      <c r="V6" s="99">
        <v>9</v>
      </c>
      <c r="W6" s="99">
        <v>5205.5999999999995</v>
      </c>
      <c r="X6" s="99">
        <v>11</v>
      </c>
      <c r="Y6" s="99">
        <v>6362.4</v>
      </c>
      <c r="Z6" s="99">
        <v>17</v>
      </c>
      <c r="AA6" s="99">
        <v>9832.7999999999993</v>
      </c>
      <c r="AB6" s="99">
        <v>16</v>
      </c>
      <c r="AC6" s="99">
        <v>9254.4</v>
      </c>
      <c r="AD6" s="99">
        <v>11</v>
      </c>
      <c r="AE6" s="99">
        <v>6362.4</v>
      </c>
      <c r="AF6" s="99">
        <v>12</v>
      </c>
      <c r="AG6" s="99">
        <v>6940.7999999999993</v>
      </c>
      <c r="AH6" s="99">
        <v>13</v>
      </c>
      <c r="AI6" s="99">
        <v>7519.2</v>
      </c>
      <c r="AJ6" s="99">
        <v>15</v>
      </c>
      <c r="AK6" s="99">
        <v>8676</v>
      </c>
      <c r="AL6" s="99">
        <v>13</v>
      </c>
      <c r="AM6" s="99">
        <v>7519.2</v>
      </c>
      <c r="AN6" s="99">
        <v>16</v>
      </c>
      <c r="AO6" s="99">
        <v>9254.4</v>
      </c>
      <c r="AP6" s="99">
        <v>12</v>
      </c>
      <c r="AQ6" s="99">
        <v>6940.7999999999993</v>
      </c>
      <c r="AR6" s="99">
        <v>11</v>
      </c>
      <c r="AS6" s="99">
        <v>6362.4</v>
      </c>
      <c r="AT6" s="99">
        <v>15</v>
      </c>
      <c r="AU6" s="99">
        <v>8676</v>
      </c>
      <c r="AV6" s="99">
        <v>12</v>
      </c>
      <c r="AW6" s="99">
        <v>6940.7999999999993</v>
      </c>
      <c r="AX6" s="99">
        <v>10</v>
      </c>
      <c r="AY6" s="99">
        <v>5784</v>
      </c>
      <c r="AZ6" s="99">
        <v>19</v>
      </c>
      <c r="BA6" s="99">
        <v>10989.6</v>
      </c>
      <c r="BB6" s="99">
        <v>20</v>
      </c>
      <c r="BC6" s="99">
        <v>11568</v>
      </c>
      <c r="BD6" s="99">
        <v>11</v>
      </c>
      <c r="BE6" s="99">
        <v>6362.4</v>
      </c>
      <c r="BF6" s="99">
        <v>16</v>
      </c>
      <c r="BG6" s="99">
        <v>9254.4</v>
      </c>
      <c r="BH6" s="99">
        <v>14</v>
      </c>
      <c r="BI6" s="99">
        <v>8097.5999999999995</v>
      </c>
      <c r="BJ6" s="99">
        <v>14</v>
      </c>
      <c r="BK6" s="99">
        <v>8097.5999999999995</v>
      </c>
      <c r="BL6" s="99">
        <v>10</v>
      </c>
      <c r="BM6" s="99">
        <v>5784</v>
      </c>
      <c r="BN6" s="99">
        <v>12</v>
      </c>
      <c r="BO6" s="99">
        <v>6940.7999999999993</v>
      </c>
      <c r="BP6" s="99">
        <v>12</v>
      </c>
      <c r="BQ6" s="99">
        <v>6940.7999999999993</v>
      </c>
      <c r="BR6" s="99">
        <v>15</v>
      </c>
      <c r="BS6" s="99">
        <v>8676</v>
      </c>
      <c r="BT6" s="99">
        <v>22</v>
      </c>
      <c r="BU6" s="99">
        <v>12724.8</v>
      </c>
      <c r="BV6" s="99">
        <v>15</v>
      </c>
      <c r="BW6" s="99">
        <v>8676</v>
      </c>
      <c r="BX6" s="99">
        <v>22</v>
      </c>
      <c r="BY6" s="99">
        <v>12724.8</v>
      </c>
      <c r="BZ6" s="99">
        <v>17</v>
      </c>
      <c r="CA6" s="99">
        <v>9832.7999999999993</v>
      </c>
      <c r="CB6" s="99">
        <v>22</v>
      </c>
      <c r="CC6" s="99">
        <v>12724.8</v>
      </c>
      <c r="CD6" s="99">
        <v>23</v>
      </c>
      <c r="CE6" s="99">
        <v>13303.199999999999</v>
      </c>
      <c r="CF6" s="99">
        <v>17</v>
      </c>
      <c r="CG6" s="99">
        <v>9832.7999999999993</v>
      </c>
      <c r="CH6" s="99">
        <v>10</v>
      </c>
      <c r="CI6" s="99">
        <v>5784</v>
      </c>
      <c r="CJ6" s="99">
        <v>20</v>
      </c>
      <c r="CK6" s="99">
        <v>11568</v>
      </c>
      <c r="CL6" s="99">
        <v>12</v>
      </c>
      <c r="CM6" s="99">
        <v>6940.7999999999993</v>
      </c>
      <c r="CN6" s="99">
        <v>12</v>
      </c>
      <c r="CO6" s="99">
        <v>6940.7999999999993</v>
      </c>
      <c r="CP6" s="99">
        <v>23</v>
      </c>
      <c r="CQ6" s="99">
        <v>13303.199999999999</v>
      </c>
      <c r="CR6" s="99">
        <v>21</v>
      </c>
      <c r="CS6" s="99">
        <v>12146.4</v>
      </c>
      <c r="CT6" s="99">
        <v>20</v>
      </c>
      <c r="CU6" s="99">
        <v>11568</v>
      </c>
    </row>
    <row r="7" spans="1:99">
      <c r="C7" s="98" t="s">
        <v>172</v>
      </c>
      <c r="D7" s="99">
        <v>11</v>
      </c>
      <c r="E7" s="99">
        <v>8672.4</v>
      </c>
      <c r="F7" s="99">
        <v>9</v>
      </c>
      <c r="G7" s="99">
        <v>7095.5999999999995</v>
      </c>
      <c r="H7" s="99">
        <v>13</v>
      </c>
      <c r="I7" s="99">
        <v>10249.199999999999</v>
      </c>
      <c r="J7" s="99">
        <v>10</v>
      </c>
      <c r="K7" s="99">
        <v>7884</v>
      </c>
      <c r="L7" s="99">
        <v>11</v>
      </c>
      <c r="M7" s="99">
        <v>8672.4</v>
      </c>
      <c r="N7" s="99">
        <v>10</v>
      </c>
      <c r="O7" s="99">
        <v>7884</v>
      </c>
      <c r="P7" s="99">
        <v>16</v>
      </c>
      <c r="Q7" s="99">
        <v>12614.4</v>
      </c>
      <c r="R7" s="99">
        <v>17</v>
      </c>
      <c r="S7" s="99">
        <v>13402.8</v>
      </c>
      <c r="T7" s="99">
        <v>14</v>
      </c>
      <c r="U7" s="99">
        <v>11037.6</v>
      </c>
      <c r="V7" s="99">
        <v>10</v>
      </c>
      <c r="W7" s="99">
        <v>7884</v>
      </c>
      <c r="X7" s="99">
        <v>11</v>
      </c>
      <c r="Y7" s="99">
        <v>8672.4</v>
      </c>
      <c r="Z7" s="99">
        <v>15</v>
      </c>
      <c r="AA7" s="99">
        <v>11826</v>
      </c>
      <c r="AB7" s="99">
        <v>16</v>
      </c>
      <c r="AC7" s="99">
        <v>12614.4</v>
      </c>
      <c r="AD7" s="99">
        <v>10</v>
      </c>
      <c r="AE7" s="99">
        <v>7884</v>
      </c>
      <c r="AF7" s="99">
        <v>10</v>
      </c>
      <c r="AG7" s="99">
        <v>7884</v>
      </c>
      <c r="AH7" s="99">
        <v>12</v>
      </c>
      <c r="AI7" s="99">
        <v>9460.7999999999993</v>
      </c>
      <c r="AJ7" s="99">
        <v>15</v>
      </c>
      <c r="AK7" s="99">
        <v>11826</v>
      </c>
      <c r="AL7" s="99">
        <v>13</v>
      </c>
      <c r="AM7" s="99">
        <v>10249.199999999999</v>
      </c>
      <c r="AN7" s="99">
        <v>19</v>
      </c>
      <c r="AO7" s="99">
        <v>14979.6</v>
      </c>
      <c r="AP7" s="99">
        <v>13</v>
      </c>
      <c r="AQ7" s="99">
        <v>10249.199999999999</v>
      </c>
      <c r="AR7" s="99">
        <v>9</v>
      </c>
      <c r="AS7" s="99">
        <v>7095.5999999999995</v>
      </c>
      <c r="AT7" s="99">
        <v>16</v>
      </c>
      <c r="AU7" s="99">
        <v>12614.4</v>
      </c>
      <c r="AV7" s="99">
        <v>11</v>
      </c>
      <c r="AW7" s="99">
        <v>8672.4</v>
      </c>
      <c r="AX7" s="99">
        <v>9</v>
      </c>
      <c r="AY7" s="99">
        <v>7095.5999999999995</v>
      </c>
      <c r="AZ7" s="99">
        <v>20</v>
      </c>
      <c r="BA7" s="99">
        <v>15768</v>
      </c>
      <c r="BB7" s="99">
        <v>21</v>
      </c>
      <c r="BC7" s="99">
        <v>16556.399999999998</v>
      </c>
      <c r="BD7" s="99">
        <v>10</v>
      </c>
      <c r="BE7" s="99">
        <v>7884</v>
      </c>
      <c r="BF7" s="99">
        <v>17</v>
      </c>
      <c r="BG7" s="99">
        <v>13402.8</v>
      </c>
      <c r="BH7" s="99">
        <v>13</v>
      </c>
      <c r="BI7" s="99">
        <v>10249.199999999999</v>
      </c>
      <c r="BJ7" s="99">
        <v>14</v>
      </c>
      <c r="BK7" s="99">
        <v>11037.6</v>
      </c>
      <c r="BL7" s="99">
        <v>11</v>
      </c>
      <c r="BM7" s="99">
        <v>8672.4</v>
      </c>
      <c r="BN7" s="99">
        <v>11</v>
      </c>
      <c r="BO7" s="99">
        <v>8672.4</v>
      </c>
      <c r="BP7" s="99">
        <v>13</v>
      </c>
      <c r="BQ7" s="99">
        <v>10249.199999999999</v>
      </c>
      <c r="BR7" s="99">
        <v>16</v>
      </c>
      <c r="BS7" s="99">
        <v>12614.4</v>
      </c>
      <c r="BT7" s="99">
        <v>19</v>
      </c>
      <c r="BU7" s="99">
        <v>14979.6</v>
      </c>
      <c r="BV7" s="99">
        <v>15</v>
      </c>
      <c r="BW7" s="99">
        <v>11826</v>
      </c>
      <c r="BX7" s="99">
        <v>22</v>
      </c>
      <c r="BY7" s="99">
        <v>17344.8</v>
      </c>
      <c r="BZ7" s="99">
        <v>16</v>
      </c>
      <c r="CA7" s="99">
        <v>12614.4</v>
      </c>
      <c r="CB7" s="99">
        <v>21</v>
      </c>
      <c r="CC7" s="99">
        <v>16556.399999999998</v>
      </c>
      <c r="CD7" s="99">
        <v>19</v>
      </c>
      <c r="CE7" s="99">
        <v>14979.6</v>
      </c>
      <c r="CF7" s="99">
        <v>15</v>
      </c>
      <c r="CG7" s="99">
        <v>11826</v>
      </c>
      <c r="CH7" s="99">
        <v>11</v>
      </c>
      <c r="CI7" s="99">
        <v>8672.4</v>
      </c>
      <c r="CJ7" s="99">
        <v>22</v>
      </c>
      <c r="CK7" s="99">
        <v>17344.8</v>
      </c>
      <c r="CL7" s="99">
        <v>10</v>
      </c>
      <c r="CM7" s="99">
        <v>7884</v>
      </c>
      <c r="CN7" s="99">
        <v>14</v>
      </c>
      <c r="CO7" s="99">
        <v>11037.6</v>
      </c>
      <c r="CP7" s="99">
        <v>23</v>
      </c>
      <c r="CQ7" s="99">
        <v>18133.2</v>
      </c>
      <c r="CR7" s="99">
        <v>19</v>
      </c>
      <c r="CS7" s="99">
        <v>14979.6</v>
      </c>
      <c r="CT7" s="99">
        <v>20</v>
      </c>
      <c r="CU7" s="99">
        <v>15768</v>
      </c>
    </row>
    <row r="8" spans="1:99">
      <c r="C8" s="98" t="s">
        <v>173</v>
      </c>
      <c r="D8" s="99">
        <v>11</v>
      </c>
      <c r="E8" s="99">
        <v>3405.5999999999995</v>
      </c>
      <c r="F8" s="99">
        <v>10</v>
      </c>
      <c r="G8" s="99">
        <v>3095.9999999999995</v>
      </c>
      <c r="H8" s="99">
        <v>11</v>
      </c>
      <c r="I8" s="99">
        <v>3405.5999999999995</v>
      </c>
      <c r="J8" s="99">
        <v>13</v>
      </c>
      <c r="K8" s="99">
        <v>4024.7999999999997</v>
      </c>
      <c r="L8" s="99">
        <v>11</v>
      </c>
      <c r="M8" s="99">
        <v>3405.5999999999995</v>
      </c>
      <c r="N8" s="99">
        <v>10</v>
      </c>
      <c r="O8" s="99">
        <v>3095.9999999999995</v>
      </c>
      <c r="P8" s="99">
        <v>17</v>
      </c>
      <c r="Q8" s="99">
        <v>5263.2</v>
      </c>
      <c r="R8" s="99">
        <v>18</v>
      </c>
      <c r="S8" s="99">
        <v>5572.7999999999993</v>
      </c>
      <c r="T8" s="99">
        <v>16</v>
      </c>
      <c r="U8" s="99">
        <v>4953.5999999999995</v>
      </c>
      <c r="V8" s="99">
        <v>11</v>
      </c>
      <c r="W8" s="99">
        <v>3405.5999999999995</v>
      </c>
      <c r="X8" s="99">
        <v>10</v>
      </c>
      <c r="Y8" s="99">
        <v>3095.9999999999995</v>
      </c>
      <c r="Z8" s="99">
        <v>15</v>
      </c>
      <c r="AA8" s="99">
        <v>4643.9999999999991</v>
      </c>
      <c r="AB8" s="99">
        <v>17</v>
      </c>
      <c r="AC8" s="99">
        <v>5263.2</v>
      </c>
      <c r="AD8" s="99">
        <v>10</v>
      </c>
      <c r="AE8" s="99">
        <v>3095.9999999999995</v>
      </c>
      <c r="AF8" s="99">
        <v>11</v>
      </c>
      <c r="AG8" s="99">
        <v>3405.5999999999995</v>
      </c>
      <c r="AH8" s="99">
        <v>12</v>
      </c>
      <c r="AI8" s="99">
        <v>3715.2</v>
      </c>
      <c r="AJ8" s="99">
        <v>14</v>
      </c>
      <c r="AK8" s="99">
        <v>4334.3999999999996</v>
      </c>
      <c r="AL8" s="99">
        <v>15</v>
      </c>
      <c r="AM8" s="99">
        <v>4643.9999999999991</v>
      </c>
      <c r="AN8" s="99">
        <v>18</v>
      </c>
      <c r="AO8" s="99">
        <v>5572.7999999999993</v>
      </c>
      <c r="AP8" s="99">
        <v>14</v>
      </c>
      <c r="AQ8" s="99">
        <v>4334.3999999999996</v>
      </c>
      <c r="AR8" s="99">
        <v>11</v>
      </c>
      <c r="AS8" s="99">
        <v>3405.5999999999995</v>
      </c>
      <c r="AT8" s="99">
        <v>17</v>
      </c>
      <c r="AU8" s="99">
        <v>5263.2</v>
      </c>
      <c r="AV8" s="99">
        <v>14</v>
      </c>
      <c r="AW8" s="99">
        <v>4334.3999999999996</v>
      </c>
      <c r="AX8" s="99">
        <v>10</v>
      </c>
      <c r="AY8" s="99">
        <v>3095.9999999999995</v>
      </c>
      <c r="AZ8" s="99">
        <v>21</v>
      </c>
      <c r="BA8" s="99">
        <v>6501.5999999999995</v>
      </c>
      <c r="BB8" s="99">
        <v>22</v>
      </c>
      <c r="BC8" s="99">
        <v>6811.1999999999989</v>
      </c>
      <c r="BD8" s="99">
        <v>12</v>
      </c>
      <c r="BE8" s="99">
        <v>3715.2</v>
      </c>
      <c r="BF8" s="99">
        <v>18</v>
      </c>
      <c r="BG8" s="99">
        <v>5572.7999999999993</v>
      </c>
      <c r="BH8" s="99">
        <v>15</v>
      </c>
      <c r="BI8" s="99">
        <v>4643.9999999999991</v>
      </c>
      <c r="BJ8" s="99">
        <v>14</v>
      </c>
      <c r="BK8" s="99">
        <v>4334.3999999999996</v>
      </c>
      <c r="BL8" s="99">
        <v>10</v>
      </c>
      <c r="BM8" s="99">
        <v>3095.9999999999995</v>
      </c>
      <c r="BN8" s="99">
        <v>13</v>
      </c>
      <c r="BO8" s="99">
        <v>4024.7999999999997</v>
      </c>
      <c r="BP8" s="99">
        <v>12</v>
      </c>
      <c r="BQ8" s="99">
        <v>3715.2</v>
      </c>
      <c r="BR8" s="99">
        <v>18</v>
      </c>
      <c r="BS8" s="99">
        <v>5572.7999999999993</v>
      </c>
      <c r="BT8" s="99">
        <v>23</v>
      </c>
      <c r="BU8" s="99">
        <v>7120.7999999999993</v>
      </c>
      <c r="BV8" s="99">
        <v>14</v>
      </c>
      <c r="BW8" s="99">
        <v>4334.3999999999996</v>
      </c>
      <c r="BX8" s="99">
        <v>22</v>
      </c>
      <c r="BY8" s="99">
        <v>6811.1999999999989</v>
      </c>
      <c r="BZ8" s="99">
        <v>16</v>
      </c>
      <c r="CA8" s="99">
        <v>4953.5999999999995</v>
      </c>
      <c r="CB8" s="99">
        <v>20</v>
      </c>
      <c r="CC8" s="99">
        <v>6191.9999999999991</v>
      </c>
      <c r="CD8" s="99">
        <v>22</v>
      </c>
      <c r="CE8" s="99">
        <v>6811.1999999999989</v>
      </c>
      <c r="CF8" s="99">
        <v>16</v>
      </c>
      <c r="CG8" s="99">
        <v>4953.5999999999995</v>
      </c>
      <c r="CH8" s="99">
        <v>12</v>
      </c>
      <c r="CI8" s="99">
        <v>3715.2</v>
      </c>
      <c r="CJ8" s="99">
        <v>22</v>
      </c>
      <c r="CK8" s="99">
        <v>6811.1999999999989</v>
      </c>
      <c r="CL8" s="99">
        <v>12</v>
      </c>
      <c r="CM8" s="99">
        <v>3715.2</v>
      </c>
      <c r="CN8" s="99">
        <v>14</v>
      </c>
      <c r="CO8" s="99">
        <v>4334.3999999999996</v>
      </c>
      <c r="CP8" s="99">
        <v>22</v>
      </c>
      <c r="CQ8" s="99">
        <v>6811.1999999999989</v>
      </c>
      <c r="CR8" s="99">
        <v>22</v>
      </c>
      <c r="CS8" s="99">
        <v>6811.1999999999989</v>
      </c>
      <c r="CT8" s="99">
        <v>19</v>
      </c>
      <c r="CU8" s="99">
        <v>5882.4</v>
      </c>
    </row>
    <row r="9" spans="1:99">
      <c r="C9" s="98" t="s">
        <v>174</v>
      </c>
      <c r="D9" s="99">
        <v>12</v>
      </c>
      <c r="E9" s="99">
        <v>8424</v>
      </c>
      <c r="F9" s="99">
        <v>9</v>
      </c>
      <c r="G9" s="99">
        <v>6318</v>
      </c>
      <c r="H9" s="99">
        <v>12</v>
      </c>
      <c r="I9" s="99">
        <v>8424</v>
      </c>
      <c r="J9" s="99">
        <v>11</v>
      </c>
      <c r="K9" s="99">
        <v>7722</v>
      </c>
      <c r="L9" s="99">
        <v>11</v>
      </c>
      <c r="M9" s="99">
        <v>7722</v>
      </c>
      <c r="N9" s="99">
        <v>9</v>
      </c>
      <c r="O9" s="99">
        <v>6318</v>
      </c>
      <c r="P9" s="99">
        <v>16</v>
      </c>
      <c r="Q9" s="99">
        <v>11232</v>
      </c>
      <c r="R9" s="99">
        <v>15</v>
      </c>
      <c r="S9" s="99">
        <v>10530</v>
      </c>
      <c r="T9" s="99">
        <v>14</v>
      </c>
      <c r="U9" s="99">
        <v>9828</v>
      </c>
      <c r="V9" s="99">
        <v>10</v>
      </c>
      <c r="W9" s="99">
        <v>7020</v>
      </c>
      <c r="X9" s="99">
        <v>12</v>
      </c>
      <c r="Y9" s="99">
        <v>8424</v>
      </c>
      <c r="Z9" s="99">
        <v>16</v>
      </c>
      <c r="AA9" s="99">
        <v>11232</v>
      </c>
      <c r="AB9" s="99">
        <v>17</v>
      </c>
      <c r="AC9" s="99">
        <v>11934</v>
      </c>
      <c r="AD9" s="99">
        <v>9</v>
      </c>
      <c r="AE9" s="99">
        <v>6318</v>
      </c>
      <c r="AF9" s="99">
        <v>10</v>
      </c>
      <c r="AG9" s="99">
        <v>7020</v>
      </c>
      <c r="AH9" s="99">
        <v>13</v>
      </c>
      <c r="AI9" s="99">
        <v>9126</v>
      </c>
      <c r="AJ9" s="99">
        <v>15</v>
      </c>
      <c r="AK9" s="99">
        <v>10530</v>
      </c>
      <c r="AL9" s="99">
        <v>12</v>
      </c>
      <c r="AM9" s="99">
        <v>8424</v>
      </c>
      <c r="AN9" s="99">
        <v>19</v>
      </c>
      <c r="AO9" s="99">
        <v>13338</v>
      </c>
      <c r="AP9" s="99">
        <v>14</v>
      </c>
      <c r="AQ9" s="99">
        <v>9828</v>
      </c>
      <c r="AR9" s="99">
        <v>10</v>
      </c>
      <c r="AS9" s="99">
        <v>7020</v>
      </c>
      <c r="AT9" s="99">
        <v>15</v>
      </c>
      <c r="AU9" s="99">
        <v>10530</v>
      </c>
      <c r="AV9" s="99">
        <v>13</v>
      </c>
      <c r="AW9" s="99">
        <v>9126</v>
      </c>
      <c r="AX9" s="99">
        <v>10</v>
      </c>
      <c r="AY9" s="99">
        <v>7020</v>
      </c>
      <c r="AZ9" s="99">
        <v>19</v>
      </c>
      <c r="BA9" s="99">
        <v>13338</v>
      </c>
      <c r="BB9" s="99">
        <v>20</v>
      </c>
      <c r="BC9" s="99">
        <v>14040</v>
      </c>
      <c r="BD9" s="99">
        <v>10</v>
      </c>
      <c r="BE9" s="99">
        <v>7020</v>
      </c>
      <c r="BF9" s="99">
        <v>15</v>
      </c>
      <c r="BG9" s="99">
        <v>10530</v>
      </c>
      <c r="BH9" s="99">
        <v>15</v>
      </c>
      <c r="BI9" s="99">
        <v>10530</v>
      </c>
      <c r="BJ9" s="99">
        <v>14</v>
      </c>
      <c r="BK9" s="99">
        <v>9828</v>
      </c>
      <c r="BL9" s="99">
        <v>11</v>
      </c>
      <c r="BM9" s="99">
        <v>7722</v>
      </c>
      <c r="BN9" s="99">
        <v>11</v>
      </c>
      <c r="BO9" s="99">
        <v>7722</v>
      </c>
      <c r="BP9" s="99">
        <v>12</v>
      </c>
      <c r="BQ9" s="99">
        <v>8424</v>
      </c>
      <c r="BR9" s="99">
        <v>16</v>
      </c>
      <c r="BS9" s="99">
        <v>11232</v>
      </c>
      <c r="BT9" s="99">
        <v>19</v>
      </c>
      <c r="BU9" s="99">
        <v>13338</v>
      </c>
      <c r="BV9" s="99">
        <v>15</v>
      </c>
      <c r="BW9" s="99">
        <v>10530</v>
      </c>
      <c r="BX9" s="99">
        <v>21</v>
      </c>
      <c r="BY9" s="99">
        <v>14742</v>
      </c>
      <c r="BZ9" s="99">
        <v>13</v>
      </c>
      <c r="CA9" s="99">
        <v>9126</v>
      </c>
      <c r="CB9" s="99">
        <v>19</v>
      </c>
      <c r="CC9" s="99">
        <v>13338</v>
      </c>
      <c r="CD9" s="99">
        <v>22</v>
      </c>
      <c r="CE9" s="99">
        <v>15444</v>
      </c>
      <c r="CF9" s="99">
        <v>14</v>
      </c>
      <c r="CG9" s="99">
        <v>9828</v>
      </c>
      <c r="CH9" s="99">
        <v>11</v>
      </c>
      <c r="CI9" s="99">
        <v>7722</v>
      </c>
      <c r="CJ9" s="99">
        <v>23</v>
      </c>
      <c r="CK9" s="99">
        <v>16146</v>
      </c>
      <c r="CL9" s="99">
        <v>12</v>
      </c>
      <c r="CM9" s="99">
        <v>8424</v>
      </c>
      <c r="CN9" s="99">
        <v>13</v>
      </c>
      <c r="CO9" s="99">
        <v>9126</v>
      </c>
      <c r="CP9" s="99">
        <v>20</v>
      </c>
      <c r="CQ9" s="99">
        <v>14040</v>
      </c>
      <c r="CR9" s="99">
        <v>19</v>
      </c>
      <c r="CS9" s="99">
        <v>13338</v>
      </c>
      <c r="CT9" s="99">
        <v>17</v>
      </c>
      <c r="CU9" s="99">
        <v>11934</v>
      </c>
    </row>
    <row r="10" spans="1:99">
      <c r="C10" s="98" t="s">
        <v>175</v>
      </c>
      <c r="D10" s="99">
        <v>11</v>
      </c>
      <c r="E10" s="99">
        <v>5992.7999999999993</v>
      </c>
      <c r="F10" s="99">
        <v>11</v>
      </c>
      <c r="G10" s="99">
        <v>5992.7999999999993</v>
      </c>
      <c r="H10" s="99">
        <v>12</v>
      </c>
      <c r="I10" s="99">
        <v>6537.5999999999995</v>
      </c>
      <c r="J10" s="99">
        <v>12</v>
      </c>
      <c r="K10" s="99">
        <v>6537.5999999999995</v>
      </c>
      <c r="L10" s="99">
        <v>11</v>
      </c>
      <c r="M10" s="99">
        <v>5992.7999999999993</v>
      </c>
      <c r="N10" s="99">
        <v>9</v>
      </c>
      <c r="O10" s="99">
        <v>4903.2</v>
      </c>
      <c r="P10" s="99">
        <v>16</v>
      </c>
      <c r="Q10" s="99">
        <v>8716.7999999999993</v>
      </c>
      <c r="R10" s="99">
        <v>18</v>
      </c>
      <c r="S10" s="99">
        <v>9806.4</v>
      </c>
      <c r="T10" s="99">
        <v>15</v>
      </c>
      <c r="U10" s="99">
        <v>8171.9999999999991</v>
      </c>
      <c r="V10" s="99">
        <v>11</v>
      </c>
      <c r="W10" s="99">
        <v>5992.7999999999993</v>
      </c>
      <c r="X10" s="99">
        <v>12</v>
      </c>
      <c r="Y10" s="99">
        <v>6537.5999999999995</v>
      </c>
      <c r="Z10" s="99">
        <v>18</v>
      </c>
      <c r="AA10" s="99">
        <v>9806.4</v>
      </c>
      <c r="AB10" s="99">
        <v>15</v>
      </c>
      <c r="AC10" s="99">
        <v>8171.9999999999991</v>
      </c>
      <c r="AD10" s="99">
        <v>10</v>
      </c>
      <c r="AE10" s="99">
        <v>5448</v>
      </c>
      <c r="AF10" s="99">
        <v>12</v>
      </c>
      <c r="AG10" s="99">
        <v>6537.5999999999995</v>
      </c>
      <c r="AH10" s="99">
        <v>12</v>
      </c>
      <c r="AI10" s="99">
        <v>6537.5999999999995</v>
      </c>
      <c r="AJ10" s="99">
        <v>14</v>
      </c>
      <c r="AK10" s="99">
        <v>7627.1999999999989</v>
      </c>
      <c r="AL10" s="99">
        <v>15</v>
      </c>
      <c r="AM10" s="99">
        <v>8171.9999999999991</v>
      </c>
      <c r="AN10" s="99">
        <v>18</v>
      </c>
      <c r="AO10" s="99">
        <v>9806.4</v>
      </c>
      <c r="AP10" s="99">
        <v>14</v>
      </c>
      <c r="AQ10" s="99">
        <v>7627.1999999999989</v>
      </c>
      <c r="AR10" s="99">
        <v>9</v>
      </c>
      <c r="AS10" s="99">
        <v>4903.2</v>
      </c>
      <c r="AT10" s="99">
        <v>15</v>
      </c>
      <c r="AU10" s="99">
        <v>8171.9999999999991</v>
      </c>
      <c r="AV10" s="99">
        <v>12</v>
      </c>
      <c r="AW10" s="99">
        <v>6537.5999999999995</v>
      </c>
      <c r="AX10" s="99">
        <v>11</v>
      </c>
      <c r="AY10" s="99">
        <v>5992.7999999999993</v>
      </c>
      <c r="AZ10" s="99">
        <v>17</v>
      </c>
      <c r="BA10" s="99">
        <v>9261.5999999999985</v>
      </c>
      <c r="BB10" s="99">
        <v>20</v>
      </c>
      <c r="BC10" s="99">
        <v>10896</v>
      </c>
      <c r="BD10" s="99">
        <v>11</v>
      </c>
      <c r="BE10" s="99">
        <v>5992.7999999999993</v>
      </c>
      <c r="BF10" s="99">
        <v>16</v>
      </c>
      <c r="BG10" s="99">
        <v>8716.7999999999993</v>
      </c>
      <c r="BH10" s="99">
        <v>14</v>
      </c>
      <c r="BI10" s="99">
        <v>7627.1999999999989</v>
      </c>
      <c r="BJ10" s="99">
        <v>14</v>
      </c>
      <c r="BK10" s="99">
        <v>7627.1999999999989</v>
      </c>
      <c r="BL10" s="99">
        <v>10</v>
      </c>
      <c r="BM10" s="99">
        <v>5448</v>
      </c>
      <c r="BN10" s="99">
        <v>12</v>
      </c>
      <c r="BO10" s="99">
        <v>6537.5999999999995</v>
      </c>
      <c r="BP10" s="99">
        <v>13</v>
      </c>
      <c r="BQ10" s="99">
        <v>7082.4</v>
      </c>
      <c r="BR10" s="99">
        <v>14</v>
      </c>
      <c r="BS10" s="99">
        <v>7627.1999999999989</v>
      </c>
      <c r="BT10" s="99">
        <v>23</v>
      </c>
      <c r="BU10" s="99">
        <v>12530.4</v>
      </c>
      <c r="BV10" s="99">
        <v>15</v>
      </c>
      <c r="BW10" s="99">
        <v>8171.9999999999991</v>
      </c>
      <c r="BX10" s="99">
        <v>19</v>
      </c>
      <c r="BY10" s="99">
        <v>10351.199999999999</v>
      </c>
      <c r="BZ10" s="99">
        <v>15</v>
      </c>
      <c r="CA10" s="99">
        <v>8171.9999999999991</v>
      </c>
      <c r="CB10" s="99">
        <v>21</v>
      </c>
      <c r="CC10" s="99">
        <v>11440.8</v>
      </c>
      <c r="CD10" s="99">
        <v>20</v>
      </c>
      <c r="CE10" s="99">
        <v>10896</v>
      </c>
      <c r="CF10" s="99">
        <v>14</v>
      </c>
      <c r="CG10" s="99">
        <v>7627.1999999999989</v>
      </c>
      <c r="CH10" s="99">
        <v>11</v>
      </c>
      <c r="CI10" s="99">
        <v>5992.7999999999993</v>
      </c>
      <c r="CJ10" s="99">
        <v>20</v>
      </c>
      <c r="CK10" s="99">
        <v>10896</v>
      </c>
      <c r="CL10" s="99">
        <v>12</v>
      </c>
      <c r="CM10" s="99">
        <v>6537.5999999999995</v>
      </c>
      <c r="CN10" s="99">
        <v>12</v>
      </c>
      <c r="CO10" s="99">
        <v>6537.5999999999995</v>
      </c>
      <c r="CP10" s="99">
        <v>20</v>
      </c>
      <c r="CQ10" s="99">
        <v>10896</v>
      </c>
      <c r="CR10" s="99">
        <v>21</v>
      </c>
      <c r="CS10" s="99">
        <v>11440.8</v>
      </c>
      <c r="CT10" s="99">
        <v>17</v>
      </c>
      <c r="CU10" s="99">
        <v>9261.5999999999985</v>
      </c>
    </row>
    <row r="11" spans="1:99">
      <c r="C11" s="98" t="s">
        <v>176</v>
      </c>
      <c r="D11" s="99">
        <v>12</v>
      </c>
      <c r="E11" s="99">
        <v>6393.5999999999995</v>
      </c>
      <c r="F11" s="99">
        <v>10</v>
      </c>
      <c r="G11" s="99">
        <v>5328</v>
      </c>
      <c r="H11" s="99">
        <v>12</v>
      </c>
      <c r="I11" s="99">
        <v>6393.5999999999995</v>
      </c>
      <c r="J11" s="99">
        <v>11</v>
      </c>
      <c r="K11" s="99">
        <v>5860.7999999999993</v>
      </c>
      <c r="L11" s="99">
        <v>11</v>
      </c>
      <c r="M11" s="99">
        <v>5860.7999999999993</v>
      </c>
      <c r="N11" s="99">
        <v>9</v>
      </c>
      <c r="O11" s="99">
        <v>4795.2</v>
      </c>
      <c r="P11" s="99">
        <v>18</v>
      </c>
      <c r="Q11" s="99">
        <v>9590.4</v>
      </c>
      <c r="R11" s="99">
        <v>16</v>
      </c>
      <c r="S11" s="99">
        <v>8524.7999999999993</v>
      </c>
      <c r="T11" s="99">
        <v>16</v>
      </c>
      <c r="U11" s="99">
        <v>8524.7999999999993</v>
      </c>
      <c r="V11" s="99">
        <v>11</v>
      </c>
      <c r="W11" s="99">
        <v>5860.7999999999993</v>
      </c>
      <c r="X11" s="99">
        <v>11</v>
      </c>
      <c r="Y11" s="99">
        <v>5860.7999999999993</v>
      </c>
      <c r="Z11" s="99">
        <v>17</v>
      </c>
      <c r="AA11" s="99">
        <v>9057.5999999999985</v>
      </c>
      <c r="AB11" s="99">
        <v>16</v>
      </c>
      <c r="AC11" s="99">
        <v>8524.7999999999993</v>
      </c>
      <c r="AD11" s="99">
        <v>11</v>
      </c>
      <c r="AE11" s="99">
        <v>5860.7999999999993</v>
      </c>
      <c r="AF11" s="99">
        <v>11</v>
      </c>
      <c r="AG11" s="99">
        <v>5860.7999999999993</v>
      </c>
      <c r="AH11" s="99">
        <v>13</v>
      </c>
      <c r="AI11" s="99">
        <v>6926.4</v>
      </c>
      <c r="AJ11" s="99">
        <v>14</v>
      </c>
      <c r="AK11" s="99">
        <v>7459.1999999999989</v>
      </c>
      <c r="AL11" s="99">
        <v>13</v>
      </c>
      <c r="AM11" s="99">
        <v>6926.4</v>
      </c>
      <c r="AN11" s="99">
        <v>17</v>
      </c>
      <c r="AO11" s="99">
        <v>9057.5999999999985</v>
      </c>
      <c r="AP11" s="99">
        <v>12</v>
      </c>
      <c r="AQ11" s="99">
        <v>6393.5999999999995</v>
      </c>
      <c r="AR11" s="99">
        <v>11</v>
      </c>
      <c r="AS11" s="99">
        <v>5860.7999999999993</v>
      </c>
      <c r="AT11" s="99">
        <v>15</v>
      </c>
      <c r="AU11" s="99">
        <v>7991.9999999999991</v>
      </c>
      <c r="AV11" s="99">
        <v>11</v>
      </c>
      <c r="AW11" s="99">
        <v>5860.7999999999993</v>
      </c>
      <c r="AX11" s="99">
        <v>10</v>
      </c>
      <c r="AY11" s="99">
        <v>5328</v>
      </c>
      <c r="AZ11" s="99">
        <v>20</v>
      </c>
      <c r="BA11" s="99">
        <v>10656</v>
      </c>
      <c r="BB11" s="99">
        <v>20</v>
      </c>
      <c r="BC11" s="99">
        <v>10656</v>
      </c>
      <c r="BD11" s="99">
        <v>10</v>
      </c>
      <c r="BE11" s="99">
        <v>5328</v>
      </c>
      <c r="BF11" s="99">
        <v>14</v>
      </c>
      <c r="BG11" s="99">
        <v>7459.1999999999989</v>
      </c>
      <c r="BH11" s="99">
        <v>16</v>
      </c>
      <c r="BI11" s="99">
        <v>8524.7999999999993</v>
      </c>
      <c r="BJ11" s="99">
        <v>13</v>
      </c>
      <c r="BK11" s="99">
        <v>6926.4</v>
      </c>
      <c r="BL11" s="99">
        <v>10</v>
      </c>
      <c r="BM11" s="99">
        <v>5328</v>
      </c>
      <c r="BN11" s="99">
        <v>12</v>
      </c>
      <c r="BO11" s="99">
        <v>6393.5999999999995</v>
      </c>
      <c r="BP11" s="99">
        <v>12</v>
      </c>
      <c r="BQ11" s="99">
        <v>6393.5999999999995</v>
      </c>
      <c r="BR11" s="99">
        <v>17</v>
      </c>
      <c r="BS11" s="99">
        <v>9057.5999999999985</v>
      </c>
      <c r="BT11" s="99">
        <v>23</v>
      </c>
      <c r="BU11" s="99">
        <v>12254.4</v>
      </c>
      <c r="BV11" s="99">
        <v>17</v>
      </c>
      <c r="BW11" s="99">
        <v>9057.5999999999985</v>
      </c>
      <c r="BX11" s="99">
        <v>21</v>
      </c>
      <c r="BY11" s="99">
        <v>11188.8</v>
      </c>
      <c r="BZ11" s="99">
        <v>15</v>
      </c>
      <c r="CA11" s="99">
        <v>7991.9999999999991</v>
      </c>
      <c r="CB11" s="99">
        <v>19</v>
      </c>
      <c r="CC11" s="99">
        <v>10123.199999999999</v>
      </c>
      <c r="CD11" s="99">
        <v>20</v>
      </c>
      <c r="CE11" s="99">
        <v>10656</v>
      </c>
      <c r="CF11" s="99">
        <v>15</v>
      </c>
      <c r="CG11" s="99">
        <v>7991.9999999999991</v>
      </c>
      <c r="CH11" s="99">
        <v>12</v>
      </c>
      <c r="CI11" s="99">
        <v>6393.5999999999995</v>
      </c>
      <c r="CJ11" s="99">
        <v>23</v>
      </c>
      <c r="CK11" s="99">
        <v>12254.4</v>
      </c>
      <c r="CL11" s="99">
        <v>11</v>
      </c>
      <c r="CM11" s="99">
        <v>5860.7999999999993</v>
      </c>
      <c r="CN11" s="99">
        <v>12</v>
      </c>
      <c r="CO11" s="99">
        <v>6393.5999999999995</v>
      </c>
      <c r="CP11" s="99">
        <v>24</v>
      </c>
      <c r="CQ11" s="99">
        <v>12787.199999999999</v>
      </c>
      <c r="CR11" s="99">
        <v>21</v>
      </c>
      <c r="CS11" s="99">
        <v>11188.8</v>
      </c>
      <c r="CT11" s="99">
        <v>18</v>
      </c>
      <c r="CU11" s="99">
        <v>9590.4</v>
      </c>
    </row>
    <row r="12" spans="1:99">
      <c r="C12" s="98" t="s">
        <v>177</v>
      </c>
      <c r="D12" s="99">
        <v>12</v>
      </c>
      <c r="E12" s="99">
        <v>6753.5999999999995</v>
      </c>
      <c r="F12" s="99">
        <v>10</v>
      </c>
      <c r="G12" s="99">
        <v>5628</v>
      </c>
      <c r="H12" s="99">
        <v>12</v>
      </c>
      <c r="I12" s="99">
        <v>6753.5999999999995</v>
      </c>
      <c r="J12" s="99">
        <v>12</v>
      </c>
      <c r="K12" s="99">
        <v>6753.5999999999995</v>
      </c>
      <c r="L12" s="99">
        <v>10</v>
      </c>
      <c r="M12" s="99">
        <v>5628</v>
      </c>
      <c r="N12" s="99">
        <v>11</v>
      </c>
      <c r="O12" s="99">
        <v>6190.7999999999993</v>
      </c>
      <c r="P12" s="99">
        <v>19</v>
      </c>
      <c r="Q12" s="99">
        <v>10693.199999999999</v>
      </c>
      <c r="R12" s="99">
        <v>16</v>
      </c>
      <c r="S12" s="99">
        <v>9004.7999999999993</v>
      </c>
      <c r="T12" s="99">
        <v>14</v>
      </c>
      <c r="U12" s="99">
        <v>7879.1999999999989</v>
      </c>
      <c r="V12" s="99">
        <v>10</v>
      </c>
      <c r="W12" s="99">
        <v>5628</v>
      </c>
      <c r="X12" s="99">
        <v>11</v>
      </c>
      <c r="Y12" s="99">
        <v>6190.7999999999993</v>
      </c>
      <c r="Z12" s="99">
        <v>16</v>
      </c>
      <c r="AA12" s="99">
        <v>9004.7999999999993</v>
      </c>
      <c r="AB12" s="99">
        <v>16</v>
      </c>
      <c r="AC12" s="99">
        <v>9004.7999999999993</v>
      </c>
      <c r="AD12" s="99">
        <v>11</v>
      </c>
      <c r="AE12" s="99">
        <v>6190.7999999999993</v>
      </c>
      <c r="AF12" s="99">
        <v>11</v>
      </c>
      <c r="AG12" s="99">
        <v>6190.7999999999993</v>
      </c>
      <c r="AH12" s="99">
        <v>12</v>
      </c>
      <c r="AI12" s="99">
        <v>6753.5999999999995</v>
      </c>
      <c r="AJ12" s="99">
        <v>14</v>
      </c>
      <c r="AK12" s="99">
        <v>7879.1999999999989</v>
      </c>
      <c r="AL12" s="99">
        <v>12</v>
      </c>
      <c r="AM12" s="99">
        <v>6753.5999999999995</v>
      </c>
      <c r="AN12" s="99">
        <v>17</v>
      </c>
      <c r="AO12" s="99">
        <v>9567.5999999999985</v>
      </c>
      <c r="AP12" s="99">
        <v>12</v>
      </c>
      <c r="AQ12" s="99">
        <v>6753.5999999999995</v>
      </c>
      <c r="AR12" s="99">
        <v>11</v>
      </c>
      <c r="AS12" s="99">
        <v>6190.7999999999993</v>
      </c>
      <c r="AT12" s="99">
        <v>17</v>
      </c>
      <c r="AU12" s="99">
        <v>9567.5999999999985</v>
      </c>
      <c r="AV12" s="99">
        <v>12</v>
      </c>
      <c r="AW12" s="99">
        <v>6753.5999999999995</v>
      </c>
      <c r="AX12" s="99">
        <v>11</v>
      </c>
      <c r="AY12" s="99">
        <v>6190.7999999999993</v>
      </c>
      <c r="AZ12" s="99">
        <v>18</v>
      </c>
      <c r="BA12" s="99">
        <v>10130.4</v>
      </c>
      <c r="BB12" s="99">
        <v>20</v>
      </c>
      <c r="BC12" s="99">
        <v>11256</v>
      </c>
      <c r="BD12" s="99">
        <v>10</v>
      </c>
      <c r="BE12" s="99">
        <v>5628</v>
      </c>
      <c r="BF12" s="99">
        <v>15</v>
      </c>
      <c r="BG12" s="99">
        <v>8442</v>
      </c>
      <c r="BH12" s="99">
        <v>13</v>
      </c>
      <c r="BI12" s="99">
        <v>7316.4</v>
      </c>
      <c r="BJ12" s="99">
        <v>13</v>
      </c>
      <c r="BK12" s="99">
        <v>7316.4</v>
      </c>
      <c r="BL12" s="99">
        <v>11</v>
      </c>
      <c r="BM12" s="99">
        <v>6190.7999999999993</v>
      </c>
      <c r="BN12" s="99">
        <v>12</v>
      </c>
      <c r="BO12" s="99">
        <v>6753.5999999999995</v>
      </c>
      <c r="BP12" s="99">
        <v>13</v>
      </c>
      <c r="BQ12" s="99">
        <v>7316.4</v>
      </c>
      <c r="BR12" s="99">
        <v>15</v>
      </c>
      <c r="BS12" s="99">
        <v>8442</v>
      </c>
      <c r="BT12" s="99">
        <v>22</v>
      </c>
      <c r="BU12" s="99">
        <v>12381.599999999999</v>
      </c>
      <c r="BV12" s="99">
        <v>16</v>
      </c>
      <c r="BW12" s="99">
        <v>9004.7999999999993</v>
      </c>
      <c r="BX12" s="99">
        <v>19</v>
      </c>
      <c r="BY12" s="99">
        <v>10693.199999999999</v>
      </c>
      <c r="BZ12" s="99">
        <v>16</v>
      </c>
      <c r="CA12" s="99">
        <v>9004.7999999999993</v>
      </c>
      <c r="CB12" s="99">
        <v>18</v>
      </c>
      <c r="CC12" s="99">
        <v>10130.4</v>
      </c>
      <c r="CD12" s="99">
        <v>21</v>
      </c>
      <c r="CE12" s="99">
        <v>11818.8</v>
      </c>
      <c r="CF12" s="99">
        <v>15</v>
      </c>
      <c r="CG12" s="99">
        <v>8442</v>
      </c>
      <c r="CH12" s="99">
        <v>11</v>
      </c>
      <c r="CI12" s="99">
        <v>6190.7999999999993</v>
      </c>
      <c r="CJ12" s="99">
        <v>22</v>
      </c>
      <c r="CK12" s="99">
        <v>12381.599999999999</v>
      </c>
      <c r="CL12" s="99">
        <v>10</v>
      </c>
      <c r="CM12" s="99">
        <v>5628</v>
      </c>
      <c r="CN12" s="99">
        <v>13</v>
      </c>
      <c r="CO12" s="99">
        <v>7316.4</v>
      </c>
      <c r="CP12" s="99">
        <v>21</v>
      </c>
      <c r="CQ12" s="99">
        <v>11818.8</v>
      </c>
      <c r="CR12" s="99">
        <v>19</v>
      </c>
      <c r="CS12" s="99">
        <v>10693.199999999999</v>
      </c>
      <c r="CT12" s="99">
        <v>17</v>
      </c>
      <c r="CU12" s="99">
        <v>9567.5999999999985</v>
      </c>
    </row>
    <row r="13" spans="1:99">
      <c r="C13" s="98" t="s">
        <v>178</v>
      </c>
      <c r="D13" s="99">
        <v>12</v>
      </c>
      <c r="E13" s="99">
        <v>1022.4000000000001</v>
      </c>
      <c r="F13" s="99">
        <v>10</v>
      </c>
      <c r="G13" s="99">
        <v>852</v>
      </c>
      <c r="H13" s="99">
        <v>13</v>
      </c>
      <c r="I13" s="99">
        <v>1107.6000000000001</v>
      </c>
      <c r="J13" s="99">
        <v>13</v>
      </c>
      <c r="K13" s="99">
        <v>1107.6000000000001</v>
      </c>
      <c r="L13" s="99">
        <v>10</v>
      </c>
      <c r="M13" s="99">
        <v>852</v>
      </c>
      <c r="N13" s="99">
        <v>10</v>
      </c>
      <c r="O13" s="99">
        <v>852</v>
      </c>
      <c r="P13" s="99">
        <v>17</v>
      </c>
      <c r="Q13" s="99">
        <v>1448.4</v>
      </c>
      <c r="R13" s="99">
        <v>18</v>
      </c>
      <c r="S13" s="99">
        <v>1533.6000000000001</v>
      </c>
      <c r="T13" s="99">
        <v>17</v>
      </c>
      <c r="U13" s="99">
        <v>1448.4</v>
      </c>
      <c r="V13" s="99">
        <v>10</v>
      </c>
      <c r="W13" s="99">
        <v>852</v>
      </c>
      <c r="X13" s="99">
        <v>13</v>
      </c>
      <c r="Y13" s="99">
        <v>1107.6000000000001</v>
      </c>
      <c r="Z13" s="99">
        <v>17</v>
      </c>
      <c r="AA13" s="99">
        <v>1448.4</v>
      </c>
      <c r="AB13" s="99">
        <v>17</v>
      </c>
      <c r="AC13" s="99">
        <v>1448.4</v>
      </c>
      <c r="AD13" s="99">
        <v>10</v>
      </c>
      <c r="AE13" s="99">
        <v>852</v>
      </c>
      <c r="AF13" s="99">
        <v>13</v>
      </c>
      <c r="AG13" s="99">
        <v>1107.6000000000001</v>
      </c>
      <c r="AH13" s="99">
        <v>13</v>
      </c>
      <c r="AI13" s="99">
        <v>1107.6000000000001</v>
      </c>
      <c r="AJ13" s="99">
        <v>14</v>
      </c>
      <c r="AK13" s="99">
        <v>1192.8</v>
      </c>
      <c r="AL13" s="99">
        <v>14</v>
      </c>
      <c r="AM13" s="99">
        <v>1192.8</v>
      </c>
      <c r="AN13" s="99">
        <v>20</v>
      </c>
      <c r="AO13" s="99">
        <v>1704</v>
      </c>
      <c r="AP13" s="99">
        <v>13</v>
      </c>
      <c r="AQ13" s="99">
        <v>1107.6000000000001</v>
      </c>
      <c r="AR13" s="99">
        <v>11</v>
      </c>
      <c r="AS13" s="99">
        <v>937.2</v>
      </c>
      <c r="AT13" s="99">
        <v>17</v>
      </c>
      <c r="AU13" s="99">
        <v>1448.4</v>
      </c>
      <c r="AV13" s="99">
        <v>14</v>
      </c>
      <c r="AW13" s="99">
        <v>1192.8</v>
      </c>
      <c r="AX13" s="99">
        <v>12</v>
      </c>
      <c r="AY13" s="99">
        <v>1022.4000000000001</v>
      </c>
      <c r="AZ13" s="99">
        <v>20</v>
      </c>
      <c r="BA13" s="99">
        <v>1704</v>
      </c>
      <c r="BB13" s="99">
        <v>19</v>
      </c>
      <c r="BC13" s="99">
        <v>1618.8</v>
      </c>
      <c r="BD13" s="99">
        <v>12</v>
      </c>
      <c r="BE13" s="99">
        <v>1022.4000000000001</v>
      </c>
      <c r="BF13" s="99">
        <v>18</v>
      </c>
      <c r="BG13" s="99">
        <v>1533.6000000000001</v>
      </c>
      <c r="BH13" s="99">
        <v>14</v>
      </c>
      <c r="BI13" s="99">
        <v>1192.8</v>
      </c>
      <c r="BJ13" s="99">
        <v>15</v>
      </c>
      <c r="BK13" s="99">
        <v>1278</v>
      </c>
      <c r="BL13" s="99">
        <v>10</v>
      </c>
      <c r="BM13" s="99">
        <v>852</v>
      </c>
      <c r="BN13" s="99">
        <v>13</v>
      </c>
      <c r="BO13" s="99">
        <v>1107.6000000000001</v>
      </c>
      <c r="BP13" s="99">
        <v>14</v>
      </c>
      <c r="BQ13" s="99">
        <v>1192.8</v>
      </c>
      <c r="BR13" s="99">
        <v>16</v>
      </c>
      <c r="BS13" s="99">
        <v>1363.2</v>
      </c>
      <c r="BT13" s="99">
        <v>24</v>
      </c>
      <c r="BU13" s="99">
        <v>2044.8000000000002</v>
      </c>
      <c r="BV13" s="99">
        <v>17</v>
      </c>
      <c r="BW13" s="99">
        <v>1448.4</v>
      </c>
      <c r="BX13" s="99">
        <v>22</v>
      </c>
      <c r="BY13" s="99">
        <v>1874.4</v>
      </c>
      <c r="BZ13" s="99">
        <v>15</v>
      </c>
      <c r="CA13" s="99">
        <v>1278</v>
      </c>
      <c r="CB13" s="99">
        <v>23</v>
      </c>
      <c r="CC13" s="99">
        <v>1959.6000000000001</v>
      </c>
      <c r="CD13" s="99">
        <v>24</v>
      </c>
      <c r="CE13" s="99">
        <v>2044.8000000000002</v>
      </c>
      <c r="CF13" s="99">
        <v>16</v>
      </c>
      <c r="CG13" s="99">
        <v>1363.2</v>
      </c>
      <c r="CH13" s="99">
        <v>12</v>
      </c>
      <c r="CI13" s="99">
        <v>1022.4000000000001</v>
      </c>
      <c r="CJ13" s="99">
        <v>22</v>
      </c>
      <c r="CK13" s="99">
        <v>1874.4</v>
      </c>
      <c r="CL13" s="99">
        <v>12</v>
      </c>
      <c r="CM13" s="99">
        <v>1022.4000000000001</v>
      </c>
      <c r="CN13" s="99">
        <v>15</v>
      </c>
      <c r="CO13" s="99">
        <v>1278</v>
      </c>
      <c r="CP13" s="99">
        <v>23</v>
      </c>
      <c r="CQ13" s="99">
        <v>1959.6000000000001</v>
      </c>
      <c r="CR13" s="99">
        <v>22</v>
      </c>
      <c r="CS13" s="99">
        <v>1874.4</v>
      </c>
      <c r="CT13" s="99">
        <v>19</v>
      </c>
      <c r="CU13" s="99">
        <v>1618.8</v>
      </c>
    </row>
    <row r="14" spans="1:99">
      <c r="C14" s="98" t="s">
        <v>179</v>
      </c>
      <c r="D14" s="99">
        <v>11</v>
      </c>
      <c r="E14" s="99">
        <v>5372.4</v>
      </c>
      <c r="F14" s="99">
        <v>10</v>
      </c>
      <c r="G14" s="99">
        <v>4884</v>
      </c>
      <c r="H14" s="99">
        <v>13</v>
      </c>
      <c r="I14" s="99">
        <v>6349.2</v>
      </c>
      <c r="J14" s="99">
        <v>11</v>
      </c>
      <c r="K14" s="99">
        <v>5372.4</v>
      </c>
      <c r="L14" s="99">
        <v>10</v>
      </c>
      <c r="M14" s="99">
        <v>4884</v>
      </c>
      <c r="N14" s="99">
        <v>9</v>
      </c>
      <c r="O14" s="99">
        <v>4395.5999999999995</v>
      </c>
      <c r="P14" s="99">
        <v>16</v>
      </c>
      <c r="Q14" s="99">
        <v>7814.4</v>
      </c>
      <c r="R14" s="99">
        <v>15</v>
      </c>
      <c r="S14" s="99">
        <v>7326</v>
      </c>
      <c r="T14" s="99">
        <v>16</v>
      </c>
      <c r="U14" s="99">
        <v>7814.4</v>
      </c>
      <c r="V14" s="99">
        <v>11</v>
      </c>
      <c r="W14" s="99">
        <v>5372.4</v>
      </c>
      <c r="X14" s="99">
        <v>12</v>
      </c>
      <c r="Y14" s="99">
        <v>5860.7999999999993</v>
      </c>
      <c r="Z14" s="99">
        <v>17</v>
      </c>
      <c r="AA14" s="99">
        <v>8302.7999999999993</v>
      </c>
      <c r="AB14" s="99">
        <v>15</v>
      </c>
      <c r="AC14" s="99">
        <v>7326</v>
      </c>
      <c r="AD14" s="99">
        <v>10</v>
      </c>
      <c r="AE14" s="99">
        <v>4884</v>
      </c>
      <c r="AF14" s="99">
        <v>11</v>
      </c>
      <c r="AG14" s="99">
        <v>5372.4</v>
      </c>
      <c r="AH14" s="99">
        <v>13</v>
      </c>
      <c r="AI14" s="99">
        <v>6349.2</v>
      </c>
      <c r="AJ14" s="99">
        <v>14</v>
      </c>
      <c r="AK14" s="99">
        <v>6837.5999999999995</v>
      </c>
      <c r="AL14" s="99">
        <v>14</v>
      </c>
      <c r="AM14" s="99">
        <v>6837.5999999999995</v>
      </c>
      <c r="AN14" s="99">
        <v>16</v>
      </c>
      <c r="AO14" s="99">
        <v>7814.4</v>
      </c>
      <c r="AP14" s="99">
        <v>14</v>
      </c>
      <c r="AQ14" s="99">
        <v>6837.5999999999995</v>
      </c>
      <c r="AR14" s="99">
        <v>11</v>
      </c>
      <c r="AS14" s="99">
        <v>5372.4</v>
      </c>
      <c r="AT14" s="99">
        <v>17</v>
      </c>
      <c r="AU14" s="99">
        <v>8302.7999999999993</v>
      </c>
      <c r="AV14" s="99">
        <v>12</v>
      </c>
      <c r="AW14" s="99">
        <v>5860.7999999999993</v>
      </c>
      <c r="AX14" s="99">
        <v>11</v>
      </c>
      <c r="AY14" s="99">
        <v>5372.4</v>
      </c>
      <c r="AZ14" s="99">
        <v>19</v>
      </c>
      <c r="BA14" s="99">
        <v>9279.6</v>
      </c>
      <c r="BB14" s="99">
        <v>19</v>
      </c>
      <c r="BC14" s="99">
        <v>9279.6</v>
      </c>
      <c r="BD14" s="99">
        <v>11</v>
      </c>
      <c r="BE14" s="99">
        <v>5372.4</v>
      </c>
      <c r="BF14" s="99">
        <v>18</v>
      </c>
      <c r="BG14" s="99">
        <v>8791.1999999999989</v>
      </c>
      <c r="BH14" s="99">
        <v>15</v>
      </c>
      <c r="BI14" s="99">
        <v>7326</v>
      </c>
      <c r="BJ14" s="99">
        <v>13</v>
      </c>
      <c r="BK14" s="99">
        <v>6349.2</v>
      </c>
      <c r="BL14" s="99">
        <v>10</v>
      </c>
      <c r="BM14" s="99">
        <v>4884</v>
      </c>
      <c r="BN14" s="99">
        <v>11</v>
      </c>
      <c r="BO14" s="99">
        <v>5372.4</v>
      </c>
      <c r="BP14" s="99">
        <v>13</v>
      </c>
      <c r="BQ14" s="99">
        <v>6349.2</v>
      </c>
      <c r="BR14" s="99">
        <v>15</v>
      </c>
      <c r="BS14" s="99">
        <v>7326</v>
      </c>
      <c r="BT14" s="99">
        <v>23</v>
      </c>
      <c r="BU14" s="99">
        <v>11233.199999999999</v>
      </c>
      <c r="BV14" s="99">
        <v>15</v>
      </c>
      <c r="BW14" s="99">
        <v>7326</v>
      </c>
      <c r="BX14" s="99">
        <v>19</v>
      </c>
      <c r="BY14" s="99">
        <v>9279.6</v>
      </c>
      <c r="BZ14" s="99">
        <v>15</v>
      </c>
      <c r="CA14" s="99">
        <v>7326</v>
      </c>
      <c r="CB14" s="99">
        <v>21</v>
      </c>
      <c r="CC14" s="99">
        <v>10256.4</v>
      </c>
      <c r="CD14" s="99">
        <v>20</v>
      </c>
      <c r="CE14" s="99">
        <v>9768</v>
      </c>
      <c r="CF14" s="99">
        <v>15</v>
      </c>
      <c r="CG14" s="99">
        <v>7326</v>
      </c>
      <c r="CH14" s="99">
        <v>10</v>
      </c>
      <c r="CI14" s="99">
        <v>4884</v>
      </c>
      <c r="CJ14" s="99">
        <v>21</v>
      </c>
      <c r="CK14" s="99">
        <v>10256.4</v>
      </c>
      <c r="CL14" s="99">
        <v>12</v>
      </c>
      <c r="CM14" s="99">
        <v>5860.7999999999993</v>
      </c>
      <c r="CN14" s="99">
        <v>14</v>
      </c>
      <c r="CO14" s="99">
        <v>6837.5999999999995</v>
      </c>
      <c r="CP14" s="99">
        <v>23</v>
      </c>
      <c r="CQ14" s="99">
        <v>11233.199999999999</v>
      </c>
      <c r="CR14" s="99">
        <v>21</v>
      </c>
      <c r="CS14" s="99">
        <v>10256.4</v>
      </c>
      <c r="CT14" s="99">
        <v>18</v>
      </c>
      <c r="CU14" s="99">
        <v>8791.1999999999989</v>
      </c>
    </row>
    <row r="15" spans="1:99">
      <c r="C15" s="98" t="s">
        <v>180</v>
      </c>
      <c r="D15" s="99">
        <v>11</v>
      </c>
      <c r="E15" s="99">
        <v>8395.1999999999989</v>
      </c>
      <c r="F15" s="99">
        <v>10</v>
      </c>
      <c r="G15" s="99">
        <v>7631.9999999999991</v>
      </c>
      <c r="H15" s="99">
        <v>12</v>
      </c>
      <c r="I15" s="99">
        <v>9158.4</v>
      </c>
      <c r="J15" s="99">
        <v>12</v>
      </c>
      <c r="K15" s="99">
        <v>9158.4</v>
      </c>
      <c r="L15" s="99">
        <v>9</v>
      </c>
      <c r="M15" s="99">
        <v>6868.7999999999993</v>
      </c>
      <c r="N15" s="99">
        <v>9</v>
      </c>
      <c r="O15" s="99">
        <v>6868.7999999999993</v>
      </c>
      <c r="P15" s="99">
        <v>18</v>
      </c>
      <c r="Q15" s="99">
        <v>13737.599999999999</v>
      </c>
      <c r="R15" s="99">
        <v>17</v>
      </c>
      <c r="S15" s="99">
        <v>12974.4</v>
      </c>
      <c r="T15" s="99">
        <v>14</v>
      </c>
      <c r="U15" s="99">
        <v>10684.8</v>
      </c>
      <c r="V15" s="99">
        <v>9</v>
      </c>
      <c r="W15" s="99">
        <v>6868.7999999999993</v>
      </c>
      <c r="X15" s="99">
        <v>10</v>
      </c>
      <c r="Y15" s="99">
        <v>7631.9999999999991</v>
      </c>
      <c r="Z15" s="99">
        <v>17</v>
      </c>
      <c r="AA15" s="99">
        <v>12974.4</v>
      </c>
      <c r="AB15" s="99">
        <v>15</v>
      </c>
      <c r="AC15" s="99">
        <v>11447.999999999998</v>
      </c>
      <c r="AD15" s="99">
        <v>10</v>
      </c>
      <c r="AE15" s="99">
        <v>7631.9999999999991</v>
      </c>
      <c r="AF15" s="99">
        <v>12</v>
      </c>
      <c r="AG15" s="99">
        <v>9158.4</v>
      </c>
      <c r="AH15" s="99">
        <v>11</v>
      </c>
      <c r="AI15" s="99">
        <v>8395.1999999999989</v>
      </c>
      <c r="AJ15" s="99">
        <v>14</v>
      </c>
      <c r="AK15" s="99">
        <v>10684.8</v>
      </c>
      <c r="AL15" s="99">
        <v>12</v>
      </c>
      <c r="AM15" s="99">
        <v>9158.4</v>
      </c>
      <c r="AN15" s="99">
        <v>17</v>
      </c>
      <c r="AO15" s="99">
        <v>12974.4</v>
      </c>
      <c r="AP15" s="99">
        <v>12</v>
      </c>
      <c r="AQ15" s="99">
        <v>9158.4</v>
      </c>
      <c r="AR15" s="99">
        <v>11</v>
      </c>
      <c r="AS15" s="99">
        <v>8395.1999999999989</v>
      </c>
      <c r="AT15" s="99">
        <v>16</v>
      </c>
      <c r="AU15" s="99">
        <v>12211.199999999999</v>
      </c>
      <c r="AV15" s="99">
        <v>13</v>
      </c>
      <c r="AW15" s="99">
        <v>9921.5999999999985</v>
      </c>
      <c r="AX15" s="99">
        <v>9</v>
      </c>
      <c r="AY15" s="99">
        <v>6868.7999999999993</v>
      </c>
      <c r="AZ15" s="99">
        <v>19</v>
      </c>
      <c r="BA15" s="99">
        <v>14500.8</v>
      </c>
      <c r="BB15" s="99">
        <v>20</v>
      </c>
      <c r="BC15" s="99">
        <v>15263.999999999998</v>
      </c>
      <c r="BD15" s="99">
        <v>10</v>
      </c>
      <c r="BE15" s="99">
        <v>7631.9999999999991</v>
      </c>
      <c r="BF15" s="99">
        <v>17</v>
      </c>
      <c r="BG15" s="99">
        <v>12974.4</v>
      </c>
      <c r="BH15" s="99">
        <v>14</v>
      </c>
      <c r="BI15" s="99">
        <v>10684.8</v>
      </c>
      <c r="BJ15" s="99">
        <v>12</v>
      </c>
      <c r="BK15" s="99">
        <v>9158.4</v>
      </c>
      <c r="BL15" s="99">
        <v>11</v>
      </c>
      <c r="BM15" s="99">
        <v>8395.1999999999989</v>
      </c>
      <c r="BN15" s="99">
        <v>12</v>
      </c>
      <c r="BO15" s="99">
        <v>9158.4</v>
      </c>
      <c r="BP15" s="99">
        <v>13</v>
      </c>
      <c r="BQ15" s="99">
        <v>9921.5999999999985</v>
      </c>
      <c r="BR15" s="99">
        <v>14</v>
      </c>
      <c r="BS15" s="99">
        <v>10684.8</v>
      </c>
      <c r="BT15" s="99">
        <v>22</v>
      </c>
      <c r="BU15" s="99">
        <v>16790.399999999998</v>
      </c>
      <c r="BV15" s="99">
        <v>16</v>
      </c>
      <c r="BW15" s="99">
        <v>12211.199999999999</v>
      </c>
      <c r="BX15" s="99">
        <v>21</v>
      </c>
      <c r="BY15" s="99">
        <v>16027.199999999999</v>
      </c>
      <c r="BZ15" s="99">
        <v>15</v>
      </c>
      <c r="CA15" s="99">
        <v>11447.999999999998</v>
      </c>
      <c r="CB15" s="99">
        <v>20</v>
      </c>
      <c r="CC15" s="99">
        <v>15263.999999999998</v>
      </c>
      <c r="CD15" s="99">
        <v>22</v>
      </c>
      <c r="CE15" s="99">
        <v>16790.399999999998</v>
      </c>
      <c r="CF15" s="99">
        <v>15</v>
      </c>
      <c r="CG15" s="99">
        <v>11447.999999999998</v>
      </c>
      <c r="CH15" s="99">
        <v>11</v>
      </c>
      <c r="CI15" s="99">
        <v>8395.1999999999989</v>
      </c>
      <c r="CJ15" s="99">
        <v>22</v>
      </c>
      <c r="CK15" s="99">
        <v>16790.399999999998</v>
      </c>
      <c r="CL15" s="99">
        <v>11</v>
      </c>
      <c r="CM15" s="99">
        <v>8395.1999999999989</v>
      </c>
      <c r="CN15" s="99">
        <v>12</v>
      </c>
      <c r="CO15" s="99">
        <v>9158.4</v>
      </c>
      <c r="CP15" s="99">
        <v>21</v>
      </c>
      <c r="CQ15" s="99">
        <v>16027.199999999999</v>
      </c>
      <c r="CR15" s="99">
        <v>21</v>
      </c>
      <c r="CS15" s="99">
        <v>16027.199999999999</v>
      </c>
      <c r="CT15" s="99">
        <v>17</v>
      </c>
      <c r="CU15" s="99">
        <v>12974.4</v>
      </c>
    </row>
    <row r="16" spans="1:99">
      <c r="C16" s="98" t="s">
        <v>181</v>
      </c>
      <c r="D16" s="99">
        <v>13</v>
      </c>
      <c r="E16" s="99">
        <v>4430.4000000000005</v>
      </c>
      <c r="F16" s="99">
        <v>10</v>
      </c>
      <c r="G16" s="99">
        <v>3408</v>
      </c>
      <c r="H16" s="99">
        <v>13</v>
      </c>
      <c r="I16" s="99">
        <v>4430.4000000000005</v>
      </c>
      <c r="J16" s="99">
        <v>12</v>
      </c>
      <c r="K16" s="99">
        <v>4089.6000000000004</v>
      </c>
      <c r="L16" s="99">
        <v>11</v>
      </c>
      <c r="M16" s="99">
        <v>3748.8</v>
      </c>
      <c r="N16" s="99">
        <v>10</v>
      </c>
      <c r="O16" s="99">
        <v>3408</v>
      </c>
      <c r="P16" s="99">
        <v>17</v>
      </c>
      <c r="Q16" s="99">
        <v>5793.6</v>
      </c>
      <c r="R16" s="99">
        <v>16</v>
      </c>
      <c r="S16" s="99">
        <v>5452.8</v>
      </c>
      <c r="T16" s="99">
        <v>17</v>
      </c>
      <c r="U16" s="99">
        <v>5793.6</v>
      </c>
      <c r="V16" s="99">
        <v>11</v>
      </c>
      <c r="W16" s="99">
        <v>3748.8</v>
      </c>
      <c r="X16" s="99">
        <v>12</v>
      </c>
      <c r="Y16" s="99">
        <v>4089.6000000000004</v>
      </c>
      <c r="Z16" s="99">
        <v>17</v>
      </c>
      <c r="AA16" s="99">
        <v>5793.6</v>
      </c>
      <c r="AB16" s="99">
        <v>15</v>
      </c>
      <c r="AC16" s="99">
        <v>5112</v>
      </c>
      <c r="AD16" s="99">
        <v>9</v>
      </c>
      <c r="AE16" s="99">
        <v>3067.2000000000003</v>
      </c>
      <c r="AF16" s="99">
        <v>12</v>
      </c>
      <c r="AG16" s="99">
        <v>4089.6000000000004</v>
      </c>
      <c r="AH16" s="99">
        <v>12</v>
      </c>
      <c r="AI16" s="99">
        <v>4089.6000000000004</v>
      </c>
      <c r="AJ16" s="99">
        <v>13</v>
      </c>
      <c r="AK16" s="99">
        <v>4430.4000000000005</v>
      </c>
      <c r="AL16" s="99">
        <v>15</v>
      </c>
      <c r="AM16" s="99">
        <v>5112</v>
      </c>
      <c r="AN16" s="99">
        <v>17</v>
      </c>
      <c r="AO16" s="99">
        <v>5793.6</v>
      </c>
      <c r="AP16" s="99">
        <v>14</v>
      </c>
      <c r="AQ16" s="99">
        <v>4771.2</v>
      </c>
      <c r="AR16" s="99">
        <v>11</v>
      </c>
      <c r="AS16" s="99">
        <v>3748.8</v>
      </c>
      <c r="AT16" s="99">
        <v>17</v>
      </c>
      <c r="AU16" s="99">
        <v>5793.6</v>
      </c>
      <c r="AV16" s="99">
        <v>13</v>
      </c>
      <c r="AW16" s="99">
        <v>4430.4000000000005</v>
      </c>
      <c r="AX16" s="99">
        <v>10</v>
      </c>
      <c r="AY16" s="99">
        <v>3408</v>
      </c>
      <c r="AZ16" s="99">
        <v>19</v>
      </c>
      <c r="BA16" s="99">
        <v>6475.2</v>
      </c>
      <c r="BB16" s="99">
        <v>22</v>
      </c>
      <c r="BC16" s="99">
        <v>7497.6</v>
      </c>
      <c r="BD16" s="99">
        <v>10</v>
      </c>
      <c r="BE16" s="99">
        <v>3408</v>
      </c>
      <c r="BF16" s="99">
        <v>16</v>
      </c>
      <c r="BG16" s="99">
        <v>5452.8</v>
      </c>
      <c r="BH16" s="99">
        <v>14</v>
      </c>
      <c r="BI16" s="99">
        <v>4771.2</v>
      </c>
      <c r="BJ16" s="99">
        <v>13</v>
      </c>
      <c r="BK16" s="99">
        <v>4430.4000000000005</v>
      </c>
      <c r="BL16" s="99">
        <v>10</v>
      </c>
      <c r="BM16" s="99">
        <v>3408</v>
      </c>
      <c r="BN16" s="99">
        <v>12</v>
      </c>
      <c r="BO16" s="99">
        <v>4089.6000000000004</v>
      </c>
      <c r="BP16" s="99">
        <v>14</v>
      </c>
      <c r="BQ16" s="99">
        <v>4771.2</v>
      </c>
      <c r="BR16" s="99">
        <v>16</v>
      </c>
      <c r="BS16" s="99">
        <v>5452.8</v>
      </c>
      <c r="BT16" s="99">
        <v>21</v>
      </c>
      <c r="BU16" s="99">
        <v>7156.8</v>
      </c>
      <c r="BV16" s="99">
        <v>16</v>
      </c>
      <c r="BW16" s="99">
        <v>5452.8</v>
      </c>
      <c r="BX16" s="99">
        <v>22</v>
      </c>
      <c r="BY16" s="99">
        <v>7497.6</v>
      </c>
      <c r="BZ16" s="99">
        <v>15</v>
      </c>
      <c r="CA16" s="99">
        <v>5112</v>
      </c>
      <c r="CB16" s="99">
        <v>20</v>
      </c>
      <c r="CC16" s="99">
        <v>6816</v>
      </c>
      <c r="CD16" s="99">
        <v>24</v>
      </c>
      <c r="CE16" s="99">
        <v>8179.2000000000007</v>
      </c>
      <c r="CF16" s="99">
        <v>15</v>
      </c>
      <c r="CG16" s="99">
        <v>5112</v>
      </c>
      <c r="CH16" s="99">
        <v>12</v>
      </c>
      <c r="CI16" s="99">
        <v>4089.6000000000004</v>
      </c>
      <c r="CJ16" s="99">
        <v>23</v>
      </c>
      <c r="CK16" s="99">
        <v>7838.4000000000005</v>
      </c>
      <c r="CL16" s="99">
        <v>11</v>
      </c>
      <c r="CM16" s="99">
        <v>3748.8</v>
      </c>
      <c r="CN16" s="99">
        <v>15</v>
      </c>
      <c r="CO16" s="99">
        <v>5112</v>
      </c>
      <c r="CP16" s="99">
        <v>22</v>
      </c>
      <c r="CQ16" s="99">
        <v>7497.6</v>
      </c>
      <c r="CR16" s="99">
        <v>19</v>
      </c>
      <c r="CS16" s="99">
        <v>6475.2</v>
      </c>
      <c r="CT16" s="99">
        <v>18</v>
      </c>
      <c r="CU16" s="99">
        <v>6134.4000000000005</v>
      </c>
    </row>
    <row r="17" spans="2:99">
      <c r="C17" s="98" t="s">
        <v>182</v>
      </c>
      <c r="D17" s="99">
        <v>12</v>
      </c>
      <c r="E17" s="99">
        <v>5068.7999999999993</v>
      </c>
      <c r="F17" s="99">
        <v>9</v>
      </c>
      <c r="G17" s="99">
        <v>3801.6</v>
      </c>
      <c r="H17" s="99">
        <v>11</v>
      </c>
      <c r="I17" s="99">
        <v>4646.3999999999996</v>
      </c>
      <c r="J17" s="99">
        <v>11</v>
      </c>
      <c r="K17" s="99">
        <v>4646.3999999999996</v>
      </c>
      <c r="L17" s="99">
        <v>11</v>
      </c>
      <c r="M17" s="99">
        <v>4646.3999999999996</v>
      </c>
      <c r="N17" s="99">
        <v>10</v>
      </c>
      <c r="O17" s="99">
        <v>4224</v>
      </c>
      <c r="P17" s="99">
        <v>17</v>
      </c>
      <c r="Q17" s="99">
        <v>7180.7999999999993</v>
      </c>
      <c r="R17" s="99">
        <v>18</v>
      </c>
      <c r="S17" s="99">
        <v>7603.2</v>
      </c>
      <c r="T17" s="99">
        <v>14</v>
      </c>
      <c r="U17" s="99">
        <v>5913.5999999999995</v>
      </c>
      <c r="V17" s="99">
        <v>10</v>
      </c>
      <c r="W17" s="99">
        <v>4224</v>
      </c>
      <c r="X17" s="99">
        <v>12</v>
      </c>
      <c r="Y17" s="99">
        <v>5068.7999999999993</v>
      </c>
      <c r="Z17" s="99">
        <v>16</v>
      </c>
      <c r="AA17" s="99">
        <v>6758.4</v>
      </c>
      <c r="AB17" s="99">
        <v>18</v>
      </c>
      <c r="AC17" s="99">
        <v>7603.2</v>
      </c>
      <c r="AD17" s="99">
        <v>10</v>
      </c>
      <c r="AE17" s="99">
        <v>4224</v>
      </c>
      <c r="AF17" s="99">
        <v>11</v>
      </c>
      <c r="AG17" s="99">
        <v>4646.3999999999996</v>
      </c>
      <c r="AH17" s="99">
        <v>13</v>
      </c>
      <c r="AI17" s="99">
        <v>5491.2</v>
      </c>
      <c r="AJ17" s="99">
        <v>14</v>
      </c>
      <c r="AK17" s="99">
        <v>5913.5999999999995</v>
      </c>
      <c r="AL17" s="99">
        <v>14</v>
      </c>
      <c r="AM17" s="99">
        <v>5913.5999999999995</v>
      </c>
      <c r="AN17" s="99">
        <v>17</v>
      </c>
      <c r="AO17" s="99">
        <v>7180.7999999999993</v>
      </c>
      <c r="AP17" s="99">
        <v>12</v>
      </c>
      <c r="AQ17" s="99">
        <v>5068.7999999999993</v>
      </c>
      <c r="AR17" s="99">
        <v>10</v>
      </c>
      <c r="AS17" s="99">
        <v>4224</v>
      </c>
      <c r="AT17" s="99">
        <v>16</v>
      </c>
      <c r="AU17" s="99">
        <v>6758.4</v>
      </c>
      <c r="AV17" s="99">
        <v>13</v>
      </c>
      <c r="AW17" s="99">
        <v>5491.2</v>
      </c>
      <c r="AX17" s="99">
        <v>11</v>
      </c>
      <c r="AY17" s="99">
        <v>4646.3999999999996</v>
      </c>
      <c r="AZ17" s="99">
        <v>20</v>
      </c>
      <c r="BA17" s="99">
        <v>8448</v>
      </c>
      <c r="BB17" s="99">
        <v>20</v>
      </c>
      <c r="BC17" s="99">
        <v>8448</v>
      </c>
      <c r="BD17" s="99">
        <v>10</v>
      </c>
      <c r="BE17" s="99">
        <v>4224</v>
      </c>
      <c r="BF17" s="99">
        <v>15</v>
      </c>
      <c r="BG17" s="99">
        <v>6336</v>
      </c>
      <c r="BH17" s="99">
        <v>15</v>
      </c>
      <c r="BI17" s="99">
        <v>6336</v>
      </c>
      <c r="BJ17" s="99">
        <v>14</v>
      </c>
      <c r="BK17" s="99">
        <v>5913.5999999999995</v>
      </c>
      <c r="BL17" s="99">
        <v>10</v>
      </c>
      <c r="BM17" s="99">
        <v>4224</v>
      </c>
      <c r="BN17" s="99">
        <v>11</v>
      </c>
      <c r="BO17" s="99">
        <v>4646.3999999999996</v>
      </c>
      <c r="BP17" s="99">
        <v>12</v>
      </c>
      <c r="BQ17" s="99">
        <v>5068.7999999999993</v>
      </c>
      <c r="BR17" s="99">
        <v>16</v>
      </c>
      <c r="BS17" s="99">
        <v>6758.4</v>
      </c>
      <c r="BT17" s="99">
        <v>21</v>
      </c>
      <c r="BU17" s="99">
        <v>8870.4</v>
      </c>
      <c r="BV17" s="99">
        <v>15</v>
      </c>
      <c r="BW17" s="99">
        <v>6336</v>
      </c>
      <c r="BX17" s="99">
        <v>20</v>
      </c>
      <c r="BY17" s="99">
        <v>8448</v>
      </c>
      <c r="BZ17" s="99">
        <v>17</v>
      </c>
      <c r="CA17" s="99">
        <v>7180.7999999999993</v>
      </c>
      <c r="CB17" s="99">
        <v>22</v>
      </c>
      <c r="CC17" s="99">
        <v>9292.7999999999993</v>
      </c>
      <c r="CD17" s="99">
        <v>20</v>
      </c>
      <c r="CE17" s="99">
        <v>8448</v>
      </c>
      <c r="CF17" s="99">
        <v>17</v>
      </c>
      <c r="CG17" s="99">
        <v>7180.7999999999993</v>
      </c>
      <c r="CH17" s="99">
        <v>11</v>
      </c>
      <c r="CI17" s="99">
        <v>4646.3999999999996</v>
      </c>
      <c r="CJ17" s="99">
        <v>24</v>
      </c>
      <c r="CK17" s="99">
        <v>10137.599999999999</v>
      </c>
      <c r="CL17" s="99">
        <v>12</v>
      </c>
      <c r="CM17" s="99">
        <v>5068.7999999999993</v>
      </c>
      <c r="CN17" s="99">
        <v>13</v>
      </c>
      <c r="CO17" s="99">
        <v>5491.2</v>
      </c>
      <c r="CP17" s="99">
        <v>23</v>
      </c>
      <c r="CQ17" s="99">
        <v>9715.1999999999989</v>
      </c>
      <c r="CR17" s="99">
        <v>20</v>
      </c>
      <c r="CS17" s="99">
        <v>8448</v>
      </c>
      <c r="CT17" s="99">
        <v>19</v>
      </c>
      <c r="CU17" s="99">
        <v>8025.5999999999995</v>
      </c>
    </row>
    <row r="18" spans="2:99">
      <c r="C18" s="98" t="s">
        <v>183</v>
      </c>
      <c r="D18" s="99">
        <v>10</v>
      </c>
      <c r="E18" s="99">
        <v>6528</v>
      </c>
      <c r="F18" s="99">
        <v>9</v>
      </c>
      <c r="G18" s="99">
        <v>5875.2</v>
      </c>
      <c r="H18" s="99">
        <v>11</v>
      </c>
      <c r="I18" s="99">
        <v>7180.7999999999993</v>
      </c>
      <c r="J18" s="99">
        <v>12</v>
      </c>
      <c r="K18" s="99">
        <v>7833.5999999999995</v>
      </c>
      <c r="L18" s="99">
        <v>9</v>
      </c>
      <c r="M18" s="99">
        <v>5875.2</v>
      </c>
      <c r="N18" s="99">
        <v>10</v>
      </c>
      <c r="O18" s="99">
        <v>6528</v>
      </c>
      <c r="P18" s="99">
        <v>16</v>
      </c>
      <c r="Q18" s="99">
        <v>10444.799999999999</v>
      </c>
      <c r="R18" s="99">
        <v>16</v>
      </c>
      <c r="S18" s="99">
        <v>10444.799999999999</v>
      </c>
      <c r="T18" s="99">
        <v>16</v>
      </c>
      <c r="U18" s="99">
        <v>10444.799999999999</v>
      </c>
      <c r="V18" s="99">
        <v>11</v>
      </c>
      <c r="W18" s="99">
        <v>7180.7999999999993</v>
      </c>
      <c r="X18" s="99">
        <v>12</v>
      </c>
      <c r="Y18" s="99">
        <v>7833.5999999999995</v>
      </c>
      <c r="Z18" s="99">
        <v>16</v>
      </c>
      <c r="AA18" s="99">
        <v>10444.799999999999</v>
      </c>
      <c r="AB18" s="99">
        <v>18</v>
      </c>
      <c r="AC18" s="99">
        <v>11750.4</v>
      </c>
      <c r="AD18" s="99">
        <v>10</v>
      </c>
      <c r="AE18" s="99">
        <v>6528</v>
      </c>
      <c r="AF18" s="99">
        <v>12</v>
      </c>
      <c r="AG18" s="99">
        <v>7833.5999999999995</v>
      </c>
      <c r="AH18" s="99">
        <v>12</v>
      </c>
      <c r="AI18" s="99">
        <v>7833.5999999999995</v>
      </c>
      <c r="AJ18" s="99">
        <v>15</v>
      </c>
      <c r="AK18" s="99">
        <v>9792</v>
      </c>
      <c r="AL18" s="99">
        <v>13</v>
      </c>
      <c r="AM18" s="99">
        <v>8486.4</v>
      </c>
      <c r="AN18" s="99">
        <v>19</v>
      </c>
      <c r="AO18" s="99">
        <v>12403.199999999999</v>
      </c>
      <c r="AP18" s="99">
        <v>12</v>
      </c>
      <c r="AQ18" s="99">
        <v>7833.5999999999995</v>
      </c>
      <c r="AR18" s="99">
        <v>10</v>
      </c>
      <c r="AS18" s="99">
        <v>6528</v>
      </c>
      <c r="AT18" s="99">
        <v>14</v>
      </c>
      <c r="AU18" s="99">
        <v>9139.1999999999989</v>
      </c>
      <c r="AV18" s="99">
        <v>13</v>
      </c>
      <c r="AW18" s="99">
        <v>8486.4</v>
      </c>
      <c r="AX18" s="99">
        <v>11</v>
      </c>
      <c r="AY18" s="99">
        <v>7180.7999999999993</v>
      </c>
      <c r="AZ18" s="99">
        <v>19</v>
      </c>
      <c r="BA18" s="99">
        <v>12403.199999999999</v>
      </c>
      <c r="BB18" s="99">
        <v>19</v>
      </c>
      <c r="BC18" s="99">
        <v>12403.199999999999</v>
      </c>
      <c r="BD18" s="99">
        <v>10</v>
      </c>
      <c r="BE18" s="99">
        <v>6528</v>
      </c>
      <c r="BF18" s="99">
        <v>17</v>
      </c>
      <c r="BG18" s="99">
        <v>11097.599999999999</v>
      </c>
      <c r="BH18" s="99">
        <v>13</v>
      </c>
      <c r="BI18" s="99">
        <v>8486.4</v>
      </c>
      <c r="BJ18" s="99">
        <v>14</v>
      </c>
      <c r="BK18" s="99">
        <v>9139.1999999999989</v>
      </c>
      <c r="BL18" s="99">
        <v>10</v>
      </c>
      <c r="BM18" s="99">
        <v>6528</v>
      </c>
      <c r="BN18" s="99">
        <v>12</v>
      </c>
      <c r="BO18" s="99">
        <v>7833.5999999999995</v>
      </c>
      <c r="BP18" s="99">
        <v>12</v>
      </c>
      <c r="BQ18" s="99">
        <v>7833.5999999999995</v>
      </c>
      <c r="BR18" s="99">
        <v>15</v>
      </c>
      <c r="BS18" s="99">
        <v>9792</v>
      </c>
      <c r="BT18" s="99">
        <v>23</v>
      </c>
      <c r="BU18" s="99">
        <v>15014.4</v>
      </c>
      <c r="BV18" s="99">
        <v>14</v>
      </c>
      <c r="BW18" s="99">
        <v>9139.1999999999989</v>
      </c>
      <c r="BX18" s="99">
        <v>20</v>
      </c>
      <c r="BY18" s="99">
        <v>13056</v>
      </c>
      <c r="BZ18" s="99">
        <v>13</v>
      </c>
      <c r="CA18" s="99">
        <v>8486.4</v>
      </c>
      <c r="CB18" s="99">
        <v>18</v>
      </c>
      <c r="CC18" s="99">
        <v>11750.4</v>
      </c>
      <c r="CD18" s="99">
        <v>21</v>
      </c>
      <c r="CE18" s="99">
        <v>13708.8</v>
      </c>
      <c r="CF18" s="99">
        <v>16</v>
      </c>
      <c r="CG18" s="99">
        <v>10444.799999999999</v>
      </c>
      <c r="CH18" s="99">
        <v>11</v>
      </c>
      <c r="CI18" s="99">
        <v>7180.7999999999993</v>
      </c>
      <c r="CJ18" s="99">
        <v>23</v>
      </c>
      <c r="CK18" s="99">
        <v>15014.4</v>
      </c>
      <c r="CL18" s="99">
        <v>10</v>
      </c>
      <c r="CM18" s="99">
        <v>6528</v>
      </c>
      <c r="CN18" s="99">
        <v>13</v>
      </c>
      <c r="CO18" s="99">
        <v>8486.4</v>
      </c>
      <c r="CP18" s="99">
        <v>23</v>
      </c>
      <c r="CQ18" s="99">
        <v>15014.4</v>
      </c>
      <c r="CR18" s="99">
        <v>22</v>
      </c>
      <c r="CS18" s="99">
        <v>14361.599999999999</v>
      </c>
      <c r="CT18" s="99">
        <v>18</v>
      </c>
      <c r="CU18" s="99">
        <v>11750.4</v>
      </c>
    </row>
    <row r="19" spans="2:99">
      <c r="C19" s="98" t="s">
        <v>184</v>
      </c>
      <c r="D19" s="99">
        <v>11</v>
      </c>
      <c r="E19" s="99">
        <v>3630</v>
      </c>
      <c r="F19" s="99">
        <v>10</v>
      </c>
      <c r="G19" s="99">
        <v>3300</v>
      </c>
      <c r="H19" s="99">
        <v>12</v>
      </c>
      <c r="I19" s="99">
        <v>3960</v>
      </c>
      <c r="J19" s="99">
        <v>13</v>
      </c>
      <c r="K19" s="99">
        <v>4290</v>
      </c>
      <c r="L19" s="99">
        <v>11</v>
      </c>
      <c r="M19" s="99">
        <v>3630</v>
      </c>
      <c r="N19" s="99">
        <v>10</v>
      </c>
      <c r="O19" s="99">
        <v>3300</v>
      </c>
      <c r="P19" s="99">
        <v>16</v>
      </c>
      <c r="Q19" s="99">
        <v>5280</v>
      </c>
      <c r="R19" s="99">
        <v>16</v>
      </c>
      <c r="S19" s="99">
        <v>5280</v>
      </c>
      <c r="T19" s="99">
        <v>14</v>
      </c>
      <c r="U19" s="99">
        <v>4620</v>
      </c>
      <c r="V19" s="99">
        <v>11</v>
      </c>
      <c r="W19" s="99">
        <v>3630</v>
      </c>
      <c r="X19" s="99">
        <v>11</v>
      </c>
      <c r="Y19" s="99">
        <v>3630</v>
      </c>
      <c r="Z19" s="99">
        <v>15</v>
      </c>
      <c r="AA19" s="99">
        <v>4950</v>
      </c>
      <c r="AB19" s="99">
        <v>17</v>
      </c>
      <c r="AC19" s="99">
        <v>5610</v>
      </c>
      <c r="AD19" s="99">
        <v>11</v>
      </c>
      <c r="AE19" s="99">
        <v>3630</v>
      </c>
      <c r="AF19" s="99">
        <v>11</v>
      </c>
      <c r="AG19" s="99">
        <v>3630</v>
      </c>
      <c r="AH19" s="99">
        <v>12</v>
      </c>
      <c r="AI19" s="99">
        <v>3960</v>
      </c>
      <c r="AJ19" s="99">
        <v>14</v>
      </c>
      <c r="AK19" s="99">
        <v>4620</v>
      </c>
      <c r="AL19" s="99">
        <v>13</v>
      </c>
      <c r="AM19" s="99">
        <v>4290</v>
      </c>
      <c r="AN19" s="99">
        <v>20</v>
      </c>
      <c r="AO19" s="99">
        <v>6600</v>
      </c>
      <c r="AP19" s="99">
        <v>15</v>
      </c>
      <c r="AQ19" s="99">
        <v>4950</v>
      </c>
      <c r="AR19" s="99">
        <v>10</v>
      </c>
      <c r="AS19" s="99">
        <v>3300</v>
      </c>
      <c r="AT19" s="99">
        <v>17</v>
      </c>
      <c r="AU19" s="99">
        <v>5610</v>
      </c>
      <c r="AV19" s="99">
        <v>13</v>
      </c>
      <c r="AW19" s="99">
        <v>4290</v>
      </c>
      <c r="AX19" s="99">
        <v>11</v>
      </c>
      <c r="AY19" s="99">
        <v>3630</v>
      </c>
      <c r="AZ19" s="99">
        <v>18</v>
      </c>
      <c r="BA19" s="99">
        <v>5940</v>
      </c>
      <c r="BB19" s="99">
        <v>20</v>
      </c>
      <c r="BC19" s="99">
        <v>6600</v>
      </c>
      <c r="BD19" s="99">
        <v>10</v>
      </c>
      <c r="BE19" s="99">
        <v>3300</v>
      </c>
      <c r="BF19" s="99">
        <v>16</v>
      </c>
      <c r="BG19" s="99">
        <v>5280</v>
      </c>
      <c r="BH19" s="99">
        <v>15</v>
      </c>
      <c r="BI19" s="99">
        <v>4950</v>
      </c>
      <c r="BJ19" s="99">
        <v>14</v>
      </c>
      <c r="BK19" s="99">
        <v>4620</v>
      </c>
      <c r="BL19" s="99">
        <v>10</v>
      </c>
      <c r="BM19" s="99">
        <v>3300</v>
      </c>
      <c r="BN19" s="99">
        <v>12</v>
      </c>
      <c r="BO19" s="99">
        <v>3960</v>
      </c>
      <c r="BP19" s="99">
        <v>14</v>
      </c>
      <c r="BQ19" s="99">
        <v>4620</v>
      </c>
      <c r="BR19" s="99">
        <v>15</v>
      </c>
      <c r="BS19" s="99">
        <v>4950</v>
      </c>
      <c r="BT19" s="99">
        <v>23</v>
      </c>
      <c r="BU19" s="99">
        <v>7590</v>
      </c>
      <c r="BV19" s="99">
        <v>17</v>
      </c>
      <c r="BW19" s="99">
        <v>5610</v>
      </c>
      <c r="BX19" s="99">
        <v>21</v>
      </c>
      <c r="BY19" s="99">
        <v>6930</v>
      </c>
      <c r="BZ19" s="99">
        <v>14</v>
      </c>
      <c r="CA19" s="99">
        <v>4620</v>
      </c>
      <c r="CB19" s="99">
        <v>21</v>
      </c>
      <c r="CC19" s="99">
        <v>6930</v>
      </c>
      <c r="CD19" s="99">
        <v>20</v>
      </c>
      <c r="CE19" s="99">
        <v>6600</v>
      </c>
      <c r="CF19" s="99">
        <v>16</v>
      </c>
      <c r="CG19" s="99">
        <v>5280</v>
      </c>
      <c r="CH19" s="99">
        <v>12</v>
      </c>
      <c r="CI19" s="99">
        <v>3960</v>
      </c>
      <c r="CJ19" s="99">
        <v>20</v>
      </c>
      <c r="CK19" s="99">
        <v>6600</v>
      </c>
      <c r="CL19" s="99">
        <v>12</v>
      </c>
      <c r="CM19" s="99">
        <v>3960</v>
      </c>
      <c r="CN19" s="99">
        <v>15</v>
      </c>
      <c r="CO19" s="99">
        <v>4950</v>
      </c>
      <c r="CP19" s="99">
        <v>24</v>
      </c>
      <c r="CQ19" s="99">
        <v>7920</v>
      </c>
      <c r="CR19" s="99">
        <v>20</v>
      </c>
      <c r="CS19" s="99">
        <v>6600</v>
      </c>
      <c r="CT19" s="99">
        <v>21</v>
      </c>
      <c r="CU19" s="99">
        <v>6930</v>
      </c>
    </row>
    <row r="20" spans="2:99">
      <c r="B20" s="98" t="s">
        <v>127</v>
      </c>
      <c r="C20" s="98" t="s">
        <v>185</v>
      </c>
      <c r="D20" s="99">
        <v>4</v>
      </c>
      <c r="E20" s="99">
        <v>1147.2</v>
      </c>
      <c r="F20" s="99">
        <v>6</v>
      </c>
      <c r="G20" s="99">
        <v>1720.8000000000002</v>
      </c>
      <c r="H20" s="99">
        <v>6</v>
      </c>
      <c r="I20" s="99">
        <v>1720.8000000000002</v>
      </c>
      <c r="J20" s="99">
        <v>5</v>
      </c>
      <c r="K20" s="99">
        <v>1434</v>
      </c>
      <c r="L20" s="99">
        <v>4</v>
      </c>
      <c r="M20" s="99">
        <v>1147.2</v>
      </c>
      <c r="N20" s="99">
        <v>5</v>
      </c>
      <c r="O20" s="99">
        <v>1434</v>
      </c>
      <c r="P20" s="99">
        <v>6</v>
      </c>
      <c r="Q20" s="99">
        <v>1720.8000000000002</v>
      </c>
      <c r="R20" s="99">
        <v>4</v>
      </c>
      <c r="S20" s="99">
        <v>1147.2</v>
      </c>
      <c r="T20" s="99">
        <v>5</v>
      </c>
      <c r="U20" s="99">
        <v>1434</v>
      </c>
      <c r="V20" s="99">
        <v>3</v>
      </c>
      <c r="W20" s="99">
        <v>860.40000000000009</v>
      </c>
      <c r="X20" s="99">
        <v>4</v>
      </c>
      <c r="Y20" s="99">
        <v>1147.2</v>
      </c>
      <c r="Z20" s="99">
        <v>5</v>
      </c>
      <c r="AA20" s="99">
        <v>1434</v>
      </c>
      <c r="AB20" s="99">
        <v>4</v>
      </c>
      <c r="AC20" s="99">
        <v>1147.2</v>
      </c>
      <c r="AD20" s="99">
        <v>5</v>
      </c>
      <c r="AE20" s="99">
        <v>1434</v>
      </c>
      <c r="AF20" s="99">
        <v>4</v>
      </c>
      <c r="AG20" s="99">
        <v>1147.2</v>
      </c>
      <c r="AH20" s="99">
        <v>4</v>
      </c>
      <c r="AI20" s="99">
        <v>1147.2</v>
      </c>
      <c r="AJ20" s="99">
        <v>6</v>
      </c>
      <c r="AK20" s="99">
        <v>1720.8000000000002</v>
      </c>
      <c r="AL20" s="99">
        <v>4</v>
      </c>
      <c r="AM20" s="99">
        <v>1147.2</v>
      </c>
      <c r="AN20" s="99">
        <v>6</v>
      </c>
      <c r="AO20" s="99">
        <v>1720.8000000000002</v>
      </c>
      <c r="AP20" s="99">
        <v>3</v>
      </c>
      <c r="AQ20" s="99">
        <v>860.40000000000009</v>
      </c>
      <c r="AR20" s="99">
        <v>5</v>
      </c>
      <c r="AS20" s="99">
        <v>1434</v>
      </c>
      <c r="AT20" s="99">
        <v>5</v>
      </c>
      <c r="AU20" s="99">
        <v>1434</v>
      </c>
      <c r="AV20" s="99">
        <v>5</v>
      </c>
      <c r="AW20" s="99">
        <v>1434</v>
      </c>
      <c r="AX20" s="99">
        <v>7</v>
      </c>
      <c r="AY20" s="99">
        <v>2007.6000000000001</v>
      </c>
      <c r="AZ20" s="99">
        <v>6</v>
      </c>
      <c r="BA20" s="99">
        <v>1720.8000000000002</v>
      </c>
      <c r="BB20" s="99">
        <v>6</v>
      </c>
      <c r="BC20" s="99">
        <v>1720.8000000000002</v>
      </c>
      <c r="BD20" s="99">
        <v>6</v>
      </c>
      <c r="BE20" s="99">
        <v>1720.8000000000002</v>
      </c>
      <c r="BF20" s="99">
        <v>3</v>
      </c>
      <c r="BG20" s="99">
        <v>860.40000000000009</v>
      </c>
      <c r="BH20" s="99">
        <v>5</v>
      </c>
      <c r="BI20" s="99">
        <v>1434</v>
      </c>
      <c r="BJ20" s="99">
        <v>4</v>
      </c>
      <c r="BK20" s="99">
        <v>1147.2</v>
      </c>
      <c r="BL20" s="99">
        <v>4</v>
      </c>
      <c r="BM20" s="99">
        <v>1147.2</v>
      </c>
      <c r="BN20" s="99">
        <v>7</v>
      </c>
      <c r="BO20" s="99">
        <v>2007.6000000000001</v>
      </c>
      <c r="BP20" s="99">
        <v>5</v>
      </c>
      <c r="BQ20" s="99">
        <v>1434</v>
      </c>
      <c r="BR20" s="99">
        <v>3</v>
      </c>
      <c r="BS20" s="99">
        <v>860.40000000000009</v>
      </c>
      <c r="BT20" s="99">
        <v>6</v>
      </c>
      <c r="BU20" s="99">
        <v>1720.8000000000002</v>
      </c>
      <c r="BV20" s="99">
        <v>4</v>
      </c>
      <c r="BW20" s="99">
        <v>1147.2</v>
      </c>
      <c r="BX20" s="99">
        <v>6</v>
      </c>
      <c r="BY20" s="99">
        <v>1720.8000000000002</v>
      </c>
      <c r="BZ20" s="99">
        <v>4</v>
      </c>
      <c r="CA20" s="99">
        <v>1147.2</v>
      </c>
      <c r="CB20" s="99">
        <v>7</v>
      </c>
      <c r="CC20" s="99">
        <v>2007.6000000000001</v>
      </c>
      <c r="CD20" s="99">
        <v>5</v>
      </c>
      <c r="CE20" s="99">
        <v>1434</v>
      </c>
      <c r="CF20" s="99">
        <v>4</v>
      </c>
      <c r="CG20" s="99">
        <v>1147.2</v>
      </c>
      <c r="CH20" s="99">
        <v>6</v>
      </c>
      <c r="CI20" s="99">
        <v>1720.8000000000002</v>
      </c>
      <c r="CJ20" s="99">
        <v>4</v>
      </c>
      <c r="CK20" s="99">
        <v>1147.2</v>
      </c>
      <c r="CL20" s="99">
        <v>5</v>
      </c>
      <c r="CM20" s="99">
        <v>1434</v>
      </c>
      <c r="CN20" s="99">
        <v>5</v>
      </c>
      <c r="CO20" s="99">
        <v>1434</v>
      </c>
      <c r="CP20" s="99">
        <v>5</v>
      </c>
      <c r="CQ20" s="99">
        <v>1434</v>
      </c>
      <c r="CR20" s="99">
        <v>5</v>
      </c>
      <c r="CS20" s="99">
        <v>1434</v>
      </c>
      <c r="CT20" s="99">
        <v>5</v>
      </c>
      <c r="CU20" s="99">
        <v>1434</v>
      </c>
    </row>
    <row r="21" spans="2:99">
      <c r="C21" s="98" t="s">
        <v>186</v>
      </c>
      <c r="D21" s="99">
        <v>4</v>
      </c>
      <c r="E21" s="99">
        <v>249.6</v>
      </c>
      <c r="F21" s="99">
        <v>5</v>
      </c>
      <c r="G21" s="99">
        <v>312</v>
      </c>
      <c r="H21" s="99">
        <v>6</v>
      </c>
      <c r="I21" s="99">
        <v>374.4</v>
      </c>
      <c r="J21" s="99">
        <v>5</v>
      </c>
      <c r="K21" s="99">
        <v>312</v>
      </c>
      <c r="L21" s="99">
        <v>5</v>
      </c>
      <c r="M21" s="99">
        <v>312</v>
      </c>
      <c r="N21" s="99">
        <v>4</v>
      </c>
      <c r="O21" s="99">
        <v>249.6</v>
      </c>
      <c r="P21" s="99">
        <v>5</v>
      </c>
      <c r="Q21" s="99">
        <v>312</v>
      </c>
      <c r="R21" s="99">
        <v>4</v>
      </c>
      <c r="S21" s="99">
        <v>249.6</v>
      </c>
      <c r="T21" s="99">
        <v>4</v>
      </c>
      <c r="U21" s="99">
        <v>249.6</v>
      </c>
      <c r="V21" s="99">
        <v>3</v>
      </c>
      <c r="W21" s="99">
        <v>187.2</v>
      </c>
      <c r="X21" s="99">
        <v>4</v>
      </c>
      <c r="Y21" s="99">
        <v>249.6</v>
      </c>
      <c r="Z21" s="99">
        <v>5</v>
      </c>
      <c r="AA21" s="99">
        <v>312</v>
      </c>
      <c r="AB21" s="99">
        <v>4</v>
      </c>
      <c r="AC21" s="99">
        <v>249.6</v>
      </c>
      <c r="AD21" s="99">
        <v>5</v>
      </c>
      <c r="AE21" s="99">
        <v>312</v>
      </c>
      <c r="AF21" s="99">
        <v>4</v>
      </c>
      <c r="AG21" s="99">
        <v>249.6</v>
      </c>
      <c r="AH21" s="99">
        <v>4</v>
      </c>
      <c r="AI21" s="99">
        <v>249.6</v>
      </c>
      <c r="AJ21" s="99">
        <v>7</v>
      </c>
      <c r="AK21" s="99">
        <v>436.8</v>
      </c>
      <c r="AL21" s="99">
        <v>5</v>
      </c>
      <c r="AM21" s="99">
        <v>312</v>
      </c>
      <c r="AN21" s="99">
        <v>6</v>
      </c>
      <c r="AO21" s="99">
        <v>374.4</v>
      </c>
      <c r="AP21" s="99">
        <v>3</v>
      </c>
      <c r="AQ21" s="99">
        <v>187.2</v>
      </c>
      <c r="AR21" s="99">
        <v>5</v>
      </c>
      <c r="AS21" s="99">
        <v>312</v>
      </c>
      <c r="AT21" s="99">
        <v>5</v>
      </c>
      <c r="AU21" s="99">
        <v>312</v>
      </c>
      <c r="AV21" s="99">
        <v>6</v>
      </c>
      <c r="AW21" s="99">
        <v>374.4</v>
      </c>
      <c r="AX21" s="99">
        <v>7</v>
      </c>
      <c r="AY21" s="99">
        <v>436.8</v>
      </c>
      <c r="AZ21" s="99">
        <v>6</v>
      </c>
      <c r="BA21" s="99">
        <v>374.4</v>
      </c>
      <c r="BB21" s="99">
        <v>5</v>
      </c>
      <c r="BC21" s="99">
        <v>312</v>
      </c>
      <c r="BD21" s="99">
        <v>5</v>
      </c>
      <c r="BE21" s="99">
        <v>312</v>
      </c>
      <c r="BF21" s="99">
        <v>3</v>
      </c>
      <c r="BG21" s="99">
        <v>187.2</v>
      </c>
      <c r="BH21" s="99">
        <v>5</v>
      </c>
      <c r="BI21" s="99">
        <v>312</v>
      </c>
      <c r="BJ21" s="99">
        <v>4</v>
      </c>
      <c r="BK21" s="99">
        <v>249.6</v>
      </c>
      <c r="BL21" s="99">
        <v>4</v>
      </c>
      <c r="BM21" s="99">
        <v>249.6</v>
      </c>
      <c r="BN21" s="99">
        <v>7</v>
      </c>
      <c r="BO21" s="99">
        <v>436.8</v>
      </c>
      <c r="BP21" s="99">
        <v>7</v>
      </c>
      <c r="BQ21" s="99">
        <v>436.8</v>
      </c>
      <c r="BR21" s="99">
        <v>3</v>
      </c>
      <c r="BS21" s="99">
        <v>187.2</v>
      </c>
      <c r="BT21" s="99">
        <v>6</v>
      </c>
      <c r="BU21" s="99">
        <v>374.4</v>
      </c>
      <c r="BV21" s="99">
        <v>4</v>
      </c>
      <c r="BW21" s="99">
        <v>249.6</v>
      </c>
      <c r="BX21" s="99">
        <v>6</v>
      </c>
      <c r="BY21" s="99">
        <v>374.4</v>
      </c>
      <c r="BZ21" s="99">
        <v>4</v>
      </c>
      <c r="CA21" s="99">
        <v>249.6</v>
      </c>
      <c r="CB21" s="99">
        <v>7</v>
      </c>
      <c r="CC21" s="99">
        <v>436.8</v>
      </c>
      <c r="CD21" s="99">
        <v>5</v>
      </c>
      <c r="CE21" s="99">
        <v>312</v>
      </c>
      <c r="CF21" s="99">
        <v>5</v>
      </c>
      <c r="CG21" s="99">
        <v>312</v>
      </c>
      <c r="CH21" s="99">
        <v>7</v>
      </c>
      <c r="CI21" s="99">
        <v>436.8</v>
      </c>
      <c r="CJ21" s="99">
        <v>4</v>
      </c>
      <c r="CK21" s="99">
        <v>249.6</v>
      </c>
      <c r="CL21" s="99">
        <v>6</v>
      </c>
      <c r="CM21" s="99">
        <v>374.4</v>
      </c>
      <c r="CN21" s="99">
        <v>5</v>
      </c>
      <c r="CO21" s="99">
        <v>312</v>
      </c>
      <c r="CP21" s="99">
        <v>4</v>
      </c>
      <c r="CQ21" s="99">
        <v>249.6</v>
      </c>
      <c r="CR21" s="99">
        <v>5</v>
      </c>
      <c r="CS21" s="99">
        <v>312</v>
      </c>
      <c r="CT21" s="99">
        <v>5</v>
      </c>
      <c r="CU21" s="99">
        <v>312</v>
      </c>
    </row>
    <row r="22" spans="2:99">
      <c r="C22" s="98" t="s">
        <v>187</v>
      </c>
      <c r="D22" s="99">
        <v>4</v>
      </c>
      <c r="E22" s="99">
        <v>748.8</v>
      </c>
      <c r="F22" s="99">
        <v>5</v>
      </c>
      <c r="G22" s="99">
        <v>936</v>
      </c>
      <c r="H22" s="99">
        <v>7</v>
      </c>
      <c r="I22" s="99">
        <v>1310.3999999999999</v>
      </c>
      <c r="J22" s="99">
        <v>4</v>
      </c>
      <c r="K22" s="99">
        <v>748.8</v>
      </c>
      <c r="L22" s="99">
        <v>5</v>
      </c>
      <c r="M22" s="99">
        <v>936</v>
      </c>
      <c r="N22" s="99">
        <v>5</v>
      </c>
      <c r="O22" s="99">
        <v>936</v>
      </c>
      <c r="P22" s="99">
        <v>6</v>
      </c>
      <c r="Q22" s="99">
        <v>1123.1999999999998</v>
      </c>
      <c r="R22" s="99">
        <v>4</v>
      </c>
      <c r="S22" s="99">
        <v>748.8</v>
      </c>
      <c r="T22" s="99">
        <v>5</v>
      </c>
      <c r="U22" s="99">
        <v>936</v>
      </c>
      <c r="V22" s="99">
        <v>4</v>
      </c>
      <c r="W22" s="99">
        <v>748.8</v>
      </c>
      <c r="X22" s="99">
        <v>4</v>
      </c>
      <c r="Y22" s="99">
        <v>748.8</v>
      </c>
      <c r="Z22" s="99">
        <v>5</v>
      </c>
      <c r="AA22" s="99">
        <v>936</v>
      </c>
      <c r="AB22" s="99">
        <v>4</v>
      </c>
      <c r="AC22" s="99">
        <v>748.8</v>
      </c>
      <c r="AD22" s="99">
        <v>6</v>
      </c>
      <c r="AE22" s="99">
        <v>1123.1999999999998</v>
      </c>
      <c r="AF22" s="99">
        <v>4</v>
      </c>
      <c r="AG22" s="99">
        <v>748.8</v>
      </c>
      <c r="AH22" s="99">
        <v>5</v>
      </c>
      <c r="AI22" s="99">
        <v>936</v>
      </c>
      <c r="AJ22" s="99">
        <v>6</v>
      </c>
      <c r="AK22" s="99">
        <v>1123.1999999999998</v>
      </c>
      <c r="AL22" s="99">
        <v>4</v>
      </c>
      <c r="AM22" s="99">
        <v>748.8</v>
      </c>
      <c r="AN22" s="99">
        <v>6</v>
      </c>
      <c r="AO22" s="99">
        <v>1123.1999999999998</v>
      </c>
      <c r="AP22" s="99">
        <v>3</v>
      </c>
      <c r="AQ22" s="99">
        <v>561.59999999999991</v>
      </c>
      <c r="AR22" s="99">
        <v>5</v>
      </c>
      <c r="AS22" s="99">
        <v>936</v>
      </c>
      <c r="AT22" s="99">
        <v>5</v>
      </c>
      <c r="AU22" s="99">
        <v>936</v>
      </c>
      <c r="AV22" s="99">
        <v>6</v>
      </c>
      <c r="AW22" s="99">
        <v>1123.1999999999998</v>
      </c>
      <c r="AX22" s="99">
        <v>6</v>
      </c>
      <c r="AY22" s="99">
        <v>1123.1999999999998</v>
      </c>
      <c r="AZ22" s="99">
        <v>6</v>
      </c>
      <c r="BA22" s="99">
        <v>1123.1999999999998</v>
      </c>
      <c r="BB22" s="99">
        <v>5</v>
      </c>
      <c r="BC22" s="99">
        <v>936</v>
      </c>
      <c r="BD22" s="99">
        <v>6</v>
      </c>
      <c r="BE22" s="99">
        <v>1123.1999999999998</v>
      </c>
      <c r="BF22" s="99">
        <v>3</v>
      </c>
      <c r="BG22" s="99">
        <v>561.59999999999991</v>
      </c>
      <c r="BH22" s="99">
        <v>5</v>
      </c>
      <c r="BI22" s="99">
        <v>936</v>
      </c>
      <c r="BJ22" s="99">
        <v>4</v>
      </c>
      <c r="BK22" s="99">
        <v>748.8</v>
      </c>
      <c r="BL22" s="99">
        <v>3</v>
      </c>
      <c r="BM22" s="99">
        <v>561.59999999999991</v>
      </c>
      <c r="BN22" s="99">
        <v>6</v>
      </c>
      <c r="BO22" s="99">
        <v>1123.1999999999998</v>
      </c>
      <c r="BP22" s="99">
        <v>6</v>
      </c>
      <c r="BQ22" s="99">
        <v>1123.1999999999998</v>
      </c>
      <c r="BR22" s="99">
        <v>4</v>
      </c>
      <c r="BS22" s="99">
        <v>748.8</v>
      </c>
      <c r="BT22" s="99">
        <v>5</v>
      </c>
      <c r="BU22" s="99">
        <v>936</v>
      </c>
      <c r="BV22" s="99">
        <v>4</v>
      </c>
      <c r="BW22" s="99">
        <v>748.8</v>
      </c>
      <c r="BX22" s="99">
        <v>6</v>
      </c>
      <c r="BY22" s="99">
        <v>1123.1999999999998</v>
      </c>
      <c r="BZ22" s="99">
        <v>3</v>
      </c>
      <c r="CA22" s="99">
        <v>561.59999999999991</v>
      </c>
      <c r="CB22" s="99">
        <v>6</v>
      </c>
      <c r="CC22" s="99">
        <v>1123.1999999999998</v>
      </c>
      <c r="CD22" s="99">
        <v>5</v>
      </c>
      <c r="CE22" s="99">
        <v>936</v>
      </c>
      <c r="CF22" s="99">
        <v>5</v>
      </c>
      <c r="CG22" s="99">
        <v>936</v>
      </c>
      <c r="CH22" s="99">
        <v>6</v>
      </c>
      <c r="CI22" s="99">
        <v>1123.1999999999998</v>
      </c>
      <c r="CJ22" s="99">
        <v>4</v>
      </c>
      <c r="CK22" s="99">
        <v>748.8</v>
      </c>
      <c r="CL22" s="99">
        <v>6</v>
      </c>
      <c r="CM22" s="99">
        <v>1123.1999999999998</v>
      </c>
      <c r="CN22" s="99">
        <v>5</v>
      </c>
      <c r="CO22" s="99">
        <v>936</v>
      </c>
      <c r="CP22" s="99">
        <v>4</v>
      </c>
      <c r="CQ22" s="99">
        <v>748.8</v>
      </c>
      <c r="CR22" s="99">
        <v>5</v>
      </c>
      <c r="CS22" s="99">
        <v>936</v>
      </c>
      <c r="CT22" s="99">
        <v>5</v>
      </c>
      <c r="CU22" s="99">
        <v>936</v>
      </c>
    </row>
    <row r="23" spans="2:99">
      <c r="C23" s="98" t="s">
        <v>188</v>
      </c>
      <c r="D23" s="99">
        <v>5</v>
      </c>
      <c r="E23" s="99">
        <v>1470</v>
      </c>
      <c r="F23" s="99">
        <v>6</v>
      </c>
      <c r="G23" s="99">
        <v>1764</v>
      </c>
      <c r="H23" s="99">
        <v>6</v>
      </c>
      <c r="I23" s="99">
        <v>1764</v>
      </c>
      <c r="J23" s="99">
        <v>4</v>
      </c>
      <c r="K23" s="99">
        <v>1176</v>
      </c>
      <c r="L23" s="99">
        <v>5</v>
      </c>
      <c r="M23" s="99">
        <v>1470</v>
      </c>
      <c r="N23" s="99">
        <v>5</v>
      </c>
      <c r="O23" s="99">
        <v>1470</v>
      </c>
      <c r="P23" s="99">
        <v>6</v>
      </c>
      <c r="Q23" s="99">
        <v>1764</v>
      </c>
      <c r="R23" s="99">
        <v>4</v>
      </c>
      <c r="S23" s="99">
        <v>1176</v>
      </c>
      <c r="T23" s="99">
        <v>5</v>
      </c>
      <c r="U23" s="99">
        <v>1470</v>
      </c>
      <c r="V23" s="99">
        <v>4</v>
      </c>
      <c r="W23" s="99">
        <v>1176</v>
      </c>
      <c r="X23" s="99">
        <v>4</v>
      </c>
      <c r="Y23" s="99">
        <v>1176</v>
      </c>
      <c r="Z23" s="99">
        <v>5</v>
      </c>
      <c r="AA23" s="99">
        <v>1470</v>
      </c>
      <c r="AB23" s="99">
        <v>4</v>
      </c>
      <c r="AC23" s="99">
        <v>1176</v>
      </c>
      <c r="AD23" s="99">
        <v>6</v>
      </c>
      <c r="AE23" s="99">
        <v>1764</v>
      </c>
      <c r="AF23" s="99">
        <v>4</v>
      </c>
      <c r="AG23" s="99">
        <v>1176</v>
      </c>
      <c r="AH23" s="99">
        <v>4</v>
      </c>
      <c r="AI23" s="99">
        <v>1176</v>
      </c>
      <c r="AJ23" s="99">
        <v>6</v>
      </c>
      <c r="AK23" s="99">
        <v>1764</v>
      </c>
      <c r="AL23" s="99">
        <v>5</v>
      </c>
      <c r="AM23" s="99">
        <v>1470</v>
      </c>
      <c r="AN23" s="99">
        <v>5</v>
      </c>
      <c r="AO23" s="99">
        <v>1470</v>
      </c>
      <c r="AP23" s="99">
        <v>3</v>
      </c>
      <c r="AQ23" s="99">
        <v>882</v>
      </c>
      <c r="AR23" s="99">
        <v>6</v>
      </c>
      <c r="AS23" s="99">
        <v>1764</v>
      </c>
      <c r="AT23" s="99">
        <v>6</v>
      </c>
      <c r="AU23" s="99">
        <v>1764</v>
      </c>
      <c r="AV23" s="99">
        <v>6</v>
      </c>
      <c r="AW23" s="99">
        <v>1764</v>
      </c>
      <c r="AX23" s="99">
        <v>7</v>
      </c>
      <c r="AY23" s="99">
        <v>2058</v>
      </c>
      <c r="AZ23" s="99">
        <v>6</v>
      </c>
      <c r="BA23" s="99">
        <v>1764</v>
      </c>
      <c r="BB23" s="99">
        <v>6</v>
      </c>
      <c r="BC23" s="99">
        <v>1764</v>
      </c>
      <c r="BD23" s="99">
        <v>6</v>
      </c>
      <c r="BE23" s="99">
        <v>1764</v>
      </c>
      <c r="BF23" s="99">
        <v>4</v>
      </c>
      <c r="BG23" s="99">
        <v>1176</v>
      </c>
      <c r="BH23" s="99">
        <v>5</v>
      </c>
      <c r="BI23" s="99">
        <v>1470</v>
      </c>
      <c r="BJ23" s="99">
        <v>4</v>
      </c>
      <c r="BK23" s="99">
        <v>1176</v>
      </c>
      <c r="BL23" s="99">
        <v>4</v>
      </c>
      <c r="BM23" s="99">
        <v>1176</v>
      </c>
      <c r="BN23" s="99">
        <v>7</v>
      </c>
      <c r="BO23" s="99">
        <v>2058</v>
      </c>
      <c r="BP23" s="99">
        <v>6</v>
      </c>
      <c r="BQ23" s="99">
        <v>1764</v>
      </c>
      <c r="BR23" s="99">
        <v>4</v>
      </c>
      <c r="BS23" s="99">
        <v>1176</v>
      </c>
      <c r="BT23" s="99">
        <v>6</v>
      </c>
      <c r="BU23" s="99">
        <v>1764</v>
      </c>
      <c r="BV23" s="99">
        <v>4</v>
      </c>
      <c r="BW23" s="99">
        <v>1176</v>
      </c>
      <c r="BX23" s="99">
        <v>6</v>
      </c>
      <c r="BY23" s="99">
        <v>1764</v>
      </c>
      <c r="BZ23" s="99">
        <v>3</v>
      </c>
      <c r="CA23" s="99">
        <v>882</v>
      </c>
      <c r="CB23" s="99">
        <v>7</v>
      </c>
      <c r="CC23" s="99">
        <v>2058</v>
      </c>
      <c r="CD23" s="99">
        <v>5</v>
      </c>
      <c r="CE23" s="99">
        <v>1470</v>
      </c>
      <c r="CF23" s="99">
        <v>5</v>
      </c>
      <c r="CG23" s="99">
        <v>1470</v>
      </c>
      <c r="CH23" s="99">
        <v>6</v>
      </c>
      <c r="CI23" s="99">
        <v>1764</v>
      </c>
      <c r="CJ23" s="99">
        <v>4</v>
      </c>
      <c r="CK23" s="99">
        <v>1176</v>
      </c>
      <c r="CL23" s="99">
        <v>5</v>
      </c>
      <c r="CM23" s="99">
        <v>1470</v>
      </c>
      <c r="CN23" s="99">
        <v>5</v>
      </c>
      <c r="CO23" s="99">
        <v>1470</v>
      </c>
      <c r="CP23" s="99">
        <v>4</v>
      </c>
      <c r="CQ23" s="99">
        <v>1176</v>
      </c>
      <c r="CR23" s="99">
        <v>4</v>
      </c>
      <c r="CS23" s="99">
        <v>1176</v>
      </c>
      <c r="CT23" s="99">
        <v>5</v>
      </c>
      <c r="CU23" s="99">
        <v>1470</v>
      </c>
    </row>
    <row r="24" spans="2:99">
      <c r="C24" s="98" t="s">
        <v>189</v>
      </c>
      <c r="D24" s="99">
        <v>4</v>
      </c>
      <c r="E24" s="99">
        <v>1468.8</v>
      </c>
      <c r="F24" s="99">
        <v>5</v>
      </c>
      <c r="G24" s="99">
        <v>1836</v>
      </c>
      <c r="H24" s="99">
        <v>6</v>
      </c>
      <c r="I24" s="99">
        <v>2203.1999999999998</v>
      </c>
      <c r="J24" s="99">
        <v>4</v>
      </c>
      <c r="K24" s="99">
        <v>1468.8</v>
      </c>
      <c r="L24" s="99">
        <v>4</v>
      </c>
      <c r="M24" s="99">
        <v>1468.8</v>
      </c>
      <c r="N24" s="99">
        <v>4</v>
      </c>
      <c r="O24" s="99">
        <v>1468.8</v>
      </c>
      <c r="P24" s="99">
        <v>5</v>
      </c>
      <c r="Q24" s="99">
        <v>1836</v>
      </c>
      <c r="R24" s="99">
        <v>4</v>
      </c>
      <c r="S24" s="99">
        <v>1468.8</v>
      </c>
      <c r="T24" s="99">
        <v>5</v>
      </c>
      <c r="U24" s="99">
        <v>1836</v>
      </c>
      <c r="V24" s="99">
        <v>3</v>
      </c>
      <c r="W24" s="99">
        <v>1101.5999999999999</v>
      </c>
      <c r="X24" s="99">
        <v>4</v>
      </c>
      <c r="Y24" s="99">
        <v>1468.8</v>
      </c>
      <c r="Z24" s="99">
        <v>5</v>
      </c>
      <c r="AA24" s="99">
        <v>1836</v>
      </c>
      <c r="AB24" s="99">
        <v>4</v>
      </c>
      <c r="AC24" s="99">
        <v>1468.8</v>
      </c>
      <c r="AD24" s="99">
        <v>6</v>
      </c>
      <c r="AE24" s="99">
        <v>2203.1999999999998</v>
      </c>
      <c r="AF24" s="99">
        <v>4</v>
      </c>
      <c r="AG24" s="99">
        <v>1468.8</v>
      </c>
      <c r="AH24" s="99">
        <v>5</v>
      </c>
      <c r="AI24" s="99">
        <v>1836</v>
      </c>
      <c r="AJ24" s="99">
        <v>6</v>
      </c>
      <c r="AK24" s="99">
        <v>2203.1999999999998</v>
      </c>
      <c r="AL24" s="99">
        <v>5</v>
      </c>
      <c r="AM24" s="99">
        <v>1836</v>
      </c>
      <c r="AN24" s="99">
        <v>6</v>
      </c>
      <c r="AO24" s="99">
        <v>2203.1999999999998</v>
      </c>
      <c r="AP24" s="99">
        <v>3</v>
      </c>
      <c r="AQ24" s="99">
        <v>1101.5999999999999</v>
      </c>
      <c r="AR24" s="99">
        <v>5</v>
      </c>
      <c r="AS24" s="99">
        <v>1836</v>
      </c>
      <c r="AT24" s="99">
        <v>5</v>
      </c>
      <c r="AU24" s="99">
        <v>1836</v>
      </c>
      <c r="AV24" s="99">
        <v>6</v>
      </c>
      <c r="AW24" s="99">
        <v>2203.1999999999998</v>
      </c>
      <c r="AX24" s="99">
        <v>6</v>
      </c>
      <c r="AY24" s="99">
        <v>2203.1999999999998</v>
      </c>
      <c r="AZ24" s="99">
        <v>6</v>
      </c>
      <c r="BA24" s="99">
        <v>2203.1999999999998</v>
      </c>
      <c r="BB24" s="99">
        <v>5</v>
      </c>
      <c r="BC24" s="99">
        <v>1836</v>
      </c>
      <c r="BD24" s="99">
        <v>6</v>
      </c>
      <c r="BE24" s="99">
        <v>2203.1999999999998</v>
      </c>
      <c r="BF24" s="99">
        <v>4</v>
      </c>
      <c r="BG24" s="99">
        <v>1468.8</v>
      </c>
      <c r="BH24" s="99">
        <v>5</v>
      </c>
      <c r="BI24" s="99">
        <v>1836</v>
      </c>
      <c r="BJ24" s="99">
        <v>4</v>
      </c>
      <c r="BK24" s="99">
        <v>1468.8</v>
      </c>
      <c r="BL24" s="99">
        <v>3</v>
      </c>
      <c r="BM24" s="99">
        <v>1101.5999999999999</v>
      </c>
      <c r="BN24" s="99">
        <v>7</v>
      </c>
      <c r="BO24" s="99">
        <v>2570.4</v>
      </c>
      <c r="BP24" s="99">
        <v>6</v>
      </c>
      <c r="BQ24" s="99">
        <v>2203.1999999999998</v>
      </c>
      <c r="BR24" s="99">
        <v>4</v>
      </c>
      <c r="BS24" s="99">
        <v>1468.8</v>
      </c>
      <c r="BT24" s="99">
        <v>6</v>
      </c>
      <c r="BU24" s="99">
        <v>2203.1999999999998</v>
      </c>
      <c r="BV24" s="99">
        <v>4</v>
      </c>
      <c r="BW24" s="99">
        <v>1468.8</v>
      </c>
      <c r="BX24" s="99">
        <v>6</v>
      </c>
      <c r="BY24" s="99">
        <v>2203.1999999999998</v>
      </c>
      <c r="BZ24" s="99">
        <v>4</v>
      </c>
      <c r="CA24" s="99">
        <v>1468.8</v>
      </c>
      <c r="CB24" s="99">
        <v>7</v>
      </c>
      <c r="CC24" s="99">
        <v>2570.4</v>
      </c>
      <c r="CD24" s="99">
        <v>5</v>
      </c>
      <c r="CE24" s="99">
        <v>1836</v>
      </c>
      <c r="CF24" s="99">
        <v>4</v>
      </c>
      <c r="CG24" s="99">
        <v>1468.8</v>
      </c>
      <c r="CH24" s="99">
        <v>6</v>
      </c>
      <c r="CI24" s="99">
        <v>2203.1999999999998</v>
      </c>
      <c r="CJ24" s="99">
        <v>4</v>
      </c>
      <c r="CK24" s="99">
        <v>1468.8</v>
      </c>
      <c r="CL24" s="99">
        <v>5</v>
      </c>
      <c r="CM24" s="99">
        <v>1836</v>
      </c>
      <c r="CN24" s="99">
        <v>5</v>
      </c>
      <c r="CO24" s="99">
        <v>1836</v>
      </c>
      <c r="CP24" s="99">
        <v>4</v>
      </c>
      <c r="CQ24" s="99">
        <v>1468.8</v>
      </c>
      <c r="CR24" s="99">
        <v>5</v>
      </c>
      <c r="CS24" s="99">
        <v>1836</v>
      </c>
      <c r="CT24" s="99">
        <v>6</v>
      </c>
      <c r="CU24" s="99">
        <v>2203.1999999999998</v>
      </c>
    </row>
    <row r="25" spans="2:99">
      <c r="C25" s="98" t="s">
        <v>190</v>
      </c>
      <c r="D25" s="99">
        <v>4</v>
      </c>
      <c r="E25" s="99">
        <v>2121.6</v>
      </c>
      <c r="F25" s="99">
        <v>5</v>
      </c>
      <c r="G25" s="99">
        <v>2652</v>
      </c>
      <c r="H25" s="99">
        <v>6</v>
      </c>
      <c r="I25" s="99">
        <v>3182.3999999999996</v>
      </c>
      <c r="J25" s="99">
        <v>4</v>
      </c>
      <c r="K25" s="99">
        <v>2121.6</v>
      </c>
      <c r="L25" s="99">
        <v>5</v>
      </c>
      <c r="M25" s="99">
        <v>2652</v>
      </c>
      <c r="N25" s="99">
        <v>5</v>
      </c>
      <c r="O25" s="99">
        <v>2652</v>
      </c>
      <c r="P25" s="99">
        <v>5</v>
      </c>
      <c r="Q25" s="99">
        <v>2652</v>
      </c>
      <c r="R25" s="99">
        <v>4</v>
      </c>
      <c r="S25" s="99">
        <v>2121.6</v>
      </c>
      <c r="T25" s="99">
        <v>4</v>
      </c>
      <c r="U25" s="99">
        <v>2121.6</v>
      </c>
      <c r="V25" s="99">
        <v>4</v>
      </c>
      <c r="W25" s="99">
        <v>2121.6</v>
      </c>
      <c r="X25" s="99">
        <v>4</v>
      </c>
      <c r="Y25" s="99">
        <v>2121.6</v>
      </c>
      <c r="Z25" s="99">
        <v>5</v>
      </c>
      <c r="AA25" s="99">
        <v>2652</v>
      </c>
      <c r="AB25" s="99">
        <v>4</v>
      </c>
      <c r="AC25" s="99">
        <v>2121.6</v>
      </c>
      <c r="AD25" s="99">
        <v>5</v>
      </c>
      <c r="AE25" s="99">
        <v>2652</v>
      </c>
      <c r="AF25" s="99">
        <v>4</v>
      </c>
      <c r="AG25" s="99">
        <v>2121.6</v>
      </c>
      <c r="AH25" s="99">
        <v>4</v>
      </c>
      <c r="AI25" s="99">
        <v>2121.6</v>
      </c>
      <c r="AJ25" s="99">
        <v>6</v>
      </c>
      <c r="AK25" s="99">
        <v>3182.3999999999996</v>
      </c>
      <c r="AL25" s="99">
        <v>5</v>
      </c>
      <c r="AM25" s="99">
        <v>2652</v>
      </c>
      <c r="AN25" s="99">
        <v>6</v>
      </c>
      <c r="AO25" s="99">
        <v>3182.3999999999996</v>
      </c>
      <c r="AP25" s="99">
        <v>4</v>
      </c>
      <c r="AQ25" s="99">
        <v>2121.6</v>
      </c>
      <c r="AR25" s="99">
        <v>6</v>
      </c>
      <c r="AS25" s="99">
        <v>3182.3999999999996</v>
      </c>
      <c r="AT25" s="99">
        <v>5</v>
      </c>
      <c r="AU25" s="99">
        <v>2652</v>
      </c>
      <c r="AV25" s="99">
        <v>5</v>
      </c>
      <c r="AW25" s="99">
        <v>2652</v>
      </c>
      <c r="AX25" s="99">
        <v>6</v>
      </c>
      <c r="AY25" s="99">
        <v>3182.3999999999996</v>
      </c>
      <c r="AZ25" s="99">
        <v>6</v>
      </c>
      <c r="BA25" s="99">
        <v>3182.3999999999996</v>
      </c>
      <c r="BB25" s="99">
        <v>6</v>
      </c>
      <c r="BC25" s="99">
        <v>3182.3999999999996</v>
      </c>
      <c r="BD25" s="99">
        <v>5</v>
      </c>
      <c r="BE25" s="99">
        <v>2652</v>
      </c>
      <c r="BF25" s="99">
        <v>4</v>
      </c>
      <c r="BG25" s="99">
        <v>2121.6</v>
      </c>
      <c r="BH25" s="99">
        <v>5</v>
      </c>
      <c r="BI25" s="99">
        <v>2652</v>
      </c>
      <c r="BJ25" s="99">
        <v>4</v>
      </c>
      <c r="BK25" s="99">
        <v>2121.6</v>
      </c>
      <c r="BL25" s="99">
        <v>4</v>
      </c>
      <c r="BM25" s="99">
        <v>2121.6</v>
      </c>
      <c r="BN25" s="99">
        <v>7</v>
      </c>
      <c r="BO25" s="99">
        <v>3712.7999999999997</v>
      </c>
      <c r="BP25" s="99">
        <v>6</v>
      </c>
      <c r="BQ25" s="99">
        <v>3182.3999999999996</v>
      </c>
      <c r="BR25" s="99">
        <v>4</v>
      </c>
      <c r="BS25" s="99">
        <v>2121.6</v>
      </c>
      <c r="BT25" s="99">
        <v>6</v>
      </c>
      <c r="BU25" s="99">
        <v>3182.3999999999996</v>
      </c>
      <c r="BV25" s="99">
        <v>4</v>
      </c>
      <c r="BW25" s="99">
        <v>2121.6</v>
      </c>
      <c r="BX25" s="99">
        <v>6</v>
      </c>
      <c r="BY25" s="99">
        <v>3182.3999999999996</v>
      </c>
      <c r="BZ25" s="99">
        <v>4</v>
      </c>
      <c r="CA25" s="99">
        <v>2121.6</v>
      </c>
      <c r="CB25" s="99">
        <v>6</v>
      </c>
      <c r="CC25" s="99">
        <v>3182.3999999999996</v>
      </c>
      <c r="CD25" s="99">
        <v>5</v>
      </c>
      <c r="CE25" s="99">
        <v>2652</v>
      </c>
      <c r="CF25" s="99">
        <v>5</v>
      </c>
      <c r="CG25" s="99">
        <v>2652</v>
      </c>
      <c r="CH25" s="99">
        <v>6</v>
      </c>
      <c r="CI25" s="99">
        <v>3182.3999999999996</v>
      </c>
      <c r="CJ25" s="99">
        <v>4</v>
      </c>
      <c r="CK25" s="99">
        <v>2121.6</v>
      </c>
      <c r="CL25" s="99">
        <v>5</v>
      </c>
      <c r="CM25" s="99">
        <v>2652</v>
      </c>
      <c r="CN25" s="99">
        <v>5</v>
      </c>
      <c r="CO25" s="99">
        <v>2652</v>
      </c>
      <c r="CP25" s="99">
        <v>5</v>
      </c>
      <c r="CQ25" s="99">
        <v>2652</v>
      </c>
      <c r="CR25" s="99">
        <v>5</v>
      </c>
      <c r="CS25" s="99">
        <v>2652</v>
      </c>
      <c r="CT25" s="99">
        <v>5</v>
      </c>
      <c r="CU25" s="99">
        <v>2652</v>
      </c>
    </row>
    <row r="26" spans="2:99">
      <c r="C26" s="98" t="s">
        <v>191</v>
      </c>
      <c r="D26" s="99">
        <v>4</v>
      </c>
      <c r="E26" s="99">
        <v>1944</v>
      </c>
      <c r="F26" s="99">
        <v>5</v>
      </c>
      <c r="G26" s="99">
        <v>2430</v>
      </c>
      <c r="H26" s="99">
        <v>6</v>
      </c>
      <c r="I26" s="99">
        <v>2916</v>
      </c>
      <c r="J26" s="99">
        <v>4</v>
      </c>
      <c r="K26" s="99">
        <v>1944</v>
      </c>
      <c r="L26" s="99">
        <v>4</v>
      </c>
      <c r="M26" s="99">
        <v>1944</v>
      </c>
      <c r="N26" s="99">
        <v>5</v>
      </c>
      <c r="O26" s="99">
        <v>2430</v>
      </c>
      <c r="P26" s="99">
        <v>5</v>
      </c>
      <c r="Q26" s="99">
        <v>2430</v>
      </c>
      <c r="R26" s="99">
        <v>4</v>
      </c>
      <c r="S26" s="99">
        <v>1944</v>
      </c>
      <c r="T26" s="99">
        <v>5</v>
      </c>
      <c r="U26" s="99">
        <v>2430</v>
      </c>
      <c r="V26" s="99">
        <v>3</v>
      </c>
      <c r="W26" s="99">
        <v>1458</v>
      </c>
      <c r="X26" s="99">
        <v>4</v>
      </c>
      <c r="Y26" s="99">
        <v>1944</v>
      </c>
      <c r="Z26" s="99">
        <v>5</v>
      </c>
      <c r="AA26" s="99">
        <v>2430</v>
      </c>
      <c r="AB26" s="99">
        <v>4</v>
      </c>
      <c r="AC26" s="99">
        <v>1944</v>
      </c>
      <c r="AD26" s="99">
        <v>6</v>
      </c>
      <c r="AE26" s="99">
        <v>2916</v>
      </c>
      <c r="AF26" s="99">
        <v>4</v>
      </c>
      <c r="AG26" s="99">
        <v>1944</v>
      </c>
      <c r="AH26" s="99">
        <v>4</v>
      </c>
      <c r="AI26" s="99">
        <v>1944</v>
      </c>
      <c r="AJ26" s="99">
        <v>6</v>
      </c>
      <c r="AK26" s="99">
        <v>2916</v>
      </c>
      <c r="AL26" s="99">
        <v>4</v>
      </c>
      <c r="AM26" s="99">
        <v>1944</v>
      </c>
      <c r="AN26" s="99">
        <v>6</v>
      </c>
      <c r="AO26" s="99">
        <v>2916</v>
      </c>
      <c r="AP26" s="99">
        <v>3</v>
      </c>
      <c r="AQ26" s="99">
        <v>1458</v>
      </c>
      <c r="AR26" s="99">
        <v>5</v>
      </c>
      <c r="AS26" s="99">
        <v>2430</v>
      </c>
      <c r="AT26" s="99">
        <v>5</v>
      </c>
      <c r="AU26" s="99">
        <v>2430</v>
      </c>
      <c r="AV26" s="99">
        <v>6</v>
      </c>
      <c r="AW26" s="99">
        <v>2916</v>
      </c>
      <c r="AX26" s="99">
        <v>7</v>
      </c>
      <c r="AY26" s="99">
        <v>3402</v>
      </c>
      <c r="AZ26" s="99">
        <v>6</v>
      </c>
      <c r="BA26" s="99">
        <v>2916</v>
      </c>
      <c r="BB26" s="99">
        <v>6</v>
      </c>
      <c r="BC26" s="99">
        <v>2916</v>
      </c>
      <c r="BD26" s="99">
        <v>6</v>
      </c>
      <c r="BE26" s="99">
        <v>2916</v>
      </c>
      <c r="BF26" s="99">
        <v>3</v>
      </c>
      <c r="BG26" s="99">
        <v>1458</v>
      </c>
      <c r="BH26" s="99">
        <v>5</v>
      </c>
      <c r="BI26" s="99">
        <v>2430</v>
      </c>
      <c r="BJ26" s="99">
        <v>4</v>
      </c>
      <c r="BK26" s="99">
        <v>1944</v>
      </c>
      <c r="BL26" s="99">
        <v>3</v>
      </c>
      <c r="BM26" s="99">
        <v>1458</v>
      </c>
      <c r="BN26" s="99">
        <v>6</v>
      </c>
      <c r="BO26" s="99">
        <v>2916</v>
      </c>
      <c r="BP26" s="99">
        <v>6</v>
      </c>
      <c r="BQ26" s="99">
        <v>2916</v>
      </c>
      <c r="BR26" s="99">
        <v>3</v>
      </c>
      <c r="BS26" s="99">
        <v>1458</v>
      </c>
      <c r="BT26" s="99">
        <v>6</v>
      </c>
      <c r="BU26" s="99">
        <v>2916</v>
      </c>
      <c r="BV26" s="99">
        <v>4</v>
      </c>
      <c r="BW26" s="99">
        <v>1944</v>
      </c>
      <c r="BX26" s="99">
        <v>6</v>
      </c>
      <c r="BY26" s="99">
        <v>2916</v>
      </c>
      <c r="BZ26" s="99">
        <v>4</v>
      </c>
      <c r="CA26" s="99">
        <v>1944</v>
      </c>
      <c r="CB26" s="99">
        <v>7</v>
      </c>
      <c r="CC26" s="99">
        <v>3402</v>
      </c>
      <c r="CD26" s="99">
        <v>5</v>
      </c>
      <c r="CE26" s="99">
        <v>2430</v>
      </c>
      <c r="CF26" s="99">
        <v>4</v>
      </c>
      <c r="CG26" s="99">
        <v>1944</v>
      </c>
      <c r="CH26" s="99">
        <v>7</v>
      </c>
      <c r="CI26" s="99">
        <v>3402</v>
      </c>
      <c r="CJ26" s="99">
        <v>4</v>
      </c>
      <c r="CK26" s="99">
        <v>1944</v>
      </c>
      <c r="CL26" s="99">
        <v>5</v>
      </c>
      <c r="CM26" s="99">
        <v>2430</v>
      </c>
      <c r="CN26" s="99">
        <v>5</v>
      </c>
      <c r="CO26" s="99">
        <v>2430</v>
      </c>
      <c r="CP26" s="99">
        <v>4</v>
      </c>
      <c r="CQ26" s="99">
        <v>1944</v>
      </c>
      <c r="CR26" s="99">
        <v>5</v>
      </c>
      <c r="CS26" s="99">
        <v>2430</v>
      </c>
      <c r="CT26" s="99">
        <v>5</v>
      </c>
      <c r="CU26" s="99">
        <v>2430</v>
      </c>
    </row>
    <row r="27" spans="2:99">
      <c r="C27" s="98" t="s">
        <v>192</v>
      </c>
      <c r="D27" s="99">
        <v>4</v>
      </c>
      <c r="E27" s="99">
        <v>1708.8</v>
      </c>
      <c r="F27" s="99">
        <v>5</v>
      </c>
      <c r="G27" s="99">
        <v>2136</v>
      </c>
      <c r="H27" s="99">
        <v>6</v>
      </c>
      <c r="I27" s="99">
        <v>2563.1999999999998</v>
      </c>
      <c r="J27" s="99">
        <v>5</v>
      </c>
      <c r="K27" s="99">
        <v>2136</v>
      </c>
      <c r="L27" s="99">
        <v>5</v>
      </c>
      <c r="M27" s="99">
        <v>2136</v>
      </c>
      <c r="N27" s="99">
        <v>4</v>
      </c>
      <c r="O27" s="99">
        <v>1708.8</v>
      </c>
      <c r="P27" s="99">
        <v>6</v>
      </c>
      <c r="Q27" s="99">
        <v>2563.1999999999998</v>
      </c>
      <c r="R27" s="99">
        <v>4</v>
      </c>
      <c r="S27" s="99">
        <v>1708.8</v>
      </c>
      <c r="T27" s="99">
        <v>5</v>
      </c>
      <c r="U27" s="99">
        <v>2136</v>
      </c>
      <c r="V27" s="99">
        <v>3</v>
      </c>
      <c r="W27" s="99">
        <v>1281.5999999999999</v>
      </c>
      <c r="X27" s="99">
        <v>4</v>
      </c>
      <c r="Y27" s="99">
        <v>1708.8</v>
      </c>
      <c r="Z27" s="99">
        <v>5</v>
      </c>
      <c r="AA27" s="99">
        <v>2136</v>
      </c>
      <c r="AB27" s="99">
        <v>4</v>
      </c>
      <c r="AC27" s="99">
        <v>1708.8</v>
      </c>
      <c r="AD27" s="99">
        <v>6</v>
      </c>
      <c r="AE27" s="99">
        <v>2563.1999999999998</v>
      </c>
      <c r="AF27" s="99">
        <v>4</v>
      </c>
      <c r="AG27" s="99">
        <v>1708.8</v>
      </c>
      <c r="AH27" s="99">
        <v>5</v>
      </c>
      <c r="AI27" s="99">
        <v>2136</v>
      </c>
      <c r="AJ27" s="99">
        <v>6</v>
      </c>
      <c r="AK27" s="99">
        <v>2563.1999999999998</v>
      </c>
      <c r="AL27" s="99">
        <v>5</v>
      </c>
      <c r="AM27" s="99">
        <v>2136</v>
      </c>
      <c r="AN27" s="99">
        <v>6</v>
      </c>
      <c r="AO27" s="99">
        <v>2563.1999999999998</v>
      </c>
      <c r="AP27" s="99">
        <v>3</v>
      </c>
      <c r="AQ27" s="99">
        <v>1281.5999999999999</v>
      </c>
      <c r="AR27" s="99">
        <v>5</v>
      </c>
      <c r="AS27" s="99">
        <v>2136</v>
      </c>
      <c r="AT27" s="99">
        <v>5</v>
      </c>
      <c r="AU27" s="99">
        <v>2136</v>
      </c>
      <c r="AV27" s="99">
        <v>5</v>
      </c>
      <c r="AW27" s="99">
        <v>2136</v>
      </c>
      <c r="AX27" s="99">
        <v>6</v>
      </c>
      <c r="AY27" s="99">
        <v>2563.1999999999998</v>
      </c>
      <c r="AZ27" s="99">
        <v>6</v>
      </c>
      <c r="BA27" s="99">
        <v>2563.1999999999998</v>
      </c>
      <c r="BB27" s="99">
        <v>6</v>
      </c>
      <c r="BC27" s="99">
        <v>2563.1999999999998</v>
      </c>
      <c r="BD27" s="99">
        <v>6</v>
      </c>
      <c r="BE27" s="99">
        <v>2563.1999999999998</v>
      </c>
      <c r="BF27" s="99">
        <v>4</v>
      </c>
      <c r="BG27" s="99">
        <v>1708.8</v>
      </c>
      <c r="BH27" s="99">
        <v>5</v>
      </c>
      <c r="BI27" s="99">
        <v>2136</v>
      </c>
      <c r="BJ27" s="99">
        <v>4</v>
      </c>
      <c r="BK27" s="99">
        <v>1708.8</v>
      </c>
      <c r="BL27" s="99">
        <v>4</v>
      </c>
      <c r="BM27" s="99">
        <v>1708.8</v>
      </c>
      <c r="BN27" s="99">
        <v>7</v>
      </c>
      <c r="BO27" s="99">
        <v>2990.4</v>
      </c>
      <c r="BP27" s="99">
        <v>6</v>
      </c>
      <c r="BQ27" s="99">
        <v>2563.1999999999998</v>
      </c>
      <c r="BR27" s="99">
        <v>4</v>
      </c>
      <c r="BS27" s="99">
        <v>1708.8</v>
      </c>
      <c r="BT27" s="99">
        <v>5</v>
      </c>
      <c r="BU27" s="99">
        <v>2136</v>
      </c>
      <c r="BV27" s="99">
        <v>4</v>
      </c>
      <c r="BW27" s="99">
        <v>1708.8</v>
      </c>
      <c r="BX27" s="99">
        <v>5</v>
      </c>
      <c r="BY27" s="99">
        <v>2136</v>
      </c>
      <c r="BZ27" s="99">
        <v>4</v>
      </c>
      <c r="CA27" s="99">
        <v>1708.8</v>
      </c>
      <c r="CB27" s="99">
        <v>7</v>
      </c>
      <c r="CC27" s="99">
        <v>2990.4</v>
      </c>
      <c r="CD27" s="99">
        <v>5</v>
      </c>
      <c r="CE27" s="99">
        <v>2136</v>
      </c>
      <c r="CF27" s="99">
        <v>5</v>
      </c>
      <c r="CG27" s="99">
        <v>2136</v>
      </c>
      <c r="CH27" s="99">
        <v>6</v>
      </c>
      <c r="CI27" s="99">
        <v>2563.1999999999998</v>
      </c>
      <c r="CJ27" s="99">
        <v>4</v>
      </c>
      <c r="CK27" s="99">
        <v>1708.8</v>
      </c>
      <c r="CL27" s="99">
        <v>5</v>
      </c>
      <c r="CM27" s="99">
        <v>2136</v>
      </c>
      <c r="CN27" s="99">
        <v>5</v>
      </c>
      <c r="CO27" s="99">
        <v>2136</v>
      </c>
      <c r="CP27" s="99">
        <v>4</v>
      </c>
      <c r="CQ27" s="99">
        <v>1708.8</v>
      </c>
      <c r="CR27" s="99">
        <v>5</v>
      </c>
      <c r="CS27" s="99">
        <v>2136</v>
      </c>
      <c r="CT27" s="99">
        <v>6</v>
      </c>
      <c r="CU27" s="99">
        <v>2563.1999999999998</v>
      </c>
    </row>
    <row r="28" spans="2:99">
      <c r="C28" s="98" t="s">
        <v>193</v>
      </c>
      <c r="D28" s="99">
        <v>4</v>
      </c>
      <c r="E28" s="99">
        <v>2952</v>
      </c>
      <c r="F28" s="99">
        <v>5</v>
      </c>
      <c r="G28" s="99">
        <v>3690</v>
      </c>
      <c r="H28" s="99">
        <v>6</v>
      </c>
      <c r="I28" s="99">
        <v>4428</v>
      </c>
      <c r="J28" s="99">
        <v>4</v>
      </c>
      <c r="K28" s="99">
        <v>2952</v>
      </c>
      <c r="L28" s="99">
        <v>4</v>
      </c>
      <c r="M28" s="99">
        <v>2952</v>
      </c>
      <c r="N28" s="99">
        <v>4</v>
      </c>
      <c r="O28" s="99">
        <v>2952</v>
      </c>
      <c r="P28" s="99">
        <v>6</v>
      </c>
      <c r="Q28" s="99">
        <v>4428</v>
      </c>
      <c r="R28" s="99">
        <v>4</v>
      </c>
      <c r="S28" s="99">
        <v>2952</v>
      </c>
      <c r="T28" s="99">
        <v>4</v>
      </c>
      <c r="U28" s="99">
        <v>2952</v>
      </c>
      <c r="V28" s="99">
        <v>3</v>
      </c>
      <c r="W28" s="99">
        <v>2214</v>
      </c>
      <c r="X28" s="99">
        <v>4</v>
      </c>
      <c r="Y28" s="99">
        <v>2952</v>
      </c>
      <c r="Z28" s="99">
        <v>5</v>
      </c>
      <c r="AA28" s="99">
        <v>3690</v>
      </c>
      <c r="AB28" s="99">
        <v>4</v>
      </c>
      <c r="AC28" s="99">
        <v>2952</v>
      </c>
      <c r="AD28" s="99">
        <v>5</v>
      </c>
      <c r="AE28" s="99">
        <v>3690</v>
      </c>
      <c r="AF28" s="99">
        <v>4</v>
      </c>
      <c r="AG28" s="99">
        <v>2952</v>
      </c>
      <c r="AH28" s="99">
        <v>4</v>
      </c>
      <c r="AI28" s="99">
        <v>2952</v>
      </c>
      <c r="AJ28" s="99">
        <v>6</v>
      </c>
      <c r="AK28" s="99">
        <v>4428</v>
      </c>
      <c r="AL28" s="99">
        <v>5</v>
      </c>
      <c r="AM28" s="99">
        <v>3690</v>
      </c>
      <c r="AN28" s="99">
        <v>6</v>
      </c>
      <c r="AO28" s="99">
        <v>4428</v>
      </c>
      <c r="AP28" s="99">
        <v>3</v>
      </c>
      <c r="AQ28" s="99">
        <v>2214</v>
      </c>
      <c r="AR28" s="99">
        <v>5</v>
      </c>
      <c r="AS28" s="99">
        <v>3690</v>
      </c>
      <c r="AT28" s="99">
        <v>5</v>
      </c>
      <c r="AU28" s="99">
        <v>3690</v>
      </c>
      <c r="AV28" s="99">
        <v>6</v>
      </c>
      <c r="AW28" s="99">
        <v>4428</v>
      </c>
      <c r="AX28" s="99">
        <v>6</v>
      </c>
      <c r="AY28" s="99">
        <v>4428</v>
      </c>
      <c r="AZ28" s="99">
        <v>6</v>
      </c>
      <c r="BA28" s="99">
        <v>4428</v>
      </c>
      <c r="BB28" s="99">
        <v>5</v>
      </c>
      <c r="BC28" s="99">
        <v>3690</v>
      </c>
      <c r="BD28" s="99">
        <v>5</v>
      </c>
      <c r="BE28" s="99">
        <v>3690</v>
      </c>
      <c r="BF28" s="99">
        <v>4</v>
      </c>
      <c r="BG28" s="99">
        <v>2952</v>
      </c>
      <c r="BH28" s="99">
        <v>5</v>
      </c>
      <c r="BI28" s="99">
        <v>3690</v>
      </c>
      <c r="BJ28" s="99">
        <v>4</v>
      </c>
      <c r="BK28" s="99">
        <v>2952</v>
      </c>
      <c r="BL28" s="99">
        <v>4</v>
      </c>
      <c r="BM28" s="99">
        <v>2952</v>
      </c>
      <c r="BN28" s="99">
        <v>6</v>
      </c>
      <c r="BO28" s="99">
        <v>4428</v>
      </c>
      <c r="BP28" s="99">
        <v>6</v>
      </c>
      <c r="BQ28" s="99">
        <v>4428</v>
      </c>
      <c r="BR28" s="99">
        <v>4</v>
      </c>
      <c r="BS28" s="99">
        <v>2952</v>
      </c>
      <c r="BT28" s="99">
        <v>5</v>
      </c>
      <c r="BU28" s="99">
        <v>3690</v>
      </c>
      <c r="BV28" s="99">
        <v>4</v>
      </c>
      <c r="BW28" s="99">
        <v>2952</v>
      </c>
      <c r="BX28" s="99">
        <v>6</v>
      </c>
      <c r="BY28" s="99">
        <v>4428</v>
      </c>
      <c r="BZ28" s="99">
        <v>4</v>
      </c>
      <c r="CA28" s="99">
        <v>2952</v>
      </c>
      <c r="CB28" s="99">
        <v>7</v>
      </c>
      <c r="CC28" s="99">
        <v>5166</v>
      </c>
      <c r="CD28" s="99">
        <v>4</v>
      </c>
      <c r="CE28" s="99">
        <v>2952</v>
      </c>
      <c r="CF28" s="99">
        <v>4</v>
      </c>
      <c r="CG28" s="99">
        <v>2952</v>
      </c>
      <c r="CH28" s="99">
        <v>6</v>
      </c>
      <c r="CI28" s="99">
        <v>4428</v>
      </c>
      <c r="CJ28" s="99">
        <v>4</v>
      </c>
      <c r="CK28" s="99">
        <v>2952</v>
      </c>
      <c r="CL28" s="99">
        <v>5</v>
      </c>
      <c r="CM28" s="99">
        <v>3690</v>
      </c>
      <c r="CN28" s="99">
        <v>5</v>
      </c>
      <c r="CO28" s="99">
        <v>3690</v>
      </c>
      <c r="CP28" s="99">
        <v>4</v>
      </c>
      <c r="CQ28" s="99">
        <v>2952</v>
      </c>
      <c r="CR28" s="99">
        <v>4</v>
      </c>
      <c r="CS28" s="99">
        <v>2952</v>
      </c>
      <c r="CT28" s="99">
        <v>6</v>
      </c>
      <c r="CU28" s="99">
        <v>4428</v>
      </c>
    </row>
    <row r="29" spans="2:99">
      <c r="C29" s="98" t="s">
        <v>194</v>
      </c>
      <c r="D29" s="99">
        <v>4</v>
      </c>
      <c r="E29" s="99">
        <v>1353.6</v>
      </c>
      <c r="F29" s="99">
        <v>5</v>
      </c>
      <c r="G29" s="99">
        <v>1692</v>
      </c>
      <c r="H29" s="99">
        <v>6</v>
      </c>
      <c r="I29" s="99">
        <v>2030.3999999999999</v>
      </c>
      <c r="J29" s="99">
        <v>4</v>
      </c>
      <c r="K29" s="99">
        <v>1353.6</v>
      </c>
      <c r="L29" s="99">
        <v>4</v>
      </c>
      <c r="M29" s="99">
        <v>1353.6</v>
      </c>
      <c r="N29" s="99">
        <v>5</v>
      </c>
      <c r="O29" s="99">
        <v>1692</v>
      </c>
      <c r="P29" s="99">
        <v>6</v>
      </c>
      <c r="Q29" s="99">
        <v>2030.3999999999999</v>
      </c>
      <c r="R29" s="99">
        <v>4</v>
      </c>
      <c r="S29" s="99">
        <v>1353.6</v>
      </c>
      <c r="T29" s="99">
        <v>5</v>
      </c>
      <c r="U29" s="99">
        <v>1692</v>
      </c>
      <c r="V29" s="99">
        <v>4</v>
      </c>
      <c r="W29" s="99">
        <v>1353.6</v>
      </c>
      <c r="X29" s="99">
        <v>4</v>
      </c>
      <c r="Y29" s="99">
        <v>1353.6</v>
      </c>
      <c r="Z29" s="99">
        <v>5</v>
      </c>
      <c r="AA29" s="99">
        <v>1692</v>
      </c>
      <c r="AB29" s="99">
        <v>4</v>
      </c>
      <c r="AC29" s="99">
        <v>1353.6</v>
      </c>
      <c r="AD29" s="99">
        <v>6</v>
      </c>
      <c r="AE29" s="99">
        <v>2030.3999999999999</v>
      </c>
      <c r="AF29" s="99">
        <v>4</v>
      </c>
      <c r="AG29" s="99">
        <v>1353.6</v>
      </c>
      <c r="AH29" s="99">
        <v>4</v>
      </c>
      <c r="AI29" s="99">
        <v>1353.6</v>
      </c>
      <c r="AJ29" s="99">
        <v>6</v>
      </c>
      <c r="AK29" s="99">
        <v>2030.3999999999999</v>
      </c>
      <c r="AL29" s="99">
        <v>4</v>
      </c>
      <c r="AM29" s="99">
        <v>1353.6</v>
      </c>
      <c r="AN29" s="99">
        <v>6</v>
      </c>
      <c r="AO29" s="99">
        <v>2030.3999999999999</v>
      </c>
      <c r="AP29" s="99">
        <v>3</v>
      </c>
      <c r="AQ29" s="99">
        <v>1015.1999999999999</v>
      </c>
      <c r="AR29" s="99">
        <v>5</v>
      </c>
      <c r="AS29" s="99">
        <v>1692</v>
      </c>
      <c r="AT29" s="99">
        <v>5</v>
      </c>
      <c r="AU29" s="99">
        <v>1692</v>
      </c>
      <c r="AV29" s="99">
        <v>6</v>
      </c>
      <c r="AW29" s="99">
        <v>2030.3999999999999</v>
      </c>
      <c r="AX29" s="99">
        <v>7</v>
      </c>
      <c r="AY29" s="99">
        <v>2368.7999999999997</v>
      </c>
      <c r="AZ29" s="99">
        <v>7</v>
      </c>
      <c r="BA29" s="99">
        <v>2368.7999999999997</v>
      </c>
      <c r="BB29" s="99">
        <v>6</v>
      </c>
      <c r="BC29" s="99">
        <v>2030.3999999999999</v>
      </c>
      <c r="BD29" s="99">
        <v>5</v>
      </c>
      <c r="BE29" s="99">
        <v>1692</v>
      </c>
      <c r="BF29" s="99">
        <v>3</v>
      </c>
      <c r="BG29" s="99">
        <v>1015.1999999999999</v>
      </c>
      <c r="BH29" s="99">
        <v>5</v>
      </c>
      <c r="BI29" s="99">
        <v>1692</v>
      </c>
      <c r="BJ29" s="99">
        <v>4</v>
      </c>
      <c r="BK29" s="99">
        <v>1353.6</v>
      </c>
      <c r="BL29" s="99">
        <v>4</v>
      </c>
      <c r="BM29" s="99">
        <v>1353.6</v>
      </c>
      <c r="BN29" s="99">
        <v>6</v>
      </c>
      <c r="BO29" s="99">
        <v>2030.3999999999999</v>
      </c>
      <c r="BP29" s="99">
        <v>5</v>
      </c>
      <c r="BQ29" s="99">
        <v>1692</v>
      </c>
      <c r="BR29" s="99">
        <v>4</v>
      </c>
      <c r="BS29" s="99">
        <v>1353.6</v>
      </c>
      <c r="BT29" s="99">
        <v>6</v>
      </c>
      <c r="BU29" s="99">
        <v>2030.3999999999999</v>
      </c>
      <c r="BV29" s="99">
        <v>4</v>
      </c>
      <c r="BW29" s="99">
        <v>1353.6</v>
      </c>
      <c r="BX29" s="99">
        <v>6</v>
      </c>
      <c r="BY29" s="99">
        <v>2030.3999999999999</v>
      </c>
      <c r="BZ29" s="99">
        <v>4</v>
      </c>
      <c r="CA29" s="99">
        <v>1353.6</v>
      </c>
      <c r="CB29" s="99">
        <v>7</v>
      </c>
      <c r="CC29" s="99">
        <v>2368.7999999999997</v>
      </c>
      <c r="CD29" s="99">
        <v>5</v>
      </c>
      <c r="CE29" s="99">
        <v>1692</v>
      </c>
      <c r="CF29" s="99">
        <v>5</v>
      </c>
      <c r="CG29" s="99">
        <v>1692</v>
      </c>
      <c r="CH29" s="99">
        <v>6</v>
      </c>
      <c r="CI29" s="99">
        <v>2030.3999999999999</v>
      </c>
      <c r="CJ29" s="99">
        <v>4</v>
      </c>
      <c r="CK29" s="99">
        <v>1353.6</v>
      </c>
      <c r="CL29" s="99">
        <v>6</v>
      </c>
      <c r="CM29" s="99">
        <v>2030.3999999999999</v>
      </c>
      <c r="CN29" s="99">
        <v>5</v>
      </c>
      <c r="CO29" s="99">
        <v>1692</v>
      </c>
      <c r="CP29" s="99">
        <v>4</v>
      </c>
      <c r="CQ29" s="99">
        <v>1353.6</v>
      </c>
      <c r="CR29" s="99">
        <v>4</v>
      </c>
      <c r="CS29" s="99">
        <v>1353.6</v>
      </c>
      <c r="CT29" s="99">
        <v>6</v>
      </c>
      <c r="CU29" s="99">
        <v>2030.3999999999999</v>
      </c>
    </row>
    <row r="30" spans="2:99">
      <c r="C30" s="98" t="s">
        <v>195</v>
      </c>
      <c r="D30" s="99">
        <v>5</v>
      </c>
      <c r="E30" s="99">
        <v>696</v>
      </c>
      <c r="F30" s="99">
        <v>5</v>
      </c>
      <c r="G30" s="99">
        <v>696</v>
      </c>
      <c r="H30" s="99">
        <v>6</v>
      </c>
      <c r="I30" s="99">
        <v>835.19999999999993</v>
      </c>
      <c r="J30" s="99">
        <v>5</v>
      </c>
      <c r="K30" s="99">
        <v>696</v>
      </c>
      <c r="L30" s="99">
        <v>4</v>
      </c>
      <c r="M30" s="99">
        <v>556.79999999999995</v>
      </c>
      <c r="N30" s="99">
        <v>4</v>
      </c>
      <c r="O30" s="99">
        <v>556.79999999999995</v>
      </c>
      <c r="P30" s="99">
        <v>5</v>
      </c>
      <c r="Q30" s="99">
        <v>696</v>
      </c>
      <c r="R30" s="99">
        <v>4</v>
      </c>
      <c r="S30" s="99">
        <v>556.79999999999995</v>
      </c>
      <c r="T30" s="99">
        <v>5</v>
      </c>
      <c r="U30" s="99">
        <v>696</v>
      </c>
      <c r="V30" s="99">
        <v>4</v>
      </c>
      <c r="W30" s="99">
        <v>556.79999999999995</v>
      </c>
      <c r="X30" s="99">
        <v>4</v>
      </c>
      <c r="Y30" s="99">
        <v>556.79999999999995</v>
      </c>
      <c r="Z30" s="99">
        <v>5</v>
      </c>
      <c r="AA30" s="99">
        <v>696</v>
      </c>
      <c r="AB30" s="99">
        <v>4</v>
      </c>
      <c r="AC30" s="99">
        <v>556.79999999999995</v>
      </c>
      <c r="AD30" s="99">
        <v>6</v>
      </c>
      <c r="AE30" s="99">
        <v>835.19999999999993</v>
      </c>
      <c r="AF30" s="99">
        <v>4</v>
      </c>
      <c r="AG30" s="99">
        <v>556.79999999999995</v>
      </c>
      <c r="AH30" s="99">
        <v>4</v>
      </c>
      <c r="AI30" s="99">
        <v>556.79999999999995</v>
      </c>
      <c r="AJ30" s="99">
        <v>6</v>
      </c>
      <c r="AK30" s="99">
        <v>835.19999999999993</v>
      </c>
      <c r="AL30" s="99">
        <v>4</v>
      </c>
      <c r="AM30" s="99">
        <v>556.79999999999995</v>
      </c>
      <c r="AN30" s="99">
        <v>6</v>
      </c>
      <c r="AO30" s="99">
        <v>835.19999999999993</v>
      </c>
      <c r="AP30" s="99">
        <v>3</v>
      </c>
      <c r="AQ30" s="99">
        <v>417.59999999999997</v>
      </c>
      <c r="AR30" s="99">
        <v>6</v>
      </c>
      <c r="AS30" s="99">
        <v>835.19999999999993</v>
      </c>
      <c r="AT30" s="99">
        <v>5</v>
      </c>
      <c r="AU30" s="99">
        <v>696</v>
      </c>
      <c r="AV30" s="99">
        <v>5</v>
      </c>
      <c r="AW30" s="99">
        <v>696</v>
      </c>
      <c r="AX30" s="99">
        <v>6</v>
      </c>
      <c r="AY30" s="99">
        <v>835.19999999999993</v>
      </c>
      <c r="AZ30" s="99">
        <v>6</v>
      </c>
      <c r="BA30" s="99">
        <v>835.19999999999993</v>
      </c>
      <c r="BB30" s="99">
        <v>6</v>
      </c>
      <c r="BC30" s="99">
        <v>835.19999999999993</v>
      </c>
      <c r="BD30" s="99">
        <v>6</v>
      </c>
      <c r="BE30" s="99">
        <v>835.19999999999993</v>
      </c>
      <c r="BF30" s="99">
        <v>4</v>
      </c>
      <c r="BG30" s="99">
        <v>556.79999999999995</v>
      </c>
      <c r="BH30" s="99">
        <v>5</v>
      </c>
      <c r="BI30" s="99">
        <v>696</v>
      </c>
      <c r="BJ30" s="99">
        <v>4</v>
      </c>
      <c r="BK30" s="99">
        <v>556.79999999999995</v>
      </c>
      <c r="BL30" s="99">
        <v>4</v>
      </c>
      <c r="BM30" s="99">
        <v>556.79999999999995</v>
      </c>
      <c r="BN30" s="99">
        <v>7</v>
      </c>
      <c r="BO30" s="99">
        <v>974.39999999999986</v>
      </c>
      <c r="BP30" s="99">
        <v>6</v>
      </c>
      <c r="BQ30" s="99">
        <v>835.19999999999993</v>
      </c>
      <c r="BR30" s="99">
        <v>4</v>
      </c>
      <c r="BS30" s="99">
        <v>556.79999999999995</v>
      </c>
      <c r="BT30" s="99">
        <v>6</v>
      </c>
      <c r="BU30" s="99">
        <v>835.19999999999993</v>
      </c>
      <c r="BV30" s="99">
        <v>4</v>
      </c>
      <c r="BW30" s="99">
        <v>556.79999999999995</v>
      </c>
      <c r="BX30" s="99">
        <v>6</v>
      </c>
      <c r="BY30" s="99">
        <v>835.19999999999993</v>
      </c>
      <c r="BZ30" s="99">
        <v>3</v>
      </c>
      <c r="CA30" s="99">
        <v>417.59999999999997</v>
      </c>
      <c r="CB30" s="99">
        <v>6</v>
      </c>
      <c r="CC30" s="99">
        <v>835.19999999999993</v>
      </c>
      <c r="CD30" s="99">
        <v>5</v>
      </c>
      <c r="CE30" s="99">
        <v>696</v>
      </c>
      <c r="CF30" s="99">
        <v>4</v>
      </c>
      <c r="CG30" s="99">
        <v>556.79999999999995</v>
      </c>
      <c r="CH30" s="99">
        <v>7</v>
      </c>
      <c r="CI30" s="99">
        <v>974.39999999999986</v>
      </c>
      <c r="CJ30" s="99">
        <v>4</v>
      </c>
      <c r="CK30" s="99">
        <v>556.79999999999995</v>
      </c>
      <c r="CL30" s="99">
        <v>5</v>
      </c>
      <c r="CM30" s="99">
        <v>696</v>
      </c>
      <c r="CN30" s="99">
        <v>5</v>
      </c>
      <c r="CO30" s="99">
        <v>696</v>
      </c>
      <c r="CP30" s="99">
        <v>5</v>
      </c>
      <c r="CQ30" s="99">
        <v>696</v>
      </c>
      <c r="CR30" s="99">
        <v>5</v>
      </c>
      <c r="CS30" s="99">
        <v>696</v>
      </c>
      <c r="CT30" s="99">
        <v>5</v>
      </c>
      <c r="CU30" s="99">
        <v>696</v>
      </c>
    </row>
    <row r="31" spans="2:99">
      <c r="C31" s="98" t="s">
        <v>196</v>
      </c>
      <c r="D31" s="99">
        <v>4</v>
      </c>
      <c r="E31" s="99">
        <v>1363.2</v>
      </c>
      <c r="F31" s="99">
        <v>5</v>
      </c>
      <c r="G31" s="99">
        <v>1704</v>
      </c>
      <c r="H31" s="99">
        <v>6</v>
      </c>
      <c r="I31" s="99">
        <v>2044.8000000000002</v>
      </c>
      <c r="J31" s="99">
        <v>4</v>
      </c>
      <c r="K31" s="99">
        <v>1363.2</v>
      </c>
      <c r="L31" s="99">
        <v>5</v>
      </c>
      <c r="M31" s="99">
        <v>1704</v>
      </c>
      <c r="N31" s="99">
        <v>4</v>
      </c>
      <c r="O31" s="99">
        <v>1363.2</v>
      </c>
      <c r="P31" s="99">
        <v>6</v>
      </c>
      <c r="Q31" s="99">
        <v>2044.8000000000002</v>
      </c>
      <c r="R31" s="99">
        <v>4</v>
      </c>
      <c r="S31" s="99">
        <v>1363.2</v>
      </c>
      <c r="T31" s="99">
        <v>5</v>
      </c>
      <c r="U31" s="99">
        <v>1704</v>
      </c>
      <c r="V31" s="99">
        <v>3</v>
      </c>
      <c r="W31" s="99">
        <v>1022.4000000000001</v>
      </c>
      <c r="X31" s="99">
        <v>4</v>
      </c>
      <c r="Y31" s="99">
        <v>1363.2</v>
      </c>
      <c r="Z31" s="99">
        <v>5</v>
      </c>
      <c r="AA31" s="99">
        <v>1704</v>
      </c>
      <c r="AB31" s="99">
        <v>4</v>
      </c>
      <c r="AC31" s="99">
        <v>1363.2</v>
      </c>
      <c r="AD31" s="99">
        <v>6</v>
      </c>
      <c r="AE31" s="99">
        <v>2044.8000000000002</v>
      </c>
      <c r="AF31" s="99">
        <v>4</v>
      </c>
      <c r="AG31" s="99">
        <v>1363.2</v>
      </c>
      <c r="AH31" s="99">
        <v>4</v>
      </c>
      <c r="AI31" s="99">
        <v>1363.2</v>
      </c>
      <c r="AJ31" s="99">
        <v>6</v>
      </c>
      <c r="AK31" s="99">
        <v>2044.8000000000002</v>
      </c>
      <c r="AL31" s="99">
        <v>5</v>
      </c>
      <c r="AM31" s="99">
        <v>1704</v>
      </c>
      <c r="AN31" s="99">
        <v>6</v>
      </c>
      <c r="AO31" s="99">
        <v>2044.8000000000002</v>
      </c>
      <c r="AP31" s="99">
        <v>3</v>
      </c>
      <c r="AQ31" s="99">
        <v>1022.4000000000001</v>
      </c>
      <c r="AR31" s="99">
        <v>5</v>
      </c>
      <c r="AS31" s="99">
        <v>1704</v>
      </c>
      <c r="AT31" s="99">
        <v>6</v>
      </c>
      <c r="AU31" s="99">
        <v>2044.8000000000002</v>
      </c>
      <c r="AV31" s="99">
        <v>6</v>
      </c>
      <c r="AW31" s="99">
        <v>2044.8000000000002</v>
      </c>
      <c r="AX31" s="99">
        <v>6</v>
      </c>
      <c r="AY31" s="99">
        <v>2044.8000000000002</v>
      </c>
      <c r="AZ31" s="99">
        <v>6</v>
      </c>
      <c r="BA31" s="99">
        <v>2044.8000000000002</v>
      </c>
      <c r="BB31" s="99">
        <v>6</v>
      </c>
      <c r="BC31" s="99">
        <v>2044.8000000000002</v>
      </c>
      <c r="BD31" s="99">
        <v>5</v>
      </c>
      <c r="BE31" s="99">
        <v>1704</v>
      </c>
      <c r="BF31" s="99">
        <v>4</v>
      </c>
      <c r="BG31" s="99">
        <v>1363.2</v>
      </c>
      <c r="BH31" s="99">
        <v>5</v>
      </c>
      <c r="BI31" s="99">
        <v>1704</v>
      </c>
      <c r="BJ31" s="99">
        <v>4</v>
      </c>
      <c r="BK31" s="99">
        <v>1363.2</v>
      </c>
      <c r="BL31" s="99">
        <v>4</v>
      </c>
      <c r="BM31" s="99">
        <v>1363.2</v>
      </c>
      <c r="BN31" s="99">
        <v>6</v>
      </c>
      <c r="BO31" s="99">
        <v>2044.8000000000002</v>
      </c>
      <c r="BP31" s="99">
        <v>6</v>
      </c>
      <c r="BQ31" s="99">
        <v>2044.8000000000002</v>
      </c>
      <c r="BR31" s="99">
        <v>3</v>
      </c>
      <c r="BS31" s="99">
        <v>1022.4000000000001</v>
      </c>
      <c r="BT31" s="99">
        <v>6</v>
      </c>
      <c r="BU31" s="99">
        <v>2044.8000000000002</v>
      </c>
      <c r="BV31" s="99">
        <v>4</v>
      </c>
      <c r="BW31" s="99">
        <v>1363.2</v>
      </c>
      <c r="BX31" s="99">
        <v>6</v>
      </c>
      <c r="BY31" s="99">
        <v>2044.8000000000002</v>
      </c>
      <c r="BZ31" s="99">
        <v>4</v>
      </c>
      <c r="CA31" s="99">
        <v>1363.2</v>
      </c>
      <c r="CB31" s="99">
        <v>7</v>
      </c>
      <c r="CC31" s="99">
        <v>2385.6</v>
      </c>
      <c r="CD31" s="99">
        <v>5</v>
      </c>
      <c r="CE31" s="99">
        <v>1704</v>
      </c>
      <c r="CF31" s="99">
        <v>4</v>
      </c>
      <c r="CG31" s="99">
        <v>1363.2</v>
      </c>
      <c r="CH31" s="99">
        <v>6</v>
      </c>
      <c r="CI31" s="99">
        <v>2044.8000000000002</v>
      </c>
      <c r="CJ31" s="99">
        <v>4</v>
      </c>
      <c r="CK31" s="99">
        <v>1363.2</v>
      </c>
      <c r="CL31" s="99">
        <v>6</v>
      </c>
      <c r="CM31" s="99">
        <v>2044.8000000000002</v>
      </c>
      <c r="CN31" s="99">
        <v>5</v>
      </c>
      <c r="CO31" s="99">
        <v>1704</v>
      </c>
      <c r="CP31" s="99">
        <v>4</v>
      </c>
      <c r="CQ31" s="99">
        <v>1363.2</v>
      </c>
      <c r="CR31" s="99">
        <v>5</v>
      </c>
      <c r="CS31" s="99">
        <v>1704</v>
      </c>
      <c r="CT31" s="99">
        <v>5</v>
      </c>
      <c r="CU31" s="99">
        <v>1704</v>
      </c>
    </row>
    <row r="32" spans="2:99">
      <c r="C32" s="98" t="s">
        <v>197</v>
      </c>
      <c r="D32" s="99">
        <v>4</v>
      </c>
      <c r="E32" s="99">
        <v>3360</v>
      </c>
      <c r="F32" s="99">
        <v>4</v>
      </c>
      <c r="G32" s="99">
        <v>3360</v>
      </c>
      <c r="H32" s="99">
        <v>6</v>
      </c>
      <c r="I32" s="99">
        <v>5040</v>
      </c>
      <c r="J32" s="99">
        <v>4</v>
      </c>
      <c r="K32" s="99">
        <v>3360</v>
      </c>
      <c r="L32" s="99">
        <v>5</v>
      </c>
      <c r="M32" s="99">
        <v>4200</v>
      </c>
      <c r="N32" s="99">
        <v>5</v>
      </c>
      <c r="O32" s="99">
        <v>4200</v>
      </c>
      <c r="P32" s="99">
        <v>5</v>
      </c>
      <c r="Q32" s="99">
        <v>4200</v>
      </c>
      <c r="R32" s="99">
        <v>4</v>
      </c>
      <c r="S32" s="99">
        <v>3360</v>
      </c>
      <c r="T32" s="99">
        <v>4</v>
      </c>
      <c r="U32" s="99">
        <v>3360</v>
      </c>
      <c r="V32" s="99">
        <v>3</v>
      </c>
      <c r="W32" s="99">
        <v>2520</v>
      </c>
      <c r="X32" s="99">
        <v>4</v>
      </c>
      <c r="Y32" s="99">
        <v>3360</v>
      </c>
      <c r="Z32" s="99">
        <v>5</v>
      </c>
      <c r="AA32" s="99">
        <v>4200</v>
      </c>
      <c r="AB32" s="99">
        <v>4</v>
      </c>
      <c r="AC32" s="99">
        <v>3360</v>
      </c>
      <c r="AD32" s="99">
        <v>6</v>
      </c>
      <c r="AE32" s="99">
        <v>5040</v>
      </c>
      <c r="AF32" s="99">
        <v>4</v>
      </c>
      <c r="AG32" s="99">
        <v>3360</v>
      </c>
      <c r="AH32" s="99">
        <v>4</v>
      </c>
      <c r="AI32" s="99">
        <v>3360</v>
      </c>
      <c r="AJ32" s="99">
        <v>6</v>
      </c>
      <c r="AK32" s="99">
        <v>5040</v>
      </c>
      <c r="AL32" s="99">
        <v>4</v>
      </c>
      <c r="AM32" s="99">
        <v>3360</v>
      </c>
      <c r="AN32" s="99">
        <v>6</v>
      </c>
      <c r="AO32" s="99">
        <v>5040</v>
      </c>
      <c r="AP32" s="99">
        <v>4</v>
      </c>
      <c r="AQ32" s="99">
        <v>3360</v>
      </c>
      <c r="AR32" s="99">
        <v>6</v>
      </c>
      <c r="AS32" s="99">
        <v>5040</v>
      </c>
      <c r="AT32" s="99">
        <v>5</v>
      </c>
      <c r="AU32" s="99">
        <v>4200</v>
      </c>
      <c r="AV32" s="99">
        <v>5</v>
      </c>
      <c r="AW32" s="99">
        <v>4200</v>
      </c>
      <c r="AX32" s="99">
        <v>6</v>
      </c>
      <c r="AY32" s="99">
        <v>5040</v>
      </c>
      <c r="AZ32" s="99">
        <v>6</v>
      </c>
      <c r="BA32" s="99">
        <v>5040</v>
      </c>
      <c r="BB32" s="99">
        <v>6</v>
      </c>
      <c r="BC32" s="99">
        <v>5040</v>
      </c>
      <c r="BD32" s="99">
        <v>6</v>
      </c>
      <c r="BE32" s="99">
        <v>5040</v>
      </c>
      <c r="BF32" s="99">
        <v>4</v>
      </c>
      <c r="BG32" s="99">
        <v>3360</v>
      </c>
      <c r="BH32" s="99">
        <v>5</v>
      </c>
      <c r="BI32" s="99">
        <v>4200</v>
      </c>
      <c r="BJ32" s="99">
        <v>4</v>
      </c>
      <c r="BK32" s="99">
        <v>3360</v>
      </c>
      <c r="BL32" s="99">
        <v>4</v>
      </c>
      <c r="BM32" s="99">
        <v>3360</v>
      </c>
      <c r="BN32" s="99">
        <v>7</v>
      </c>
      <c r="BO32" s="99">
        <v>5880</v>
      </c>
      <c r="BP32" s="99">
        <v>6</v>
      </c>
      <c r="BQ32" s="99">
        <v>5040</v>
      </c>
      <c r="BR32" s="99">
        <v>4</v>
      </c>
      <c r="BS32" s="99">
        <v>3360</v>
      </c>
      <c r="BT32" s="99">
        <v>6</v>
      </c>
      <c r="BU32" s="99">
        <v>5040</v>
      </c>
      <c r="BV32" s="99">
        <v>4</v>
      </c>
      <c r="BW32" s="99">
        <v>3360</v>
      </c>
      <c r="BX32" s="99">
        <v>6</v>
      </c>
      <c r="BY32" s="99">
        <v>5040</v>
      </c>
      <c r="BZ32" s="99">
        <v>3</v>
      </c>
      <c r="CA32" s="99">
        <v>2520</v>
      </c>
      <c r="CB32" s="99">
        <v>6</v>
      </c>
      <c r="CC32" s="99">
        <v>5040</v>
      </c>
      <c r="CD32" s="99">
        <v>4</v>
      </c>
      <c r="CE32" s="99">
        <v>3360</v>
      </c>
      <c r="CF32" s="99">
        <v>4</v>
      </c>
      <c r="CG32" s="99">
        <v>3360</v>
      </c>
      <c r="CH32" s="99">
        <v>6</v>
      </c>
      <c r="CI32" s="99">
        <v>5040</v>
      </c>
      <c r="CJ32" s="99">
        <v>4</v>
      </c>
      <c r="CK32" s="99">
        <v>3360</v>
      </c>
      <c r="CL32" s="99">
        <v>5</v>
      </c>
      <c r="CM32" s="99">
        <v>4200</v>
      </c>
      <c r="CN32" s="99">
        <v>5</v>
      </c>
      <c r="CO32" s="99">
        <v>4200</v>
      </c>
      <c r="CP32" s="99">
        <v>4</v>
      </c>
      <c r="CQ32" s="99">
        <v>3360</v>
      </c>
      <c r="CR32" s="99">
        <v>5</v>
      </c>
      <c r="CS32" s="99">
        <v>4200</v>
      </c>
      <c r="CT32" s="99">
        <v>5</v>
      </c>
      <c r="CU32" s="99">
        <v>4200</v>
      </c>
    </row>
    <row r="33" spans="2:99">
      <c r="C33" s="98" t="s">
        <v>198</v>
      </c>
      <c r="D33" s="99">
        <v>4</v>
      </c>
      <c r="E33" s="99">
        <v>1896</v>
      </c>
      <c r="F33" s="99">
        <v>5</v>
      </c>
      <c r="G33" s="99">
        <v>2370</v>
      </c>
      <c r="H33" s="99">
        <v>6</v>
      </c>
      <c r="I33" s="99">
        <v>2844</v>
      </c>
      <c r="J33" s="99">
        <v>5</v>
      </c>
      <c r="K33" s="99">
        <v>2370</v>
      </c>
      <c r="L33" s="99">
        <v>4</v>
      </c>
      <c r="M33" s="99">
        <v>1896</v>
      </c>
      <c r="N33" s="99">
        <v>5</v>
      </c>
      <c r="O33" s="99">
        <v>2370</v>
      </c>
      <c r="P33" s="99">
        <v>5</v>
      </c>
      <c r="Q33" s="99">
        <v>2370</v>
      </c>
      <c r="R33" s="99">
        <v>4</v>
      </c>
      <c r="S33" s="99">
        <v>1896</v>
      </c>
      <c r="T33" s="99">
        <v>5</v>
      </c>
      <c r="U33" s="99">
        <v>2370</v>
      </c>
      <c r="V33" s="99">
        <v>4</v>
      </c>
      <c r="W33" s="99">
        <v>1896</v>
      </c>
      <c r="X33" s="99">
        <v>4</v>
      </c>
      <c r="Y33" s="99">
        <v>1896</v>
      </c>
      <c r="Z33" s="99">
        <v>5</v>
      </c>
      <c r="AA33" s="99">
        <v>2370</v>
      </c>
      <c r="AB33" s="99">
        <v>4</v>
      </c>
      <c r="AC33" s="99">
        <v>1896</v>
      </c>
      <c r="AD33" s="99">
        <v>5</v>
      </c>
      <c r="AE33" s="99">
        <v>2370</v>
      </c>
      <c r="AF33" s="99">
        <v>4</v>
      </c>
      <c r="AG33" s="99">
        <v>1896</v>
      </c>
      <c r="AH33" s="99">
        <v>4</v>
      </c>
      <c r="AI33" s="99">
        <v>1896</v>
      </c>
      <c r="AJ33" s="99">
        <v>6</v>
      </c>
      <c r="AK33" s="99">
        <v>2844</v>
      </c>
      <c r="AL33" s="99">
        <v>4</v>
      </c>
      <c r="AM33" s="99">
        <v>1896</v>
      </c>
      <c r="AN33" s="99">
        <v>6</v>
      </c>
      <c r="AO33" s="99">
        <v>2844</v>
      </c>
      <c r="AP33" s="99">
        <v>3</v>
      </c>
      <c r="AQ33" s="99">
        <v>1422</v>
      </c>
      <c r="AR33" s="99">
        <v>5</v>
      </c>
      <c r="AS33" s="99">
        <v>2370</v>
      </c>
      <c r="AT33" s="99">
        <v>5</v>
      </c>
      <c r="AU33" s="99">
        <v>2370</v>
      </c>
      <c r="AV33" s="99">
        <v>6</v>
      </c>
      <c r="AW33" s="99">
        <v>2844</v>
      </c>
      <c r="AX33" s="99">
        <v>6</v>
      </c>
      <c r="AY33" s="99">
        <v>2844</v>
      </c>
      <c r="AZ33" s="99">
        <v>7</v>
      </c>
      <c r="BA33" s="99">
        <v>3318</v>
      </c>
      <c r="BB33" s="99">
        <v>5</v>
      </c>
      <c r="BC33" s="99">
        <v>2370</v>
      </c>
      <c r="BD33" s="99">
        <v>6</v>
      </c>
      <c r="BE33" s="99">
        <v>2844</v>
      </c>
      <c r="BF33" s="99">
        <v>3</v>
      </c>
      <c r="BG33" s="99">
        <v>1422</v>
      </c>
      <c r="BH33" s="99">
        <v>5</v>
      </c>
      <c r="BI33" s="99">
        <v>2370</v>
      </c>
      <c r="BJ33" s="99">
        <v>3</v>
      </c>
      <c r="BK33" s="99">
        <v>1422</v>
      </c>
      <c r="BL33" s="99">
        <v>3</v>
      </c>
      <c r="BM33" s="99">
        <v>1422</v>
      </c>
      <c r="BN33" s="99">
        <v>6</v>
      </c>
      <c r="BO33" s="99">
        <v>2844</v>
      </c>
      <c r="BP33" s="99">
        <v>6</v>
      </c>
      <c r="BQ33" s="99">
        <v>2844</v>
      </c>
      <c r="BR33" s="99">
        <v>4</v>
      </c>
      <c r="BS33" s="99">
        <v>1896</v>
      </c>
      <c r="BT33" s="99">
        <v>5</v>
      </c>
      <c r="BU33" s="99">
        <v>2370</v>
      </c>
      <c r="BV33" s="99">
        <v>4</v>
      </c>
      <c r="BW33" s="99">
        <v>1896</v>
      </c>
      <c r="BX33" s="99">
        <v>6</v>
      </c>
      <c r="BY33" s="99">
        <v>2844</v>
      </c>
      <c r="BZ33" s="99">
        <v>4</v>
      </c>
      <c r="CA33" s="99">
        <v>1896</v>
      </c>
      <c r="CB33" s="99">
        <v>7</v>
      </c>
      <c r="CC33" s="99">
        <v>3318</v>
      </c>
      <c r="CD33" s="99">
        <v>5</v>
      </c>
      <c r="CE33" s="99">
        <v>2370</v>
      </c>
      <c r="CF33" s="99">
        <v>5</v>
      </c>
      <c r="CG33" s="99">
        <v>2370</v>
      </c>
      <c r="CH33" s="99">
        <v>6</v>
      </c>
      <c r="CI33" s="99">
        <v>2844</v>
      </c>
      <c r="CJ33" s="99">
        <v>4</v>
      </c>
      <c r="CK33" s="99">
        <v>1896</v>
      </c>
      <c r="CL33" s="99">
        <v>6</v>
      </c>
      <c r="CM33" s="99">
        <v>2844</v>
      </c>
      <c r="CN33" s="99">
        <v>5</v>
      </c>
      <c r="CO33" s="99">
        <v>2370</v>
      </c>
      <c r="CP33" s="99">
        <v>5</v>
      </c>
      <c r="CQ33" s="99">
        <v>2370</v>
      </c>
      <c r="CR33" s="99">
        <v>5</v>
      </c>
      <c r="CS33" s="99">
        <v>2370</v>
      </c>
      <c r="CT33" s="99">
        <v>5</v>
      </c>
      <c r="CU33" s="99">
        <v>2370</v>
      </c>
    </row>
    <row r="34" spans="2:99">
      <c r="C34" s="98" t="s">
        <v>199</v>
      </c>
      <c r="D34" s="99">
        <v>4</v>
      </c>
      <c r="E34" s="99">
        <v>2193.6</v>
      </c>
      <c r="F34" s="99">
        <v>5</v>
      </c>
      <c r="G34" s="99">
        <v>2742</v>
      </c>
      <c r="H34" s="99">
        <v>6</v>
      </c>
      <c r="I34" s="99">
        <v>3290.3999999999996</v>
      </c>
      <c r="J34" s="99">
        <v>4</v>
      </c>
      <c r="K34" s="99">
        <v>2193.6</v>
      </c>
      <c r="L34" s="99">
        <v>5</v>
      </c>
      <c r="M34" s="99">
        <v>2742</v>
      </c>
      <c r="N34" s="99">
        <v>5</v>
      </c>
      <c r="O34" s="99">
        <v>2742</v>
      </c>
      <c r="P34" s="99">
        <v>5</v>
      </c>
      <c r="Q34" s="99">
        <v>2742</v>
      </c>
      <c r="R34" s="99">
        <v>4</v>
      </c>
      <c r="S34" s="99">
        <v>2193.6</v>
      </c>
      <c r="T34" s="99">
        <v>5</v>
      </c>
      <c r="U34" s="99">
        <v>2742</v>
      </c>
      <c r="V34" s="99">
        <v>4</v>
      </c>
      <c r="W34" s="99">
        <v>2193.6</v>
      </c>
      <c r="X34" s="99">
        <v>4</v>
      </c>
      <c r="Y34" s="99">
        <v>2193.6</v>
      </c>
      <c r="Z34" s="99">
        <v>5</v>
      </c>
      <c r="AA34" s="99">
        <v>2742</v>
      </c>
      <c r="AB34" s="99">
        <v>4</v>
      </c>
      <c r="AC34" s="99">
        <v>2193.6</v>
      </c>
      <c r="AD34" s="99">
        <v>5</v>
      </c>
      <c r="AE34" s="99">
        <v>2742</v>
      </c>
      <c r="AF34" s="99">
        <v>3</v>
      </c>
      <c r="AG34" s="99">
        <v>1645.1999999999998</v>
      </c>
      <c r="AH34" s="99">
        <v>5</v>
      </c>
      <c r="AI34" s="99">
        <v>2742</v>
      </c>
      <c r="AJ34" s="99">
        <v>6</v>
      </c>
      <c r="AK34" s="99">
        <v>3290.3999999999996</v>
      </c>
      <c r="AL34" s="99">
        <v>5</v>
      </c>
      <c r="AM34" s="99">
        <v>2742</v>
      </c>
      <c r="AN34" s="99">
        <v>5</v>
      </c>
      <c r="AO34" s="99">
        <v>2742</v>
      </c>
      <c r="AP34" s="99">
        <v>3</v>
      </c>
      <c r="AQ34" s="99">
        <v>1645.1999999999998</v>
      </c>
      <c r="AR34" s="99">
        <v>5</v>
      </c>
      <c r="AS34" s="99">
        <v>2742</v>
      </c>
      <c r="AT34" s="99">
        <v>5</v>
      </c>
      <c r="AU34" s="99">
        <v>2742</v>
      </c>
      <c r="AV34" s="99">
        <v>6</v>
      </c>
      <c r="AW34" s="99">
        <v>3290.3999999999996</v>
      </c>
      <c r="AX34" s="99">
        <v>6</v>
      </c>
      <c r="AY34" s="99">
        <v>3290.3999999999996</v>
      </c>
      <c r="AZ34" s="99">
        <v>6</v>
      </c>
      <c r="BA34" s="99">
        <v>3290.3999999999996</v>
      </c>
      <c r="BB34" s="99">
        <v>6</v>
      </c>
      <c r="BC34" s="99">
        <v>3290.3999999999996</v>
      </c>
      <c r="BD34" s="99">
        <v>6</v>
      </c>
      <c r="BE34" s="99">
        <v>3290.3999999999996</v>
      </c>
      <c r="BF34" s="99">
        <v>4</v>
      </c>
      <c r="BG34" s="99">
        <v>2193.6</v>
      </c>
      <c r="BH34" s="99">
        <v>5</v>
      </c>
      <c r="BI34" s="99">
        <v>2742</v>
      </c>
      <c r="BJ34" s="99">
        <v>4</v>
      </c>
      <c r="BK34" s="99">
        <v>2193.6</v>
      </c>
      <c r="BL34" s="99">
        <v>4</v>
      </c>
      <c r="BM34" s="99">
        <v>2193.6</v>
      </c>
      <c r="BN34" s="99">
        <v>6</v>
      </c>
      <c r="BO34" s="99">
        <v>3290.3999999999996</v>
      </c>
      <c r="BP34" s="99">
        <v>6</v>
      </c>
      <c r="BQ34" s="99">
        <v>3290.3999999999996</v>
      </c>
      <c r="BR34" s="99">
        <v>4</v>
      </c>
      <c r="BS34" s="99">
        <v>2193.6</v>
      </c>
      <c r="BT34" s="99">
        <v>6</v>
      </c>
      <c r="BU34" s="99">
        <v>3290.3999999999996</v>
      </c>
      <c r="BV34" s="99">
        <v>4</v>
      </c>
      <c r="BW34" s="99">
        <v>2193.6</v>
      </c>
      <c r="BX34" s="99">
        <v>6</v>
      </c>
      <c r="BY34" s="99">
        <v>3290.3999999999996</v>
      </c>
      <c r="BZ34" s="99">
        <v>3</v>
      </c>
      <c r="CA34" s="99">
        <v>1645.1999999999998</v>
      </c>
      <c r="CB34" s="99">
        <v>7</v>
      </c>
      <c r="CC34" s="99">
        <v>3838.7999999999997</v>
      </c>
      <c r="CD34" s="99">
        <v>4</v>
      </c>
      <c r="CE34" s="99">
        <v>2193.6</v>
      </c>
      <c r="CF34" s="99">
        <v>5</v>
      </c>
      <c r="CG34" s="99">
        <v>2742</v>
      </c>
      <c r="CH34" s="99">
        <v>6</v>
      </c>
      <c r="CI34" s="99">
        <v>3290.3999999999996</v>
      </c>
      <c r="CJ34" s="99">
        <v>4</v>
      </c>
      <c r="CK34" s="99">
        <v>2193.6</v>
      </c>
      <c r="CL34" s="99">
        <v>6</v>
      </c>
      <c r="CM34" s="99">
        <v>3290.3999999999996</v>
      </c>
      <c r="CN34" s="99">
        <v>5</v>
      </c>
      <c r="CO34" s="99">
        <v>2742</v>
      </c>
      <c r="CP34" s="99">
        <v>4</v>
      </c>
      <c r="CQ34" s="99">
        <v>2193.6</v>
      </c>
      <c r="CR34" s="99">
        <v>5</v>
      </c>
      <c r="CS34" s="99">
        <v>2742</v>
      </c>
      <c r="CT34" s="99">
        <v>6</v>
      </c>
      <c r="CU34" s="99">
        <v>3290.3999999999996</v>
      </c>
    </row>
    <row r="35" spans="2:99">
      <c r="C35" s="98" t="s">
        <v>200</v>
      </c>
      <c r="D35" s="99">
        <v>4</v>
      </c>
      <c r="E35" s="99">
        <v>2011.1999999999996</v>
      </c>
      <c r="F35" s="99">
        <v>5</v>
      </c>
      <c r="G35" s="99">
        <v>2513.9999999999995</v>
      </c>
      <c r="H35" s="99">
        <v>6</v>
      </c>
      <c r="I35" s="99">
        <v>3016.7999999999993</v>
      </c>
      <c r="J35" s="99">
        <v>5</v>
      </c>
      <c r="K35" s="99">
        <v>2513.9999999999995</v>
      </c>
      <c r="L35" s="99">
        <v>5</v>
      </c>
      <c r="M35" s="99">
        <v>2513.9999999999995</v>
      </c>
      <c r="N35" s="99">
        <v>4</v>
      </c>
      <c r="O35" s="99">
        <v>2011.1999999999996</v>
      </c>
      <c r="P35" s="99">
        <v>6</v>
      </c>
      <c r="Q35" s="99">
        <v>3016.7999999999993</v>
      </c>
      <c r="R35" s="99">
        <v>4</v>
      </c>
      <c r="S35" s="99">
        <v>2011.1999999999996</v>
      </c>
      <c r="T35" s="99">
        <v>4</v>
      </c>
      <c r="U35" s="99">
        <v>2011.1999999999996</v>
      </c>
      <c r="V35" s="99">
        <v>3</v>
      </c>
      <c r="W35" s="99">
        <v>1508.3999999999996</v>
      </c>
      <c r="X35" s="99">
        <v>4</v>
      </c>
      <c r="Y35" s="99">
        <v>2011.1999999999996</v>
      </c>
      <c r="Z35" s="99">
        <v>5</v>
      </c>
      <c r="AA35" s="99">
        <v>2513.9999999999995</v>
      </c>
      <c r="AB35" s="99">
        <v>4</v>
      </c>
      <c r="AC35" s="99">
        <v>2011.1999999999996</v>
      </c>
      <c r="AD35" s="99">
        <v>6</v>
      </c>
      <c r="AE35" s="99">
        <v>3016.7999999999993</v>
      </c>
      <c r="AF35" s="99">
        <v>4</v>
      </c>
      <c r="AG35" s="99">
        <v>2011.1999999999996</v>
      </c>
      <c r="AH35" s="99">
        <v>5</v>
      </c>
      <c r="AI35" s="99">
        <v>2513.9999999999995</v>
      </c>
      <c r="AJ35" s="99">
        <v>5</v>
      </c>
      <c r="AK35" s="99">
        <v>2513.9999999999995</v>
      </c>
      <c r="AL35" s="99">
        <v>5</v>
      </c>
      <c r="AM35" s="99">
        <v>2513.9999999999995</v>
      </c>
      <c r="AN35" s="99">
        <v>6</v>
      </c>
      <c r="AO35" s="99">
        <v>3016.7999999999993</v>
      </c>
      <c r="AP35" s="99">
        <v>3</v>
      </c>
      <c r="AQ35" s="99">
        <v>1508.3999999999996</v>
      </c>
      <c r="AR35" s="99">
        <v>6</v>
      </c>
      <c r="AS35" s="99">
        <v>3016.7999999999993</v>
      </c>
      <c r="AT35" s="99">
        <v>5</v>
      </c>
      <c r="AU35" s="99">
        <v>2513.9999999999995</v>
      </c>
      <c r="AV35" s="99">
        <v>6</v>
      </c>
      <c r="AW35" s="99">
        <v>3016.7999999999993</v>
      </c>
      <c r="AX35" s="99">
        <v>6</v>
      </c>
      <c r="AY35" s="99">
        <v>3016.7999999999993</v>
      </c>
      <c r="AZ35" s="99">
        <v>6</v>
      </c>
      <c r="BA35" s="99">
        <v>3016.7999999999993</v>
      </c>
      <c r="BB35" s="99">
        <v>6</v>
      </c>
      <c r="BC35" s="99">
        <v>3016.7999999999993</v>
      </c>
      <c r="BD35" s="99">
        <v>5</v>
      </c>
      <c r="BE35" s="99">
        <v>2513.9999999999995</v>
      </c>
      <c r="BF35" s="99">
        <v>4</v>
      </c>
      <c r="BG35" s="99">
        <v>2011.1999999999996</v>
      </c>
      <c r="BH35" s="99">
        <v>5</v>
      </c>
      <c r="BI35" s="99">
        <v>2513.9999999999995</v>
      </c>
      <c r="BJ35" s="99">
        <v>3</v>
      </c>
      <c r="BK35" s="99">
        <v>1508.3999999999996</v>
      </c>
      <c r="BL35" s="99">
        <v>3</v>
      </c>
      <c r="BM35" s="99">
        <v>1508.3999999999996</v>
      </c>
      <c r="BN35" s="99">
        <v>6</v>
      </c>
      <c r="BO35" s="99">
        <v>3016.7999999999993</v>
      </c>
      <c r="BP35" s="99">
        <v>6</v>
      </c>
      <c r="BQ35" s="99">
        <v>3016.7999999999993</v>
      </c>
      <c r="BR35" s="99">
        <v>3</v>
      </c>
      <c r="BS35" s="99">
        <v>1508.3999999999996</v>
      </c>
      <c r="BT35" s="99">
        <v>5</v>
      </c>
      <c r="BU35" s="99">
        <v>2513.9999999999995</v>
      </c>
      <c r="BV35" s="99">
        <v>4</v>
      </c>
      <c r="BW35" s="99">
        <v>2011.1999999999996</v>
      </c>
      <c r="BX35" s="99">
        <v>6</v>
      </c>
      <c r="BY35" s="99">
        <v>3016.7999999999993</v>
      </c>
      <c r="BZ35" s="99">
        <v>4</v>
      </c>
      <c r="CA35" s="99">
        <v>2011.1999999999996</v>
      </c>
      <c r="CB35" s="99">
        <v>7</v>
      </c>
      <c r="CC35" s="99">
        <v>3519.5999999999995</v>
      </c>
      <c r="CD35" s="99">
        <v>5</v>
      </c>
      <c r="CE35" s="99">
        <v>2513.9999999999995</v>
      </c>
      <c r="CF35" s="99">
        <v>4</v>
      </c>
      <c r="CG35" s="99">
        <v>2011.1999999999996</v>
      </c>
      <c r="CH35" s="99">
        <v>6</v>
      </c>
      <c r="CI35" s="99">
        <v>3016.7999999999993</v>
      </c>
      <c r="CJ35" s="99">
        <v>4</v>
      </c>
      <c r="CK35" s="99">
        <v>2011.1999999999996</v>
      </c>
      <c r="CL35" s="99">
        <v>6</v>
      </c>
      <c r="CM35" s="99">
        <v>3016.7999999999993</v>
      </c>
      <c r="CN35" s="99">
        <v>5</v>
      </c>
      <c r="CO35" s="99">
        <v>2513.9999999999995</v>
      </c>
      <c r="CP35" s="99">
        <v>4</v>
      </c>
      <c r="CQ35" s="99">
        <v>2011.1999999999996</v>
      </c>
      <c r="CR35" s="99">
        <v>5</v>
      </c>
      <c r="CS35" s="99">
        <v>2513.9999999999995</v>
      </c>
      <c r="CT35" s="99">
        <v>5</v>
      </c>
      <c r="CU35" s="99">
        <v>2513.9999999999995</v>
      </c>
    </row>
    <row r="36" spans="2:99">
      <c r="C36" s="98" t="s">
        <v>201</v>
      </c>
      <c r="D36" s="99">
        <v>4</v>
      </c>
      <c r="E36" s="99">
        <v>3043.2</v>
      </c>
      <c r="F36" s="99">
        <v>5</v>
      </c>
      <c r="G36" s="99">
        <v>3804</v>
      </c>
      <c r="H36" s="99">
        <v>6</v>
      </c>
      <c r="I36" s="99">
        <v>4564.7999999999993</v>
      </c>
      <c r="J36" s="99">
        <v>4</v>
      </c>
      <c r="K36" s="99">
        <v>3043.2</v>
      </c>
      <c r="L36" s="99">
        <v>4</v>
      </c>
      <c r="M36" s="99">
        <v>3043.2</v>
      </c>
      <c r="N36" s="99">
        <v>4</v>
      </c>
      <c r="O36" s="99">
        <v>3043.2</v>
      </c>
      <c r="P36" s="99">
        <v>6</v>
      </c>
      <c r="Q36" s="99">
        <v>4564.7999999999993</v>
      </c>
      <c r="R36" s="99">
        <v>4</v>
      </c>
      <c r="S36" s="99">
        <v>3043.2</v>
      </c>
      <c r="T36" s="99">
        <v>4</v>
      </c>
      <c r="U36" s="99">
        <v>3043.2</v>
      </c>
      <c r="V36" s="99">
        <v>3</v>
      </c>
      <c r="W36" s="99">
        <v>2282.3999999999996</v>
      </c>
      <c r="X36" s="99">
        <v>4</v>
      </c>
      <c r="Y36" s="99">
        <v>3043.2</v>
      </c>
      <c r="Z36" s="99">
        <v>5</v>
      </c>
      <c r="AA36" s="99">
        <v>3804</v>
      </c>
      <c r="AB36" s="99">
        <v>4</v>
      </c>
      <c r="AC36" s="99">
        <v>3043.2</v>
      </c>
      <c r="AD36" s="99">
        <v>6</v>
      </c>
      <c r="AE36" s="99">
        <v>4564.7999999999993</v>
      </c>
      <c r="AF36" s="99">
        <v>4</v>
      </c>
      <c r="AG36" s="99">
        <v>3043.2</v>
      </c>
      <c r="AH36" s="99">
        <v>5</v>
      </c>
      <c r="AI36" s="99">
        <v>3804</v>
      </c>
      <c r="AJ36" s="99">
        <v>6</v>
      </c>
      <c r="AK36" s="99">
        <v>4564.7999999999993</v>
      </c>
      <c r="AL36" s="99">
        <v>4</v>
      </c>
      <c r="AM36" s="99">
        <v>3043.2</v>
      </c>
      <c r="AN36" s="99">
        <v>6</v>
      </c>
      <c r="AO36" s="99">
        <v>4564.7999999999993</v>
      </c>
      <c r="AP36" s="99">
        <v>3</v>
      </c>
      <c r="AQ36" s="99">
        <v>2282.3999999999996</v>
      </c>
      <c r="AR36" s="99">
        <v>6</v>
      </c>
      <c r="AS36" s="99">
        <v>4564.7999999999993</v>
      </c>
      <c r="AT36" s="99">
        <v>5</v>
      </c>
      <c r="AU36" s="99">
        <v>3804</v>
      </c>
      <c r="AV36" s="99">
        <v>6</v>
      </c>
      <c r="AW36" s="99">
        <v>4564.7999999999993</v>
      </c>
      <c r="AX36" s="99">
        <v>7</v>
      </c>
      <c r="AY36" s="99">
        <v>5325.5999999999995</v>
      </c>
      <c r="AZ36" s="99">
        <v>6</v>
      </c>
      <c r="BA36" s="99">
        <v>4564.7999999999993</v>
      </c>
      <c r="BB36" s="99">
        <v>5</v>
      </c>
      <c r="BC36" s="99">
        <v>3804</v>
      </c>
      <c r="BD36" s="99">
        <v>6</v>
      </c>
      <c r="BE36" s="99">
        <v>4564.7999999999993</v>
      </c>
      <c r="BF36" s="99">
        <v>4</v>
      </c>
      <c r="BG36" s="99">
        <v>3043.2</v>
      </c>
      <c r="BH36" s="99">
        <v>5</v>
      </c>
      <c r="BI36" s="99">
        <v>3804</v>
      </c>
      <c r="BJ36" s="99">
        <v>3</v>
      </c>
      <c r="BK36" s="99">
        <v>2282.3999999999996</v>
      </c>
      <c r="BL36" s="99">
        <v>4</v>
      </c>
      <c r="BM36" s="99">
        <v>3043.2</v>
      </c>
      <c r="BN36" s="99">
        <v>7</v>
      </c>
      <c r="BO36" s="99">
        <v>5325.5999999999995</v>
      </c>
      <c r="BP36" s="99">
        <v>6</v>
      </c>
      <c r="BQ36" s="99">
        <v>4564.7999999999993</v>
      </c>
      <c r="BR36" s="99">
        <v>3</v>
      </c>
      <c r="BS36" s="99">
        <v>2282.3999999999996</v>
      </c>
      <c r="BT36" s="99">
        <v>6</v>
      </c>
      <c r="BU36" s="99">
        <v>4564.7999999999993</v>
      </c>
      <c r="BV36" s="99">
        <v>4</v>
      </c>
      <c r="BW36" s="99">
        <v>3043.2</v>
      </c>
      <c r="BX36" s="99">
        <v>6</v>
      </c>
      <c r="BY36" s="99">
        <v>4564.7999999999993</v>
      </c>
      <c r="BZ36" s="99">
        <v>3</v>
      </c>
      <c r="CA36" s="99">
        <v>2282.3999999999996</v>
      </c>
      <c r="CB36" s="99">
        <v>6</v>
      </c>
      <c r="CC36" s="99">
        <v>4564.7999999999993</v>
      </c>
      <c r="CD36" s="99">
        <v>4</v>
      </c>
      <c r="CE36" s="99">
        <v>3043.2</v>
      </c>
      <c r="CF36" s="99">
        <v>4</v>
      </c>
      <c r="CG36" s="99">
        <v>3043.2</v>
      </c>
      <c r="CH36" s="99">
        <v>6</v>
      </c>
      <c r="CI36" s="99">
        <v>4564.7999999999993</v>
      </c>
      <c r="CJ36" s="99">
        <v>4</v>
      </c>
      <c r="CK36" s="99">
        <v>3043.2</v>
      </c>
      <c r="CL36" s="99">
        <v>5</v>
      </c>
      <c r="CM36" s="99">
        <v>3804</v>
      </c>
      <c r="CN36" s="99">
        <v>4</v>
      </c>
      <c r="CO36" s="99">
        <v>3043.2</v>
      </c>
      <c r="CP36" s="99">
        <v>4</v>
      </c>
      <c r="CQ36" s="99">
        <v>3043.2</v>
      </c>
      <c r="CR36" s="99">
        <v>4</v>
      </c>
      <c r="CS36" s="99">
        <v>3043.2</v>
      </c>
      <c r="CT36" s="99">
        <v>5</v>
      </c>
      <c r="CU36" s="99">
        <v>3804</v>
      </c>
    </row>
    <row r="37" spans="2:99">
      <c r="B37" s="98" t="s">
        <v>128</v>
      </c>
      <c r="C37" s="98" t="s">
        <v>202</v>
      </c>
      <c r="D37" s="99">
        <v>3</v>
      </c>
      <c r="E37" s="99">
        <v>2581.1999999999998</v>
      </c>
      <c r="F37" s="99">
        <v>3</v>
      </c>
      <c r="G37" s="99">
        <v>2581.1999999999998</v>
      </c>
      <c r="H37" s="99">
        <v>3</v>
      </c>
      <c r="I37" s="99">
        <v>2581.1999999999998</v>
      </c>
      <c r="J37" s="99">
        <v>5</v>
      </c>
      <c r="K37" s="99">
        <v>4302</v>
      </c>
      <c r="L37" s="99">
        <v>3</v>
      </c>
      <c r="M37" s="99">
        <v>2581.1999999999998</v>
      </c>
      <c r="N37" s="99">
        <v>3</v>
      </c>
      <c r="O37" s="99">
        <v>2581.1999999999998</v>
      </c>
      <c r="P37" s="99">
        <v>4</v>
      </c>
      <c r="Q37" s="99">
        <v>3441.6</v>
      </c>
      <c r="R37" s="99">
        <v>4</v>
      </c>
      <c r="S37" s="99">
        <v>3441.6</v>
      </c>
      <c r="T37" s="99">
        <v>5</v>
      </c>
      <c r="U37" s="99">
        <v>4302</v>
      </c>
      <c r="V37" s="99">
        <v>3</v>
      </c>
      <c r="W37" s="99">
        <v>2581.1999999999998</v>
      </c>
      <c r="X37" s="99">
        <v>5</v>
      </c>
      <c r="Y37" s="99">
        <v>4302</v>
      </c>
      <c r="Z37" s="99">
        <v>6</v>
      </c>
      <c r="AA37" s="99">
        <v>5162.3999999999996</v>
      </c>
      <c r="AB37" s="99">
        <v>4</v>
      </c>
      <c r="AC37" s="99">
        <v>3441.6</v>
      </c>
      <c r="AD37" s="99">
        <v>5</v>
      </c>
      <c r="AE37" s="99">
        <v>4302</v>
      </c>
      <c r="AF37" s="99">
        <v>5</v>
      </c>
      <c r="AG37" s="99">
        <v>4302</v>
      </c>
      <c r="AH37" s="99">
        <v>4</v>
      </c>
      <c r="AI37" s="99">
        <v>3441.6</v>
      </c>
      <c r="AJ37" s="99">
        <v>4</v>
      </c>
      <c r="AK37" s="99">
        <v>3441.6</v>
      </c>
      <c r="AL37" s="99">
        <v>5</v>
      </c>
      <c r="AM37" s="99">
        <v>4302</v>
      </c>
      <c r="AN37" s="99">
        <v>6</v>
      </c>
      <c r="AO37" s="99">
        <v>5162.3999999999996</v>
      </c>
      <c r="AP37" s="99">
        <v>4</v>
      </c>
      <c r="AQ37" s="99">
        <v>3441.6</v>
      </c>
      <c r="AR37" s="99">
        <v>6</v>
      </c>
      <c r="AS37" s="99">
        <v>5162.3999999999996</v>
      </c>
      <c r="AT37" s="99">
        <v>5</v>
      </c>
      <c r="AU37" s="99">
        <v>4302</v>
      </c>
      <c r="AV37" s="99">
        <v>3</v>
      </c>
      <c r="AW37" s="99">
        <v>2581.1999999999998</v>
      </c>
      <c r="AX37" s="99">
        <v>5</v>
      </c>
      <c r="AY37" s="99">
        <v>4302</v>
      </c>
      <c r="AZ37" s="99">
        <v>6</v>
      </c>
      <c r="BA37" s="99">
        <v>5162.3999999999996</v>
      </c>
      <c r="BB37" s="99">
        <v>3</v>
      </c>
      <c r="BC37" s="99">
        <v>2581.1999999999998</v>
      </c>
      <c r="BD37" s="99">
        <v>3</v>
      </c>
      <c r="BE37" s="99">
        <v>2581.1999999999998</v>
      </c>
      <c r="BF37" s="99">
        <v>4</v>
      </c>
      <c r="BG37" s="99">
        <v>3441.6</v>
      </c>
      <c r="BH37" s="99">
        <v>5</v>
      </c>
      <c r="BI37" s="99">
        <v>4302</v>
      </c>
      <c r="BJ37" s="99">
        <v>6</v>
      </c>
      <c r="BK37" s="99">
        <v>5162.3999999999996</v>
      </c>
      <c r="BL37" s="99">
        <v>4</v>
      </c>
      <c r="BM37" s="99">
        <v>3441.6</v>
      </c>
      <c r="BN37" s="99">
        <v>5</v>
      </c>
      <c r="BO37" s="99">
        <v>4302</v>
      </c>
      <c r="BP37" s="99">
        <v>5</v>
      </c>
      <c r="BQ37" s="99">
        <v>4302</v>
      </c>
      <c r="BR37" s="99">
        <v>6</v>
      </c>
      <c r="BS37" s="99">
        <v>5162.3999999999996</v>
      </c>
      <c r="BT37" s="99">
        <v>3</v>
      </c>
      <c r="BU37" s="99">
        <v>2581.1999999999998</v>
      </c>
      <c r="BV37" s="99">
        <v>5</v>
      </c>
      <c r="BW37" s="99">
        <v>4302</v>
      </c>
      <c r="BX37" s="99">
        <v>4</v>
      </c>
      <c r="BY37" s="99">
        <v>3441.6</v>
      </c>
      <c r="BZ37" s="99">
        <v>6</v>
      </c>
      <c r="CA37" s="99">
        <v>5162.3999999999996</v>
      </c>
      <c r="CB37" s="99">
        <v>3</v>
      </c>
      <c r="CC37" s="99">
        <v>2581.1999999999998</v>
      </c>
      <c r="CD37" s="99">
        <v>5</v>
      </c>
      <c r="CE37" s="99">
        <v>4302</v>
      </c>
      <c r="CF37" s="99">
        <v>5</v>
      </c>
      <c r="CG37" s="99">
        <v>4302</v>
      </c>
      <c r="CH37" s="99">
        <v>5</v>
      </c>
      <c r="CI37" s="99">
        <v>4302</v>
      </c>
      <c r="CJ37" s="99">
        <v>5</v>
      </c>
      <c r="CK37" s="99">
        <v>4302</v>
      </c>
      <c r="CL37" s="99">
        <v>5</v>
      </c>
      <c r="CM37" s="99">
        <v>4302</v>
      </c>
      <c r="CN37" s="99">
        <v>3</v>
      </c>
      <c r="CO37" s="99">
        <v>2581.1999999999998</v>
      </c>
      <c r="CP37" s="99">
        <v>4</v>
      </c>
      <c r="CQ37" s="99">
        <v>3441.6</v>
      </c>
      <c r="CR37" s="99">
        <v>5</v>
      </c>
      <c r="CS37" s="99">
        <v>4302</v>
      </c>
      <c r="CT37" s="99">
        <v>5</v>
      </c>
      <c r="CU37" s="99">
        <v>4302</v>
      </c>
    </row>
    <row r="38" spans="2:99">
      <c r="C38" s="98" t="s">
        <v>203</v>
      </c>
      <c r="D38" s="99">
        <v>3</v>
      </c>
      <c r="E38" s="99">
        <v>3726</v>
      </c>
      <c r="F38" s="99">
        <v>3</v>
      </c>
      <c r="G38" s="99">
        <v>3726</v>
      </c>
      <c r="H38" s="99">
        <v>3</v>
      </c>
      <c r="I38" s="99">
        <v>3726</v>
      </c>
      <c r="J38" s="99">
        <v>4</v>
      </c>
      <c r="K38" s="99">
        <v>4968</v>
      </c>
      <c r="L38" s="99">
        <v>3</v>
      </c>
      <c r="M38" s="99">
        <v>3726</v>
      </c>
      <c r="N38" s="99">
        <v>3</v>
      </c>
      <c r="O38" s="99">
        <v>3726</v>
      </c>
      <c r="P38" s="99">
        <v>4</v>
      </c>
      <c r="Q38" s="99">
        <v>4968</v>
      </c>
      <c r="R38" s="99">
        <v>3</v>
      </c>
      <c r="S38" s="99">
        <v>3726</v>
      </c>
      <c r="T38" s="99">
        <v>5</v>
      </c>
      <c r="U38" s="99">
        <v>6210</v>
      </c>
      <c r="V38" s="99">
        <v>4</v>
      </c>
      <c r="W38" s="99">
        <v>4968</v>
      </c>
      <c r="X38" s="99">
        <v>5</v>
      </c>
      <c r="Y38" s="99">
        <v>6210</v>
      </c>
      <c r="Z38" s="99">
        <v>5</v>
      </c>
      <c r="AA38" s="99">
        <v>6210</v>
      </c>
      <c r="AB38" s="99">
        <v>3</v>
      </c>
      <c r="AC38" s="99">
        <v>3726</v>
      </c>
      <c r="AD38" s="99">
        <v>6</v>
      </c>
      <c r="AE38" s="99">
        <v>7452</v>
      </c>
      <c r="AF38" s="99">
        <v>5</v>
      </c>
      <c r="AG38" s="99">
        <v>6210</v>
      </c>
      <c r="AH38" s="99">
        <v>4</v>
      </c>
      <c r="AI38" s="99">
        <v>4968</v>
      </c>
      <c r="AJ38" s="99">
        <v>5</v>
      </c>
      <c r="AK38" s="99">
        <v>6210</v>
      </c>
      <c r="AL38" s="99">
        <v>4</v>
      </c>
      <c r="AM38" s="99">
        <v>4968</v>
      </c>
      <c r="AN38" s="99">
        <v>5</v>
      </c>
      <c r="AO38" s="99">
        <v>6210</v>
      </c>
      <c r="AP38" s="99">
        <v>3</v>
      </c>
      <c r="AQ38" s="99">
        <v>3726</v>
      </c>
      <c r="AR38" s="99">
        <v>6</v>
      </c>
      <c r="AS38" s="99">
        <v>7452</v>
      </c>
      <c r="AT38" s="99">
        <v>4</v>
      </c>
      <c r="AU38" s="99">
        <v>4968</v>
      </c>
      <c r="AV38" s="99">
        <v>3</v>
      </c>
      <c r="AW38" s="99">
        <v>3726</v>
      </c>
      <c r="AX38" s="99">
        <v>5</v>
      </c>
      <c r="AY38" s="99">
        <v>6210</v>
      </c>
      <c r="AZ38" s="99">
        <v>6</v>
      </c>
      <c r="BA38" s="99">
        <v>7452</v>
      </c>
      <c r="BB38" s="99">
        <v>3</v>
      </c>
      <c r="BC38" s="99">
        <v>3726</v>
      </c>
      <c r="BD38" s="99">
        <v>3</v>
      </c>
      <c r="BE38" s="99">
        <v>3726</v>
      </c>
      <c r="BF38" s="99">
        <v>4</v>
      </c>
      <c r="BG38" s="99">
        <v>4968</v>
      </c>
      <c r="BH38" s="99">
        <v>5</v>
      </c>
      <c r="BI38" s="99">
        <v>6210</v>
      </c>
      <c r="BJ38" s="99">
        <v>6</v>
      </c>
      <c r="BK38" s="99">
        <v>7452</v>
      </c>
      <c r="BL38" s="99">
        <v>4</v>
      </c>
      <c r="BM38" s="99">
        <v>4968</v>
      </c>
      <c r="BN38" s="99">
        <v>4</v>
      </c>
      <c r="BO38" s="99">
        <v>4968</v>
      </c>
      <c r="BP38" s="99">
        <v>5</v>
      </c>
      <c r="BQ38" s="99">
        <v>6210</v>
      </c>
      <c r="BR38" s="99">
        <v>6</v>
      </c>
      <c r="BS38" s="99">
        <v>7452</v>
      </c>
      <c r="BT38" s="99">
        <v>3</v>
      </c>
      <c r="BU38" s="99">
        <v>3726</v>
      </c>
      <c r="BV38" s="99">
        <v>5</v>
      </c>
      <c r="BW38" s="99">
        <v>6210</v>
      </c>
      <c r="BX38" s="99">
        <v>4</v>
      </c>
      <c r="BY38" s="99">
        <v>4968</v>
      </c>
      <c r="BZ38" s="99">
        <v>5</v>
      </c>
      <c r="CA38" s="99">
        <v>6210</v>
      </c>
      <c r="CB38" s="99">
        <v>3</v>
      </c>
      <c r="CC38" s="99">
        <v>3726</v>
      </c>
      <c r="CD38" s="99">
        <v>6</v>
      </c>
      <c r="CE38" s="99">
        <v>7452</v>
      </c>
      <c r="CF38" s="99">
        <v>5</v>
      </c>
      <c r="CG38" s="99">
        <v>6210</v>
      </c>
      <c r="CH38" s="99">
        <v>4</v>
      </c>
      <c r="CI38" s="99">
        <v>4968</v>
      </c>
      <c r="CJ38" s="99">
        <v>4</v>
      </c>
      <c r="CK38" s="99">
        <v>4968</v>
      </c>
      <c r="CL38" s="99">
        <v>4</v>
      </c>
      <c r="CM38" s="99">
        <v>4968</v>
      </c>
      <c r="CN38" s="99">
        <v>3</v>
      </c>
      <c r="CO38" s="99">
        <v>3726</v>
      </c>
      <c r="CP38" s="99">
        <v>4</v>
      </c>
      <c r="CQ38" s="99">
        <v>4968</v>
      </c>
      <c r="CR38" s="99">
        <v>5</v>
      </c>
      <c r="CS38" s="99">
        <v>6210</v>
      </c>
      <c r="CT38" s="99">
        <v>5</v>
      </c>
      <c r="CU38" s="99">
        <v>6210</v>
      </c>
    </row>
    <row r="39" spans="2:99">
      <c r="C39" s="98" t="s">
        <v>204</v>
      </c>
      <c r="D39" s="99">
        <v>3</v>
      </c>
      <c r="E39" s="99">
        <v>4269.6000000000004</v>
      </c>
      <c r="F39" s="99">
        <v>3</v>
      </c>
      <c r="G39" s="99">
        <v>4269.6000000000004</v>
      </c>
      <c r="H39" s="99">
        <v>3</v>
      </c>
      <c r="I39" s="99">
        <v>4269.6000000000004</v>
      </c>
      <c r="J39" s="99">
        <v>5</v>
      </c>
      <c r="K39" s="99">
        <v>7116</v>
      </c>
      <c r="L39" s="99">
        <v>3</v>
      </c>
      <c r="M39" s="99">
        <v>4269.6000000000004</v>
      </c>
      <c r="N39" s="99">
        <v>3</v>
      </c>
      <c r="O39" s="99">
        <v>4269.6000000000004</v>
      </c>
      <c r="P39" s="99">
        <v>4</v>
      </c>
      <c r="Q39" s="99">
        <v>5692.8</v>
      </c>
      <c r="R39" s="99">
        <v>3</v>
      </c>
      <c r="S39" s="99">
        <v>4269.6000000000004</v>
      </c>
      <c r="T39" s="99">
        <v>5</v>
      </c>
      <c r="U39" s="99">
        <v>7116</v>
      </c>
      <c r="V39" s="99">
        <v>3</v>
      </c>
      <c r="W39" s="99">
        <v>4269.6000000000004</v>
      </c>
      <c r="X39" s="99">
        <v>4</v>
      </c>
      <c r="Y39" s="99">
        <v>5692.8</v>
      </c>
      <c r="Z39" s="99">
        <v>5</v>
      </c>
      <c r="AA39" s="99">
        <v>7116</v>
      </c>
      <c r="AB39" s="99">
        <v>4</v>
      </c>
      <c r="AC39" s="99">
        <v>5692.8</v>
      </c>
      <c r="AD39" s="99">
        <v>5</v>
      </c>
      <c r="AE39" s="99">
        <v>7116</v>
      </c>
      <c r="AF39" s="99">
        <v>5</v>
      </c>
      <c r="AG39" s="99">
        <v>7116</v>
      </c>
      <c r="AH39" s="99">
        <v>4</v>
      </c>
      <c r="AI39" s="99">
        <v>5692.8</v>
      </c>
      <c r="AJ39" s="99">
        <v>5</v>
      </c>
      <c r="AK39" s="99">
        <v>7116</v>
      </c>
      <c r="AL39" s="99">
        <v>5</v>
      </c>
      <c r="AM39" s="99">
        <v>7116</v>
      </c>
      <c r="AN39" s="99">
        <v>6</v>
      </c>
      <c r="AO39" s="99">
        <v>8539.2000000000007</v>
      </c>
      <c r="AP39" s="99">
        <v>3</v>
      </c>
      <c r="AQ39" s="99">
        <v>4269.6000000000004</v>
      </c>
      <c r="AR39" s="99">
        <v>5</v>
      </c>
      <c r="AS39" s="99">
        <v>7116</v>
      </c>
      <c r="AT39" s="99">
        <v>4</v>
      </c>
      <c r="AU39" s="99">
        <v>5692.8</v>
      </c>
      <c r="AV39" s="99">
        <v>3</v>
      </c>
      <c r="AW39" s="99">
        <v>4269.6000000000004</v>
      </c>
      <c r="AX39" s="99">
        <v>5</v>
      </c>
      <c r="AY39" s="99">
        <v>7116</v>
      </c>
      <c r="AZ39" s="99">
        <v>6</v>
      </c>
      <c r="BA39" s="99">
        <v>8539.2000000000007</v>
      </c>
      <c r="BB39" s="99">
        <v>3</v>
      </c>
      <c r="BC39" s="99">
        <v>4269.6000000000004</v>
      </c>
      <c r="BD39" s="99">
        <v>3</v>
      </c>
      <c r="BE39" s="99">
        <v>4269.6000000000004</v>
      </c>
      <c r="BF39" s="99">
        <v>4</v>
      </c>
      <c r="BG39" s="99">
        <v>5692.8</v>
      </c>
      <c r="BH39" s="99">
        <v>5</v>
      </c>
      <c r="BI39" s="99">
        <v>7116</v>
      </c>
      <c r="BJ39" s="99">
        <v>5</v>
      </c>
      <c r="BK39" s="99">
        <v>7116</v>
      </c>
      <c r="BL39" s="99">
        <v>3</v>
      </c>
      <c r="BM39" s="99">
        <v>4269.6000000000004</v>
      </c>
      <c r="BN39" s="99">
        <v>4</v>
      </c>
      <c r="BO39" s="99">
        <v>5692.8</v>
      </c>
      <c r="BP39" s="99">
        <v>5</v>
      </c>
      <c r="BQ39" s="99">
        <v>7116</v>
      </c>
      <c r="BR39" s="99">
        <v>6</v>
      </c>
      <c r="BS39" s="99">
        <v>8539.2000000000007</v>
      </c>
      <c r="BT39" s="99">
        <v>4</v>
      </c>
      <c r="BU39" s="99">
        <v>5692.8</v>
      </c>
      <c r="BV39" s="99">
        <v>5</v>
      </c>
      <c r="BW39" s="99">
        <v>7116</v>
      </c>
      <c r="BX39" s="99">
        <v>5</v>
      </c>
      <c r="BY39" s="99">
        <v>7116</v>
      </c>
      <c r="BZ39" s="99">
        <v>6</v>
      </c>
      <c r="CA39" s="99">
        <v>8539.2000000000007</v>
      </c>
      <c r="CB39" s="99">
        <v>3</v>
      </c>
      <c r="CC39" s="99">
        <v>4269.6000000000004</v>
      </c>
      <c r="CD39" s="99">
        <v>5</v>
      </c>
      <c r="CE39" s="99">
        <v>7116</v>
      </c>
      <c r="CF39" s="99">
        <v>5</v>
      </c>
      <c r="CG39" s="99">
        <v>7116</v>
      </c>
      <c r="CH39" s="99">
        <v>4</v>
      </c>
      <c r="CI39" s="99">
        <v>5692.8</v>
      </c>
      <c r="CJ39" s="99">
        <v>4</v>
      </c>
      <c r="CK39" s="99">
        <v>5692.8</v>
      </c>
      <c r="CL39" s="99">
        <v>4</v>
      </c>
      <c r="CM39" s="99">
        <v>5692.8</v>
      </c>
      <c r="CN39" s="99">
        <v>3</v>
      </c>
      <c r="CO39" s="99">
        <v>4269.6000000000004</v>
      </c>
      <c r="CP39" s="99">
        <v>4</v>
      </c>
      <c r="CQ39" s="99">
        <v>5692.8</v>
      </c>
      <c r="CR39" s="99">
        <v>5</v>
      </c>
      <c r="CS39" s="99">
        <v>7116</v>
      </c>
      <c r="CT39" s="99">
        <v>5</v>
      </c>
      <c r="CU39" s="99">
        <v>7116</v>
      </c>
    </row>
    <row r="40" spans="2:99">
      <c r="C40" s="98" t="s">
        <v>205</v>
      </c>
      <c r="D40" s="99">
        <v>3</v>
      </c>
      <c r="E40" s="99">
        <v>2174.3999999999996</v>
      </c>
      <c r="F40" s="99">
        <v>3</v>
      </c>
      <c r="G40" s="99">
        <v>2174.3999999999996</v>
      </c>
      <c r="H40" s="99">
        <v>4</v>
      </c>
      <c r="I40" s="99">
        <v>2899.2</v>
      </c>
      <c r="J40" s="99">
        <v>5</v>
      </c>
      <c r="K40" s="99">
        <v>3624</v>
      </c>
      <c r="L40" s="99">
        <v>3</v>
      </c>
      <c r="M40" s="99">
        <v>2174.3999999999996</v>
      </c>
      <c r="N40" s="99">
        <v>3</v>
      </c>
      <c r="O40" s="99">
        <v>2174.3999999999996</v>
      </c>
      <c r="P40" s="99">
        <v>5</v>
      </c>
      <c r="Q40" s="99">
        <v>3624</v>
      </c>
      <c r="R40" s="99">
        <v>3</v>
      </c>
      <c r="S40" s="99">
        <v>2174.3999999999996</v>
      </c>
      <c r="T40" s="99">
        <v>6</v>
      </c>
      <c r="U40" s="99">
        <v>4348.7999999999993</v>
      </c>
      <c r="V40" s="99">
        <v>4</v>
      </c>
      <c r="W40" s="99">
        <v>2899.2</v>
      </c>
      <c r="X40" s="99">
        <v>5</v>
      </c>
      <c r="Y40" s="99">
        <v>3624</v>
      </c>
      <c r="Z40" s="99">
        <v>5</v>
      </c>
      <c r="AA40" s="99">
        <v>3624</v>
      </c>
      <c r="AB40" s="99">
        <v>4</v>
      </c>
      <c r="AC40" s="99">
        <v>2899.2</v>
      </c>
      <c r="AD40" s="99">
        <v>5</v>
      </c>
      <c r="AE40" s="99">
        <v>3624</v>
      </c>
      <c r="AF40" s="99">
        <v>6</v>
      </c>
      <c r="AG40" s="99">
        <v>4348.7999999999993</v>
      </c>
      <c r="AH40" s="99">
        <v>3</v>
      </c>
      <c r="AI40" s="99">
        <v>2174.3999999999996</v>
      </c>
      <c r="AJ40" s="99">
        <v>5</v>
      </c>
      <c r="AK40" s="99">
        <v>3624</v>
      </c>
      <c r="AL40" s="99">
        <v>4</v>
      </c>
      <c r="AM40" s="99">
        <v>2899.2</v>
      </c>
      <c r="AN40" s="99">
        <v>6</v>
      </c>
      <c r="AO40" s="99">
        <v>4348.7999999999993</v>
      </c>
      <c r="AP40" s="99">
        <v>3</v>
      </c>
      <c r="AQ40" s="99">
        <v>2174.3999999999996</v>
      </c>
      <c r="AR40" s="99">
        <v>6</v>
      </c>
      <c r="AS40" s="99">
        <v>4348.7999999999993</v>
      </c>
      <c r="AT40" s="99">
        <v>4</v>
      </c>
      <c r="AU40" s="99">
        <v>2899.2</v>
      </c>
      <c r="AV40" s="99">
        <v>3</v>
      </c>
      <c r="AW40" s="99">
        <v>2174.3999999999996</v>
      </c>
      <c r="AX40" s="99">
        <v>6</v>
      </c>
      <c r="AY40" s="99">
        <v>4348.7999999999993</v>
      </c>
      <c r="AZ40" s="99">
        <v>6</v>
      </c>
      <c r="BA40" s="99">
        <v>4348.7999999999993</v>
      </c>
      <c r="BB40" s="99">
        <v>4</v>
      </c>
      <c r="BC40" s="99">
        <v>2899.2</v>
      </c>
      <c r="BD40" s="99">
        <v>3</v>
      </c>
      <c r="BE40" s="99">
        <v>2174.3999999999996</v>
      </c>
      <c r="BF40" s="99">
        <v>4</v>
      </c>
      <c r="BG40" s="99">
        <v>2899.2</v>
      </c>
      <c r="BH40" s="99">
        <v>5</v>
      </c>
      <c r="BI40" s="99">
        <v>3624</v>
      </c>
      <c r="BJ40" s="99">
        <v>6</v>
      </c>
      <c r="BK40" s="99">
        <v>4348.7999999999993</v>
      </c>
      <c r="BL40" s="99">
        <v>4</v>
      </c>
      <c r="BM40" s="99">
        <v>2899.2</v>
      </c>
      <c r="BN40" s="99">
        <v>4</v>
      </c>
      <c r="BO40" s="99">
        <v>2899.2</v>
      </c>
      <c r="BP40" s="99">
        <v>5</v>
      </c>
      <c r="BQ40" s="99">
        <v>3624</v>
      </c>
      <c r="BR40" s="99">
        <v>6</v>
      </c>
      <c r="BS40" s="99">
        <v>4348.7999999999993</v>
      </c>
      <c r="BT40" s="99">
        <v>4</v>
      </c>
      <c r="BU40" s="99">
        <v>2899.2</v>
      </c>
      <c r="BV40" s="99">
        <v>5</v>
      </c>
      <c r="BW40" s="99">
        <v>3624</v>
      </c>
      <c r="BX40" s="99">
        <v>5</v>
      </c>
      <c r="BY40" s="99">
        <v>3624</v>
      </c>
      <c r="BZ40" s="99">
        <v>6</v>
      </c>
      <c r="CA40" s="99">
        <v>4348.7999999999993</v>
      </c>
      <c r="CB40" s="99">
        <v>3</v>
      </c>
      <c r="CC40" s="99">
        <v>2174.3999999999996</v>
      </c>
      <c r="CD40" s="99">
        <v>5</v>
      </c>
      <c r="CE40" s="99">
        <v>3624</v>
      </c>
      <c r="CF40" s="99">
        <v>5</v>
      </c>
      <c r="CG40" s="99">
        <v>3624</v>
      </c>
      <c r="CH40" s="99">
        <v>5</v>
      </c>
      <c r="CI40" s="99">
        <v>3624</v>
      </c>
      <c r="CJ40" s="99">
        <v>4</v>
      </c>
      <c r="CK40" s="99">
        <v>2899.2</v>
      </c>
      <c r="CL40" s="99">
        <v>5</v>
      </c>
      <c r="CM40" s="99">
        <v>3624</v>
      </c>
      <c r="CN40" s="99">
        <v>3</v>
      </c>
      <c r="CO40" s="99">
        <v>2174.3999999999996</v>
      </c>
      <c r="CP40" s="99">
        <v>4</v>
      </c>
      <c r="CQ40" s="99">
        <v>2899.2</v>
      </c>
      <c r="CR40" s="99">
        <v>5</v>
      </c>
      <c r="CS40" s="99">
        <v>3624</v>
      </c>
      <c r="CT40" s="99">
        <v>5</v>
      </c>
      <c r="CU40" s="99">
        <v>3624</v>
      </c>
    </row>
    <row r="41" spans="2:99">
      <c r="C41" s="98" t="s">
        <v>206</v>
      </c>
      <c r="D41" s="99">
        <v>3</v>
      </c>
      <c r="E41" s="99">
        <v>1980</v>
      </c>
      <c r="F41" s="99">
        <v>3</v>
      </c>
      <c r="G41" s="99">
        <v>1980</v>
      </c>
      <c r="H41" s="99">
        <v>3</v>
      </c>
      <c r="I41" s="99">
        <v>1980</v>
      </c>
      <c r="J41" s="99">
        <v>5</v>
      </c>
      <c r="K41" s="99">
        <v>3300</v>
      </c>
      <c r="L41" s="99">
        <v>3</v>
      </c>
      <c r="M41" s="99">
        <v>1980</v>
      </c>
      <c r="N41" s="99">
        <v>3</v>
      </c>
      <c r="O41" s="99">
        <v>1980</v>
      </c>
      <c r="P41" s="99">
        <v>4</v>
      </c>
      <c r="Q41" s="99">
        <v>2640</v>
      </c>
      <c r="R41" s="99">
        <v>4</v>
      </c>
      <c r="S41" s="99">
        <v>2640</v>
      </c>
      <c r="T41" s="99">
        <v>6</v>
      </c>
      <c r="U41" s="99">
        <v>3960</v>
      </c>
      <c r="V41" s="99">
        <v>4</v>
      </c>
      <c r="W41" s="99">
        <v>2640</v>
      </c>
      <c r="X41" s="99">
        <v>5</v>
      </c>
      <c r="Y41" s="99">
        <v>3300</v>
      </c>
      <c r="Z41" s="99">
        <v>6</v>
      </c>
      <c r="AA41" s="99">
        <v>3960</v>
      </c>
      <c r="AB41" s="99">
        <v>4</v>
      </c>
      <c r="AC41" s="99">
        <v>2640</v>
      </c>
      <c r="AD41" s="99">
        <v>6</v>
      </c>
      <c r="AE41" s="99">
        <v>3960</v>
      </c>
      <c r="AF41" s="99">
        <v>6</v>
      </c>
      <c r="AG41" s="99">
        <v>3960</v>
      </c>
      <c r="AH41" s="99">
        <v>3</v>
      </c>
      <c r="AI41" s="99">
        <v>1980</v>
      </c>
      <c r="AJ41" s="99">
        <v>5</v>
      </c>
      <c r="AK41" s="99">
        <v>3300</v>
      </c>
      <c r="AL41" s="99">
        <v>5</v>
      </c>
      <c r="AM41" s="99">
        <v>3300</v>
      </c>
      <c r="AN41" s="99">
        <v>6</v>
      </c>
      <c r="AO41" s="99">
        <v>3960</v>
      </c>
      <c r="AP41" s="99">
        <v>4</v>
      </c>
      <c r="AQ41" s="99">
        <v>2640</v>
      </c>
      <c r="AR41" s="99">
        <v>6</v>
      </c>
      <c r="AS41" s="99">
        <v>3960</v>
      </c>
      <c r="AT41" s="99">
        <v>4</v>
      </c>
      <c r="AU41" s="99">
        <v>2640</v>
      </c>
      <c r="AV41" s="99">
        <v>3</v>
      </c>
      <c r="AW41" s="99">
        <v>1980</v>
      </c>
      <c r="AX41" s="99">
        <v>6</v>
      </c>
      <c r="AY41" s="99">
        <v>3960</v>
      </c>
      <c r="AZ41" s="99">
        <v>5</v>
      </c>
      <c r="BA41" s="99">
        <v>3300</v>
      </c>
      <c r="BB41" s="99">
        <v>4</v>
      </c>
      <c r="BC41" s="99">
        <v>2640</v>
      </c>
      <c r="BD41" s="99">
        <v>3</v>
      </c>
      <c r="BE41" s="99">
        <v>1980</v>
      </c>
      <c r="BF41" s="99">
        <v>4</v>
      </c>
      <c r="BG41" s="99">
        <v>2640</v>
      </c>
      <c r="BH41" s="99">
        <v>6</v>
      </c>
      <c r="BI41" s="99">
        <v>3960</v>
      </c>
      <c r="BJ41" s="99">
        <v>5</v>
      </c>
      <c r="BK41" s="99">
        <v>3300</v>
      </c>
      <c r="BL41" s="99">
        <v>4</v>
      </c>
      <c r="BM41" s="99">
        <v>2640</v>
      </c>
      <c r="BN41" s="99">
        <v>4</v>
      </c>
      <c r="BO41" s="99">
        <v>2640</v>
      </c>
      <c r="BP41" s="99">
        <v>6</v>
      </c>
      <c r="BQ41" s="99">
        <v>3960</v>
      </c>
      <c r="BR41" s="99">
        <v>6</v>
      </c>
      <c r="BS41" s="99">
        <v>3960</v>
      </c>
      <c r="BT41" s="99">
        <v>4</v>
      </c>
      <c r="BU41" s="99">
        <v>2640</v>
      </c>
      <c r="BV41" s="99">
        <v>5</v>
      </c>
      <c r="BW41" s="99">
        <v>3300</v>
      </c>
      <c r="BX41" s="99">
        <v>4</v>
      </c>
      <c r="BY41" s="99">
        <v>2640</v>
      </c>
      <c r="BZ41" s="99">
        <v>6</v>
      </c>
      <c r="CA41" s="99">
        <v>3960</v>
      </c>
      <c r="CB41" s="99">
        <v>3</v>
      </c>
      <c r="CC41" s="99">
        <v>1980</v>
      </c>
      <c r="CD41" s="99">
        <v>5</v>
      </c>
      <c r="CE41" s="99">
        <v>3300</v>
      </c>
      <c r="CF41" s="99">
        <v>5</v>
      </c>
      <c r="CG41" s="99">
        <v>3300</v>
      </c>
      <c r="CH41" s="99">
        <v>5</v>
      </c>
      <c r="CI41" s="99">
        <v>3300</v>
      </c>
      <c r="CJ41" s="99">
        <v>5</v>
      </c>
      <c r="CK41" s="99">
        <v>3300</v>
      </c>
      <c r="CL41" s="99">
        <v>5</v>
      </c>
      <c r="CM41" s="99">
        <v>3300</v>
      </c>
      <c r="CN41" s="99">
        <v>3</v>
      </c>
      <c r="CO41" s="99">
        <v>1980</v>
      </c>
      <c r="CP41" s="99">
        <v>4</v>
      </c>
      <c r="CQ41" s="99">
        <v>2640</v>
      </c>
      <c r="CR41" s="99">
        <v>5</v>
      </c>
      <c r="CS41" s="99">
        <v>3300</v>
      </c>
      <c r="CT41" s="99">
        <v>6</v>
      </c>
      <c r="CU41" s="99">
        <v>3960</v>
      </c>
    </row>
    <row r="42" spans="2:99">
      <c r="C42" s="98" t="s">
        <v>207</v>
      </c>
      <c r="D42" s="99">
        <v>3</v>
      </c>
      <c r="E42" s="99">
        <v>2538</v>
      </c>
      <c r="F42" s="99">
        <v>3</v>
      </c>
      <c r="G42" s="99">
        <v>2538</v>
      </c>
      <c r="H42" s="99">
        <v>3</v>
      </c>
      <c r="I42" s="99">
        <v>2538</v>
      </c>
      <c r="J42" s="99">
        <v>5</v>
      </c>
      <c r="K42" s="99">
        <v>4230</v>
      </c>
      <c r="L42" s="99">
        <v>3</v>
      </c>
      <c r="M42" s="99">
        <v>2538</v>
      </c>
      <c r="N42" s="99">
        <v>3</v>
      </c>
      <c r="O42" s="99">
        <v>2538</v>
      </c>
      <c r="P42" s="99">
        <v>4</v>
      </c>
      <c r="Q42" s="99">
        <v>3384</v>
      </c>
      <c r="R42" s="99">
        <v>3</v>
      </c>
      <c r="S42" s="99">
        <v>2538</v>
      </c>
      <c r="T42" s="99">
        <v>5</v>
      </c>
      <c r="U42" s="99">
        <v>4230</v>
      </c>
      <c r="V42" s="99">
        <v>3</v>
      </c>
      <c r="W42" s="99">
        <v>2538</v>
      </c>
      <c r="X42" s="99">
        <v>5</v>
      </c>
      <c r="Y42" s="99">
        <v>4230</v>
      </c>
      <c r="Z42" s="99">
        <v>5</v>
      </c>
      <c r="AA42" s="99">
        <v>4230</v>
      </c>
      <c r="AB42" s="99">
        <v>4</v>
      </c>
      <c r="AC42" s="99">
        <v>3384</v>
      </c>
      <c r="AD42" s="99">
        <v>6</v>
      </c>
      <c r="AE42" s="99">
        <v>5076</v>
      </c>
      <c r="AF42" s="99">
        <v>5</v>
      </c>
      <c r="AG42" s="99">
        <v>4230</v>
      </c>
      <c r="AH42" s="99">
        <v>4</v>
      </c>
      <c r="AI42" s="99">
        <v>3384</v>
      </c>
      <c r="AJ42" s="99">
        <v>5</v>
      </c>
      <c r="AK42" s="99">
        <v>4230</v>
      </c>
      <c r="AL42" s="99">
        <v>4</v>
      </c>
      <c r="AM42" s="99">
        <v>3384</v>
      </c>
      <c r="AN42" s="99">
        <v>6</v>
      </c>
      <c r="AO42" s="99">
        <v>5076</v>
      </c>
      <c r="AP42" s="99">
        <v>4</v>
      </c>
      <c r="AQ42" s="99">
        <v>3384</v>
      </c>
      <c r="AR42" s="99">
        <v>6</v>
      </c>
      <c r="AS42" s="99">
        <v>5076</v>
      </c>
      <c r="AT42" s="99">
        <v>5</v>
      </c>
      <c r="AU42" s="99">
        <v>4230</v>
      </c>
      <c r="AV42" s="99">
        <v>3</v>
      </c>
      <c r="AW42" s="99">
        <v>2538</v>
      </c>
      <c r="AX42" s="99">
        <v>5</v>
      </c>
      <c r="AY42" s="99">
        <v>4230</v>
      </c>
      <c r="AZ42" s="99">
        <v>5</v>
      </c>
      <c r="BA42" s="99">
        <v>4230</v>
      </c>
      <c r="BB42" s="99">
        <v>3</v>
      </c>
      <c r="BC42" s="99">
        <v>2538</v>
      </c>
      <c r="BD42" s="99">
        <v>4</v>
      </c>
      <c r="BE42" s="99">
        <v>3384</v>
      </c>
      <c r="BF42" s="99">
        <v>4</v>
      </c>
      <c r="BG42" s="99">
        <v>3384</v>
      </c>
      <c r="BH42" s="99">
        <v>5</v>
      </c>
      <c r="BI42" s="99">
        <v>4230</v>
      </c>
      <c r="BJ42" s="99">
        <v>6</v>
      </c>
      <c r="BK42" s="99">
        <v>5076</v>
      </c>
      <c r="BL42" s="99">
        <v>3</v>
      </c>
      <c r="BM42" s="99">
        <v>2538</v>
      </c>
      <c r="BN42" s="99">
        <v>4</v>
      </c>
      <c r="BO42" s="99">
        <v>3384</v>
      </c>
      <c r="BP42" s="99">
        <v>6</v>
      </c>
      <c r="BQ42" s="99">
        <v>5076</v>
      </c>
      <c r="BR42" s="99">
        <v>7</v>
      </c>
      <c r="BS42" s="99">
        <v>5922</v>
      </c>
      <c r="BT42" s="99">
        <v>4</v>
      </c>
      <c r="BU42" s="99">
        <v>3384</v>
      </c>
      <c r="BV42" s="99">
        <v>5</v>
      </c>
      <c r="BW42" s="99">
        <v>4230</v>
      </c>
      <c r="BX42" s="99">
        <v>5</v>
      </c>
      <c r="BY42" s="99">
        <v>4230</v>
      </c>
      <c r="BZ42" s="99">
        <v>6</v>
      </c>
      <c r="CA42" s="99">
        <v>5076</v>
      </c>
      <c r="CB42" s="99">
        <v>3</v>
      </c>
      <c r="CC42" s="99">
        <v>2538</v>
      </c>
      <c r="CD42" s="99">
        <v>6</v>
      </c>
      <c r="CE42" s="99">
        <v>5076</v>
      </c>
      <c r="CF42" s="99">
        <v>5</v>
      </c>
      <c r="CG42" s="99">
        <v>4230</v>
      </c>
      <c r="CH42" s="99">
        <v>5</v>
      </c>
      <c r="CI42" s="99">
        <v>4230</v>
      </c>
      <c r="CJ42" s="99">
        <v>4</v>
      </c>
      <c r="CK42" s="99">
        <v>3384</v>
      </c>
      <c r="CL42" s="99">
        <v>5</v>
      </c>
      <c r="CM42" s="99">
        <v>4230</v>
      </c>
      <c r="CN42" s="99">
        <v>3</v>
      </c>
      <c r="CO42" s="99">
        <v>2538</v>
      </c>
      <c r="CP42" s="99">
        <v>4</v>
      </c>
      <c r="CQ42" s="99">
        <v>3384</v>
      </c>
      <c r="CR42" s="99">
        <v>5</v>
      </c>
      <c r="CS42" s="99">
        <v>4230</v>
      </c>
      <c r="CT42" s="99">
        <v>6</v>
      </c>
      <c r="CU42" s="99">
        <v>5076</v>
      </c>
    </row>
    <row r="43" spans="2:99">
      <c r="C43" s="98" t="s">
        <v>208</v>
      </c>
      <c r="D43" s="99">
        <v>3</v>
      </c>
      <c r="E43" s="99">
        <v>3067.2</v>
      </c>
      <c r="F43" s="99">
        <v>3</v>
      </c>
      <c r="G43" s="99">
        <v>3067.2</v>
      </c>
      <c r="H43" s="99">
        <v>3</v>
      </c>
      <c r="I43" s="99">
        <v>3067.2</v>
      </c>
      <c r="J43" s="99">
        <v>5</v>
      </c>
      <c r="K43" s="99">
        <v>5112</v>
      </c>
      <c r="L43" s="99">
        <v>3</v>
      </c>
      <c r="M43" s="99">
        <v>3067.2</v>
      </c>
      <c r="N43" s="99">
        <v>3</v>
      </c>
      <c r="O43" s="99">
        <v>3067.2</v>
      </c>
      <c r="P43" s="99">
        <v>4</v>
      </c>
      <c r="Q43" s="99">
        <v>4089.6</v>
      </c>
      <c r="R43" s="99">
        <v>3</v>
      </c>
      <c r="S43" s="99">
        <v>3067.2</v>
      </c>
      <c r="T43" s="99">
        <v>5</v>
      </c>
      <c r="U43" s="99">
        <v>5112</v>
      </c>
      <c r="V43" s="99">
        <v>3</v>
      </c>
      <c r="W43" s="99">
        <v>3067.2</v>
      </c>
      <c r="X43" s="99">
        <v>4</v>
      </c>
      <c r="Y43" s="99">
        <v>4089.6</v>
      </c>
      <c r="Z43" s="99">
        <v>6</v>
      </c>
      <c r="AA43" s="99">
        <v>6134.4</v>
      </c>
      <c r="AB43" s="99">
        <v>4</v>
      </c>
      <c r="AC43" s="99">
        <v>4089.6</v>
      </c>
      <c r="AD43" s="99">
        <v>5</v>
      </c>
      <c r="AE43" s="99">
        <v>5112</v>
      </c>
      <c r="AF43" s="99">
        <v>5</v>
      </c>
      <c r="AG43" s="99">
        <v>5112</v>
      </c>
      <c r="AH43" s="99">
        <v>4</v>
      </c>
      <c r="AI43" s="99">
        <v>4089.6</v>
      </c>
      <c r="AJ43" s="99">
        <v>5</v>
      </c>
      <c r="AK43" s="99">
        <v>5112</v>
      </c>
      <c r="AL43" s="99">
        <v>4</v>
      </c>
      <c r="AM43" s="99">
        <v>4089.6</v>
      </c>
      <c r="AN43" s="99">
        <v>6</v>
      </c>
      <c r="AO43" s="99">
        <v>6134.4</v>
      </c>
      <c r="AP43" s="99">
        <v>3</v>
      </c>
      <c r="AQ43" s="99">
        <v>3067.2</v>
      </c>
      <c r="AR43" s="99">
        <v>6</v>
      </c>
      <c r="AS43" s="99">
        <v>6134.4</v>
      </c>
      <c r="AT43" s="99">
        <v>4</v>
      </c>
      <c r="AU43" s="99">
        <v>4089.6</v>
      </c>
      <c r="AV43" s="99">
        <v>3</v>
      </c>
      <c r="AW43" s="99">
        <v>3067.2</v>
      </c>
      <c r="AX43" s="99">
        <v>5</v>
      </c>
      <c r="AY43" s="99">
        <v>5112</v>
      </c>
      <c r="AZ43" s="99">
        <v>6</v>
      </c>
      <c r="BA43" s="99">
        <v>6134.4</v>
      </c>
      <c r="BB43" s="99">
        <v>3</v>
      </c>
      <c r="BC43" s="99">
        <v>3067.2</v>
      </c>
      <c r="BD43" s="99">
        <v>3</v>
      </c>
      <c r="BE43" s="99">
        <v>3067.2</v>
      </c>
      <c r="BF43" s="99">
        <v>4</v>
      </c>
      <c r="BG43" s="99">
        <v>4089.6</v>
      </c>
      <c r="BH43" s="99">
        <v>5</v>
      </c>
      <c r="BI43" s="99">
        <v>5112</v>
      </c>
      <c r="BJ43" s="99">
        <v>6</v>
      </c>
      <c r="BK43" s="99">
        <v>6134.4</v>
      </c>
      <c r="BL43" s="99">
        <v>4</v>
      </c>
      <c r="BM43" s="99">
        <v>4089.6</v>
      </c>
      <c r="BN43" s="99">
        <v>4</v>
      </c>
      <c r="BO43" s="99">
        <v>4089.6</v>
      </c>
      <c r="BP43" s="99">
        <v>6</v>
      </c>
      <c r="BQ43" s="99">
        <v>6134.4</v>
      </c>
      <c r="BR43" s="99">
        <v>6</v>
      </c>
      <c r="BS43" s="99">
        <v>6134.4</v>
      </c>
      <c r="BT43" s="99">
        <v>4</v>
      </c>
      <c r="BU43" s="99">
        <v>4089.6</v>
      </c>
      <c r="BV43" s="99">
        <v>5</v>
      </c>
      <c r="BW43" s="99">
        <v>5112</v>
      </c>
      <c r="BX43" s="99">
        <v>5</v>
      </c>
      <c r="BY43" s="99">
        <v>5112</v>
      </c>
      <c r="BZ43" s="99">
        <v>6</v>
      </c>
      <c r="CA43" s="99">
        <v>6134.4</v>
      </c>
      <c r="CB43" s="99">
        <v>3</v>
      </c>
      <c r="CC43" s="99">
        <v>3067.2</v>
      </c>
      <c r="CD43" s="99">
        <v>5</v>
      </c>
      <c r="CE43" s="99">
        <v>5112</v>
      </c>
      <c r="CF43" s="99">
        <v>5</v>
      </c>
      <c r="CG43" s="99">
        <v>5112</v>
      </c>
      <c r="CH43" s="99">
        <v>4</v>
      </c>
      <c r="CI43" s="99">
        <v>4089.6</v>
      </c>
      <c r="CJ43" s="99">
        <v>4</v>
      </c>
      <c r="CK43" s="99">
        <v>4089.6</v>
      </c>
      <c r="CL43" s="99">
        <v>5</v>
      </c>
      <c r="CM43" s="99">
        <v>5112</v>
      </c>
      <c r="CN43" s="99">
        <v>3</v>
      </c>
      <c r="CO43" s="99">
        <v>3067.2</v>
      </c>
      <c r="CP43" s="99">
        <v>4</v>
      </c>
      <c r="CQ43" s="99">
        <v>4089.6</v>
      </c>
      <c r="CR43" s="99">
        <v>5</v>
      </c>
      <c r="CS43" s="99">
        <v>5112</v>
      </c>
      <c r="CT43" s="99">
        <v>5</v>
      </c>
      <c r="CU43" s="99">
        <v>5112</v>
      </c>
    </row>
    <row r="44" spans="2:99">
      <c r="C44" s="98" t="s">
        <v>209</v>
      </c>
      <c r="D44" s="99">
        <v>3</v>
      </c>
      <c r="E44" s="99">
        <v>3067.2</v>
      </c>
      <c r="F44" s="99">
        <v>3</v>
      </c>
      <c r="G44" s="99">
        <v>3067.2</v>
      </c>
      <c r="H44" s="99">
        <v>3</v>
      </c>
      <c r="I44" s="99">
        <v>3067.2</v>
      </c>
      <c r="J44" s="99">
        <v>5</v>
      </c>
      <c r="K44" s="99">
        <v>5112</v>
      </c>
      <c r="L44" s="99">
        <v>3</v>
      </c>
      <c r="M44" s="99">
        <v>3067.2</v>
      </c>
      <c r="N44" s="99">
        <v>3</v>
      </c>
      <c r="O44" s="99">
        <v>3067.2</v>
      </c>
      <c r="P44" s="99">
        <v>4</v>
      </c>
      <c r="Q44" s="99">
        <v>4089.6</v>
      </c>
      <c r="R44" s="99">
        <v>3</v>
      </c>
      <c r="S44" s="99">
        <v>3067.2</v>
      </c>
      <c r="T44" s="99">
        <v>6</v>
      </c>
      <c r="U44" s="99">
        <v>6134.4</v>
      </c>
      <c r="V44" s="99">
        <v>3</v>
      </c>
      <c r="W44" s="99">
        <v>3067.2</v>
      </c>
      <c r="X44" s="99">
        <v>5</v>
      </c>
      <c r="Y44" s="99">
        <v>5112</v>
      </c>
      <c r="Z44" s="99">
        <v>5</v>
      </c>
      <c r="AA44" s="99">
        <v>5112</v>
      </c>
      <c r="AB44" s="99">
        <v>4</v>
      </c>
      <c r="AC44" s="99">
        <v>4089.6</v>
      </c>
      <c r="AD44" s="99">
        <v>5</v>
      </c>
      <c r="AE44" s="99">
        <v>5112</v>
      </c>
      <c r="AF44" s="99">
        <v>5</v>
      </c>
      <c r="AG44" s="99">
        <v>5112</v>
      </c>
      <c r="AH44" s="99">
        <v>4</v>
      </c>
      <c r="AI44" s="99">
        <v>4089.6</v>
      </c>
      <c r="AJ44" s="99">
        <v>5</v>
      </c>
      <c r="AK44" s="99">
        <v>5112</v>
      </c>
      <c r="AL44" s="99">
        <v>4</v>
      </c>
      <c r="AM44" s="99">
        <v>4089.6</v>
      </c>
      <c r="AN44" s="99">
        <v>6</v>
      </c>
      <c r="AO44" s="99">
        <v>6134.4</v>
      </c>
      <c r="AP44" s="99">
        <v>4</v>
      </c>
      <c r="AQ44" s="99">
        <v>4089.6</v>
      </c>
      <c r="AR44" s="99">
        <v>6</v>
      </c>
      <c r="AS44" s="99">
        <v>6134.4</v>
      </c>
      <c r="AT44" s="99">
        <v>4</v>
      </c>
      <c r="AU44" s="99">
        <v>4089.6</v>
      </c>
      <c r="AV44" s="99">
        <v>3</v>
      </c>
      <c r="AW44" s="99">
        <v>3067.2</v>
      </c>
      <c r="AX44" s="99">
        <v>5</v>
      </c>
      <c r="AY44" s="99">
        <v>5112</v>
      </c>
      <c r="AZ44" s="99">
        <v>6</v>
      </c>
      <c r="BA44" s="99">
        <v>6134.4</v>
      </c>
      <c r="BB44" s="99">
        <v>3</v>
      </c>
      <c r="BC44" s="99">
        <v>3067.2</v>
      </c>
      <c r="BD44" s="99">
        <v>3</v>
      </c>
      <c r="BE44" s="99">
        <v>3067.2</v>
      </c>
      <c r="BF44" s="99">
        <v>4</v>
      </c>
      <c r="BG44" s="99">
        <v>4089.6</v>
      </c>
      <c r="BH44" s="99">
        <v>5</v>
      </c>
      <c r="BI44" s="99">
        <v>5112</v>
      </c>
      <c r="BJ44" s="99">
        <v>6</v>
      </c>
      <c r="BK44" s="99">
        <v>6134.4</v>
      </c>
      <c r="BL44" s="99">
        <v>3</v>
      </c>
      <c r="BM44" s="99">
        <v>3067.2</v>
      </c>
      <c r="BN44" s="99">
        <v>4</v>
      </c>
      <c r="BO44" s="99">
        <v>4089.6</v>
      </c>
      <c r="BP44" s="99">
        <v>6</v>
      </c>
      <c r="BQ44" s="99">
        <v>6134.4</v>
      </c>
      <c r="BR44" s="99">
        <v>6</v>
      </c>
      <c r="BS44" s="99">
        <v>6134.4</v>
      </c>
      <c r="BT44" s="99">
        <v>4</v>
      </c>
      <c r="BU44" s="99">
        <v>4089.6</v>
      </c>
      <c r="BV44" s="99">
        <v>5</v>
      </c>
      <c r="BW44" s="99">
        <v>5112</v>
      </c>
      <c r="BX44" s="99">
        <v>4</v>
      </c>
      <c r="BY44" s="99">
        <v>4089.6</v>
      </c>
      <c r="BZ44" s="99">
        <v>6</v>
      </c>
      <c r="CA44" s="99">
        <v>6134.4</v>
      </c>
      <c r="CB44" s="99">
        <v>3</v>
      </c>
      <c r="CC44" s="99">
        <v>3067.2</v>
      </c>
      <c r="CD44" s="99">
        <v>5</v>
      </c>
      <c r="CE44" s="99">
        <v>5112</v>
      </c>
      <c r="CF44" s="99">
        <v>5</v>
      </c>
      <c r="CG44" s="99">
        <v>5112</v>
      </c>
      <c r="CH44" s="99">
        <v>4</v>
      </c>
      <c r="CI44" s="99">
        <v>4089.6</v>
      </c>
      <c r="CJ44" s="99">
        <v>4</v>
      </c>
      <c r="CK44" s="99">
        <v>4089.6</v>
      </c>
      <c r="CL44" s="99">
        <v>4</v>
      </c>
      <c r="CM44" s="99">
        <v>4089.6</v>
      </c>
      <c r="CN44" s="99">
        <v>3</v>
      </c>
      <c r="CO44" s="99">
        <v>3067.2</v>
      </c>
      <c r="CP44" s="99">
        <v>4</v>
      </c>
      <c r="CQ44" s="99">
        <v>4089.6</v>
      </c>
      <c r="CR44" s="99">
        <v>5</v>
      </c>
      <c r="CS44" s="99">
        <v>5112</v>
      </c>
      <c r="CT44" s="99">
        <v>5</v>
      </c>
      <c r="CU44" s="99">
        <v>5112</v>
      </c>
    </row>
    <row r="45" spans="2:99">
      <c r="C45" s="98" t="s">
        <v>210</v>
      </c>
      <c r="D45" s="99">
        <v>3</v>
      </c>
      <c r="E45" s="99">
        <v>3747.6000000000004</v>
      </c>
      <c r="F45" s="99">
        <v>3</v>
      </c>
      <c r="G45" s="99">
        <v>3747.6000000000004</v>
      </c>
      <c r="H45" s="99">
        <v>3</v>
      </c>
      <c r="I45" s="99">
        <v>3747.6000000000004</v>
      </c>
      <c r="J45" s="99">
        <v>5</v>
      </c>
      <c r="K45" s="99">
        <v>6246</v>
      </c>
      <c r="L45" s="99">
        <v>3</v>
      </c>
      <c r="M45" s="99">
        <v>3747.6000000000004</v>
      </c>
      <c r="N45" s="99">
        <v>3</v>
      </c>
      <c r="O45" s="99">
        <v>3747.6000000000004</v>
      </c>
      <c r="P45" s="99">
        <v>4</v>
      </c>
      <c r="Q45" s="99">
        <v>4996.8</v>
      </c>
      <c r="R45" s="99">
        <v>3</v>
      </c>
      <c r="S45" s="99">
        <v>3747.6000000000004</v>
      </c>
      <c r="T45" s="99">
        <v>5</v>
      </c>
      <c r="U45" s="99">
        <v>6246</v>
      </c>
      <c r="V45" s="99">
        <v>3</v>
      </c>
      <c r="W45" s="99">
        <v>3747.6000000000004</v>
      </c>
      <c r="X45" s="99">
        <v>5</v>
      </c>
      <c r="Y45" s="99">
        <v>6246</v>
      </c>
      <c r="Z45" s="99">
        <v>5</v>
      </c>
      <c r="AA45" s="99">
        <v>6246</v>
      </c>
      <c r="AB45" s="99">
        <v>4</v>
      </c>
      <c r="AC45" s="99">
        <v>4996.8</v>
      </c>
      <c r="AD45" s="99">
        <v>6</v>
      </c>
      <c r="AE45" s="99">
        <v>7495.2000000000007</v>
      </c>
      <c r="AF45" s="99">
        <v>5</v>
      </c>
      <c r="AG45" s="99">
        <v>6246</v>
      </c>
      <c r="AH45" s="99">
        <v>3</v>
      </c>
      <c r="AI45" s="99">
        <v>3747.6000000000004</v>
      </c>
      <c r="AJ45" s="99">
        <v>4</v>
      </c>
      <c r="AK45" s="99">
        <v>4996.8</v>
      </c>
      <c r="AL45" s="99">
        <v>4</v>
      </c>
      <c r="AM45" s="99">
        <v>4996.8</v>
      </c>
      <c r="AN45" s="99">
        <v>6</v>
      </c>
      <c r="AO45" s="99">
        <v>7495.2000000000007</v>
      </c>
      <c r="AP45" s="99">
        <v>3</v>
      </c>
      <c r="AQ45" s="99">
        <v>3747.6000000000004</v>
      </c>
      <c r="AR45" s="99">
        <v>6</v>
      </c>
      <c r="AS45" s="99">
        <v>7495.2000000000007</v>
      </c>
      <c r="AT45" s="99">
        <v>4</v>
      </c>
      <c r="AU45" s="99">
        <v>4996.8</v>
      </c>
      <c r="AV45" s="99">
        <v>3</v>
      </c>
      <c r="AW45" s="99">
        <v>3747.6000000000004</v>
      </c>
      <c r="AX45" s="99">
        <v>5</v>
      </c>
      <c r="AY45" s="99">
        <v>6246</v>
      </c>
      <c r="AZ45" s="99">
        <v>5</v>
      </c>
      <c r="BA45" s="99">
        <v>6246</v>
      </c>
      <c r="BB45" s="99">
        <v>3</v>
      </c>
      <c r="BC45" s="99">
        <v>3747.6000000000004</v>
      </c>
      <c r="BD45" s="99">
        <v>3</v>
      </c>
      <c r="BE45" s="99">
        <v>3747.6000000000004</v>
      </c>
      <c r="BF45" s="99">
        <v>4</v>
      </c>
      <c r="BG45" s="99">
        <v>4996.8</v>
      </c>
      <c r="BH45" s="99">
        <v>5</v>
      </c>
      <c r="BI45" s="99">
        <v>6246</v>
      </c>
      <c r="BJ45" s="99">
        <v>5</v>
      </c>
      <c r="BK45" s="99">
        <v>6246</v>
      </c>
      <c r="BL45" s="99">
        <v>4</v>
      </c>
      <c r="BM45" s="99">
        <v>4996.8</v>
      </c>
      <c r="BN45" s="99">
        <v>4</v>
      </c>
      <c r="BO45" s="99">
        <v>4996.8</v>
      </c>
      <c r="BP45" s="99">
        <v>5</v>
      </c>
      <c r="BQ45" s="99">
        <v>6246</v>
      </c>
      <c r="BR45" s="99">
        <v>5</v>
      </c>
      <c r="BS45" s="99">
        <v>6246</v>
      </c>
      <c r="BT45" s="99">
        <v>4</v>
      </c>
      <c r="BU45" s="99">
        <v>4996.8</v>
      </c>
      <c r="BV45" s="99">
        <v>5</v>
      </c>
      <c r="BW45" s="99">
        <v>6246</v>
      </c>
      <c r="BX45" s="99">
        <v>5</v>
      </c>
      <c r="BY45" s="99">
        <v>6246</v>
      </c>
      <c r="BZ45" s="99">
        <v>5</v>
      </c>
      <c r="CA45" s="99">
        <v>6246</v>
      </c>
      <c r="CB45" s="99">
        <v>3</v>
      </c>
      <c r="CC45" s="99">
        <v>3747.6000000000004</v>
      </c>
      <c r="CD45" s="99">
        <v>5</v>
      </c>
      <c r="CE45" s="99">
        <v>6246</v>
      </c>
      <c r="CF45" s="99">
        <v>5</v>
      </c>
      <c r="CG45" s="99">
        <v>6246</v>
      </c>
      <c r="CH45" s="99">
        <v>4</v>
      </c>
      <c r="CI45" s="99">
        <v>4996.8</v>
      </c>
      <c r="CJ45" s="99">
        <v>4</v>
      </c>
      <c r="CK45" s="99">
        <v>4996.8</v>
      </c>
      <c r="CL45" s="99">
        <v>5</v>
      </c>
      <c r="CM45" s="99">
        <v>6246</v>
      </c>
      <c r="CN45" s="99">
        <v>3</v>
      </c>
      <c r="CO45" s="99">
        <v>3747.6000000000004</v>
      </c>
      <c r="CP45" s="99">
        <v>4</v>
      </c>
      <c r="CQ45" s="99">
        <v>4996.8</v>
      </c>
      <c r="CR45" s="99">
        <v>5</v>
      </c>
      <c r="CS45" s="99">
        <v>6246</v>
      </c>
      <c r="CT45" s="99">
        <v>5</v>
      </c>
      <c r="CU45" s="99">
        <v>6246</v>
      </c>
    </row>
    <row r="46" spans="2:99">
      <c r="C46" s="98" t="s">
        <v>211</v>
      </c>
      <c r="D46" s="99">
        <v>3</v>
      </c>
      <c r="E46" s="99">
        <v>3636</v>
      </c>
      <c r="F46" s="99">
        <v>3</v>
      </c>
      <c r="G46" s="99">
        <v>3636</v>
      </c>
      <c r="H46" s="99">
        <v>4</v>
      </c>
      <c r="I46" s="99">
        <v>4848</v>
      </c>
      <c r="J46" s="99">
        <v>5</v>
      </c>
      <c r="K46" s="99">
        <v>6060</v>
      </c>
      <c r="L46" s="99">
        <v>3</v>
      </c>
      <c r="M46" s="99">
        <v>3636</v>
      </c>
      <c r="N46" s="99">
        <v>3</v>
      </c>
      <c r="O46" s="99">
        <v>3636</v>
      </c>
      <c r="P46" s="99">
        <v>5</v>
      </c>
      <c r="Q46" s="99">
        <v>6060</v>
      </c>
      <c r="R46" s="99">
        <v>3</v>
      </c>
      <c r="S46" s="99">
        <v>3636</v>
      </c>
      <c r="T46" s="99">
        <v>6</v>
      </c>
      <c r="U46" s="99">
        <v>7272</v>
      </c>
      <c r="V46" s="99">
        <v>3</v>
      </c>
      <c r="W46" s="99">
        <v>3636</v>
      </c>
      <c r="X46" s="99">
        <v>5</v>
      </c>
      <c r="Y46" s="99">
        <v>6060</v>
      </c>
      <c r="Z46" s="99">
        <v>5</v>
      </c>
      <c r="AA46" s="99">
        <v>6060</v>
      </c>
      <c r="AB46" s="99">
        <v>3</v>
      </c>
      <c r="AC46" s="99">
        <v>3636</v>
      </c>
      <c r="AD46" s="99">
        <v>5</v>
      </c>
      <c r="AE46" s="99">
        <v>6060</v>
      </c>
      <c r="AF46" s="99">
        <v>5</v>
      </c>
      <c r="AG46" s="99">
        <v>6060</v>
      </c>
      <c r="AH46" s="99">
        <v>3</v>
      </c>
      <c r="AI46" s="99">
        <v>3636</v>
      </c>
      <c r="AJ46" s="99">
        <v>5</v>
      </c>
      <c r="AK46" s="99">
        <v>6060</v>
      </c>
      <c r="AL46" s="99">
        <v>4</v>
      </c>
      <c r="AM46" s="99">
        <v>4848</v>
      </c>
      <c r="AN46" s="99">
        <v>5</v>
      </c>
      <c r="AO46" s="99">
        <v>6060</v>
      </c>
      <c r="AP46" s="99">
        <v>3</v>
      </c>
      <c r="AQ46" s="99">
        <v>3636</v>
      </c>
      <c r="AR46" s="99">
        <v>6</v>
      </c>
      <c r="AS46" s="99">
        <v>7272</v>
      </c>
      <c r="AT46" s="99">
        <v>5</v>
      </c>
      <c r="AU46" s="99">
        <v>6060</v>
      </c>
      <c r="AV46" s="99">
        <v>3</v>
      </c>
      <c r="AW46" s="99">
        <v>3636</v>
      </c>
      <c r="AX46" s="99">
        <v>5</v>
      </c>
      <c r="AY46" s="99">
        <v>6060</v>
      </c>
      <c r="AZ46" s="99">
        <v>6</v>
      </c>
      <c r="BA46" s="99">
        <v>7272</v>
      </c>
      <c r="BB46" s="99">
        <v>3</v>
      </c>
      <c r="BC46" s="99">
        <v>3636</v>
      </c>
      <c r="BD46" s="99">
        <v>3</v>
      </c>
      <c r="BE46" s="99">
        <v>3636</v>
      </c>
      <c r="BF46" s="99">
        <v>3</v>
      </c>
      <c r="BG46" s="99">
        <v>3636</v>
      </c>
      <c r="BH46" s="99">
        <v>5</v>
      </c>
      <c r="BI46" s="99">
        <v>6060</v>
      </c>
      <c r="BJ46" s="99">
        <v>6</v>
      </c>
      <c r="BK46" s="99">
        <v>7272</v>
      </c>
      <c r="BL46" s="99">
        <v>4</v>
      </c>
      <c r="BM46" s="99">
        <v>4848</v>
      </c>
      <c r="BN46" s="99">
        <v>4</v>
      </c>
      <c r="BO46" s="99">
        <v>4848</v>
      </c>
      <c r="BP46" s="99">
        <v>6</v>
      </c>
      <c r="BQ46" s="99">
        <v>7272</v>
      </c>
      <c r="BR46" s="99">
        <v>6</v>
      </c>
      <c r="BS46" s="99">
        <v>7272</v>
      </c>
      <c r="BT46" s="99">
        <v>3</v>
      </c>
      <c r="BU46" s="99">
        <v>3636</v>
      </c>
      <c r="BV46" s="99">
        <v>4</v>
      </c>
      <c r="BW46" s="99">
        <v>4848</v>
      </c>
      <c r="BX46" s="99">
        <v>4</v>
      </c>
      <c r="BY46" s="99">
        <v>4848</v>
      </c>
      <c r="BZ46" s="99">
        <v>6</v>
      </c>
      <c r="CA46" s="99">
        <v>7272</v>
      </c>
      <c r="CB46" s="99">
        <v>4</v>
      </c>
      <c r="CC46" s="99">
        <v>4848</v>
      </c>
      <c r="CD46" s="99">
        <v>5</v>
      </c>
      <c r="CE46" s="99">
        <v>6060</v>
      </c>
      <c r="CF46" s="99">
        <v>5</v>
      </c>
      <c r="CG46" s="99">
        <v>6060</v>
      </c>
      <c r="CH46" s="99">
        <v>5</v>
      </c>
      <c r="CI46" s="99">
        <v>6060</v>
      </c>
      <c r="CJ46" s="99">
        <v>4</v>
      </c>
      <c r="CK46" s="99">
        <v>4848</v>
      </c>
      <c r="CL46" s="99">
        <v>5</v>
      </c>
      <c r="CM46" s="99">
        <v>6060</v>
      </c>
      <c r="CN46" s="99">
        <v>3</v>
      </c>
      <c r="CO46" s="99">
        <v>3636</v>
      </c>
      <c r="CP46" s="99">
        <v>4</v>
      </c>
      <c r="CQ46" s="99">
        <v>4848</v>
      </c>
      <c r="CR46" s="99">
        <v>5</v>
      </c>
      <c r="CS46" s="99">
        <v>6060</v>
      </c>
      <c r="CT46" s="99">
        <v>6</v>
      </c>
      <c r="CU46" s="99">
        <v>7272</v>
      </c>
    </row>
    <row r="47" spans="2:99">
      <c r="C47" s="98" t="s">
        <v>212</v>
      </c>
      <c r="D47" s="99">
        <v>3</v>
      </c>
      <c r="E47" s="99">
        <v>4582.7999999999993</v>
      </c>
      <c r="F47" s="99">
        <v>3</v>
      </c>
      <c r="G47" s="99">
        <v>4582.7999999999993</v>
      </c>
      <c r="H47" s="99">
        <v>3</v>
      </c>
      <c r="I47" s="99">
        <v>4582.7999999999993</v>
      </c>
      <c r="J47" s="99">
        <v>4</v>
      </c>
      <c r="K47" s="99">
        <v>6110.4</v>
      </c>
      <c r="L47" s="99">
        <v>3</v>
      </c>
      <c r="M47" s="99">
        <v>4582.7999999999993</v>
      </c>
      <c r="N47" s="99">
        <v>3</v>
      </c>
      <c r="O47" s="99">
        <v>4582.7999999999993</v>
      </c>
      <c r="P47" s="99">
        <v>4</v>
      </c>
      <c r="Q47" s="99">
        <v>6110.4</v>
      </c>
      <c r="R47" s="99">
        <v>3</v>
      </c>
      <c r="S47" s="99">
        <v>4582.7999999999993</v>
      </c>
      <c r="T47" s="99">
        <v>5</v>
      </c>
      <c r="U47" s="99">
        <v>7638</v>
      </c>
      <c r="V47" s="99">
        <v>3</v>
      </c>
      <c r="W47" s="99">
        <v>4582.7999999999993</v>
      </c>
      <c r="X47" s="99">
        <v>4</v>
      </c>
      <c r="Y47" s="99">
        <v>6110.4</v>
      </c>
      <c r="Z47" s="99">
        <v>5</v>
      </c>
      <c r="AA47" s="99">
        <v>7638</v>
      </c>
      <c r="AB47" s="99">
        <v>4</v>
      </c>
      <c r="AC47" s="99">
        <v>6110.4</v>
      </c>
      <c r="AD47" s="99">
        <v>6</v>
      </c>
      <c r="AE47" s="99">
        <v>9165.5999999999985</v>
      </c>
      <c r="AF47" s="99">
        <v>5</v>
      </c>
      <c r="AG47" s="99">
        <v>7638</v>
      </c>
      <c r="AH47" s="99">
        <v>4</v>
      </c>
      <c r="AI47" s="99">
        <v>6110.4</v>
      </c>
      <c r="AJ47" s="99">
        <v>4</v>
      </c>
      <c r="AK47" s="99">
        <v>6110.4</v>
      </c>
      <c r="AL47" s="99">
        <v>5</v>
      </c>
      <c r="AM47" s="99">
        <v>7638</v>
      </c>
      <c r="AN47" s="99">
        <v>6</v>
      </c>
      <c r="AO47" s="99">
        <v>9165.5999999999985</v>
      </c>
      <c r="AP47" s="99">
        <v>4</v>
      </c>
      <c r="AQ47" s="99">
        <v>6110.4</v>
      </c>
      <c r="AR47" s="99">
        <v>6</v>
      </c>
      <c r="AS47" s="99">
        <v>9165.5999999999985</v>
      </c>
      <c r="AT47" s="99">
        <v>4</v>
      </c>
      <c r="AU47" s="99">
        <v>6110.4</v>
      </c>
      <c r="AV47" s="99">
        <v>3</v>
      </c>
      <c r="AW47" s="99">
        <v>4582.7999999999993</v>
      </c>
      <c r="AX47" s="99">
        <v>5</v>
      </c>
      <c r="AY47" s="99">
        <v>7638</v>
      </c>
      <c r="AZ47" s="99">
        <v>6</v>
      </c>
      <c r="BA47" s="99">
        <v>9165.5999999999985</v>
      </c>
      <c r="BB47" s="99">
        <v>3</v>
      </c>
      <c r="BC47" s="99">
        <v>4582.7999999999993</v>
      </c>
      <c r="BD47" s="99">
        <v>3</v>
      </c>
      <c r="BE47" s="99">
        <v>4582.7999999999993</v>
      </c>
      <c r="BF47" s="99">
        <v>4</v>
      </c>
      <c r="BG47" s="99">
        <v>6110.4</v>
      </c>
      <c r="BH47" s="99">
        <v>5</v>
      </c>
      <c r="BI47" s="99">
        <v>7638</v>
      </c>
      <c r="BJ47" s="99">
        <v>6</v>
      </c>
      <c r="BK47" s="99">
        <v>9165.5999999999985</v>
      </c>
      <c r="BL47" s="99">
        <v>3</v>
      </c>
      <c r="BM47" s="99">
        <v>4582.7999999999993</v>
      </c>
      <c r="BN47" s="99">
        <v>4</v>
      </c>
      <c r="BO47" s="99">
        <v>6110.4</v>
      </c>
      <c r="BP47" s="99">
        <v>5</v>
      </c>
      <c r="BQ47" s="99">
        <v>7638</v>
      </c>
      <c r="BR47" s="99">
        <v>6</v>
      </c>
      <c r="BS47" s="99">
        <v>9165.5999999999985</v>
      </c>
      <c r="BT47" s="99">
        <v>4</v>
      </c>
      <c r="BU47" s="99">
        <v>6110.4</v>
      </c>
      <c r="BV47" s="99">
        <v>5</v>
      </c>
      <c r="BW47" s="99">
        <v>7638</v>
      </c>
      <c r="BX47" s="99">
        <v>4</v>
      </c>
      <c r="BY47" s="99">
        <v>6110.4</v>
      </c>
      <c r="BZ47" s="99">
        <v>6</v>
      </c>
      <c r="CA47" s="99">
        <v>9165.5999999999985</v>
      </c>
      <c r="CB47" s="99">
        <v>3</v>
      </c>
      <c r="CC47" s="99">
        <v>4582.7999999999993</v>
      </c>
      <c r="CD47" s="99">
        <v>5</v>
      </c>
      <c r="CE47" s="99">
        <v>7638</v>
      </c>
      <c r="CF47" s="99">
        <v>5</v>
      </c>
      <c r="CG47" s="99">
        <v>7638</v>
      </c>
      <c r="CH47" s="99">
        <v>4</v>
      </c>
      <c r="CI47" s="99">
        <v>6110.4</v>
      </c>
      <c r="CJ47" s="99">
        <v>4</v>
      </c>
      <c r="CK47" s="99">
        <v>6110.4</v>
      </c>
      <c r="CL47" s="99">
        <v>4</v>
      </c>
      <c r="CM47" s="99">
        <v>6110.4</v>
      </c>
      <c r="CN47" s="99">
        <v>3</v>
      </c>
      <c r="CO47" s="99">
        <v>4582.7999999999993</v>
      </c>
      <c r="CP47" s="99">
        <v>4</v>
      </c>
      <c r="CQ47" s="99">
        <v>6110.4</v>
      </c>
      <c r="CR47" s="99">
        <v>5</v>
      </c>
      <c r="CS47" s="99">
        <v>7638</v>
      </c>
      <c r="CT47" s="99">
        <v>5</v>
      </c>
      <c r="CU47" s="99">
        <v>7638</v>
      </c>
    </row>
    <row r="48" spans="2:99">
      <c r="C48" s="98" t="s">
        <v>213</v>
      </c>
      <c r="D48" s="99">
        <v>3</v>
      </c>
      <c r="E48" s="99">
        <v>2602.8000000000002</v>
      </c>
      <c r="F48" s="99">
        <v>3</v>
      </c>
      <c r="G48" s="99">
        <v>2602.8000000000002</v>
      </c>
      <c r="H48" s="99">
        <v>3</v>
      </c>
      <c r="I48" s="99">
        <v>2602.8000000000002</v>
      </c>
      <c r="J48" s="99">
        <v>5</v>
      </c>
      <c r="K48" s="99">
        <v>4338</v>
      </c>
      <c r="L48" s="99">
        <v>3</v>
      </c>
      <c r="M48" s="99">
        <v>2602.8000000000002</v>
      </c>
      <c r="N48" s="99">
        <v>3</v>
      </c>
      <c r="O48" s="99">
        <v>2602.8000000000002</v>
      </c>
      <c r="P48" s="99">
        <v>4</v>
      </c>
      <c r="Q48" s="99">
        <v>3470.4</v>
      </c>
      <c r="R48" s="99">
        <v>4</v>
      </c>
      <c r="S48" s="99">
        <v>3470.4</v>
      </c>
      <c r="T48" s="99">
        <v>6</v>
      </c>
      <c r="U48" s="99">
        <v>5205.6000000000004</v>
      </c>
      <c r="V48" s="99">
        <v>3</v>
      </c>
      <c r="W48" s="99">
        <v>2602.8000000000002</v>
      </c>
      <c r="X48" s="99">
        <v>4</v>
      </c>
      <c r="Y48" s="99">
        <v>3470.4</v>
      </c>
      <c r="Z48" s="99">
        <v>6</v>
      </c>
      <c r="AA48" s="99">
        <v>5205.6000000000004</v>
      </c>
      <c r="AB48" s="99">
        <v>4</v>
      </c>
      <c r="AC48" s="99">
        <v>3470.4</v>
      </c>
      <c r="AD48" s="99">
        <v>5</v>
      </c>
      <c r="AE48" s="99">
        <v>4338</v>
      </c>
      <c r="AF48" s="99">
        <v>5</v>
      </c>
      <c r="AG48" s="99">
        <v>4338</v>
      </c>
      <c r="AH48" s="99">
        <v>3</v>
      </c>
      <c r="AI48" s="99">
        <v>2602.8000000000002</v>
      </c>
      <c r="AJ48" s="99">
        <v>4</v>
      </c>
      <c r="AK48" s="99">
        <v>3470.4</v>
      </c>
      <c r="AL48" s="99">
        <v>5</v>
      </c>
      <c r="AM48" s="99">
        <v>4338</v>
      </c>
      <c r="AN48" s="99">
        <v>6</v>
      </c>
      <c r="AO48" s="99">
        <v>5205.6000000000004</v>
      </c>
      <c r="AP48" s="99">
        <v>3</v>
      </c>
      <c r="AQ48" s="99">
        <v>2602.8000000000002</v>
      </c>
      <c r="AR48" s="99">
        <v>6</v>
      </c>
      <c r="AS48" s="99">
        <v>5205.6000000000004</v>
      </c>
      <c r="AT48" s="99">
        <v>4</v>
      </c>
      <c r="AU48" s="99">
        <v>3470.4</v>
      </c>
      <c r="AV48" s="99">
        <v>3</v>
      </c>
      <c r="AW48" s="99">
        <v>2602.8000000000002</v>
      </c>
      <c r="AX48" s="99">
        <v>5</v>
      </c>
      <c r="AY48" s="99">
        <v>4338</v>
      </c>
      <c r="AZ48" s="99">
        <v>6</v>
      </c>
      <c r="BA48" s="99">
        <v>5205.6000000000004</v>
      </c>
      <c r="BB48" s="99">
        <v>3</v>
      </c>
      <c r="BC48" s="99">
        <v>2602.8000000000002</v>
      </c>
      <c r="BD48" s="99">
        <v>3</v>
      </c>
      <c r="BE48" s="99">
        <v>2602.8000000000002</v>
      </c>
      <c r="BF48" s="99">
        <v>4</v>
      </c>
      <c r="BG48" s="99">
        <v>3470.4</v>
      </c>
      <c r="BH48" s="99">
        <v>5</v>
      </c>
      <c r="BI48" s="99">
        <v>4338</v>
      </c>
      <c r="BJ48" s="99">
        <v>6</v>
      </c>
      <c r="BK48" s="99">
        <v>5205.6000000000004</v>
      </c>
      <c r="BL48" s="99">
        <v>3</v>
      </c>
      <c r="BM48" s="99">
        <v>2602.8000000000002</v>
      </c>
      <c r="BN48" s="99">
        <v>4</v>
      </c>
      <c r="BO48" s="99">
        <v>3470.4</v>
      </c>
      <c r="BP48" s="99">
        <v>6</v>
      </c>
      <c r="BQ48" s="99">
        <v>5205.6000000000004</v>
      </c>
      <c r="BR48" s="99">
        <v>6</v>
      </c>
      <c r="BS48" s="99">
        <v>5205.6000000000004</v>
      </c>
      <c r="BT48" s="99">
        <v>4</v>
      </c>
      <c r="BU48" s="99">
        <v>3470.4</v>
      </c>
      <c r="BV48" s="99">
        <v>4</v>
      </c>
      <c r="BW48" s="99">
        <v>3470.4</v>
      </c>
      <c r="BX48" s="99">
        <v>4</v>
      </c>
      <c r="BY48" s="99">
        <v>3470.4</v>
      </c>
      <c r="BZ48" s="99">
        <v>6</v>
      </c>
      <c r="CA48" s="99">
        <v>5205.6000000000004</v>
      </c>
      <c r="CB48" s="99">
        <v>4</v>
      </c>
      <c r="CC48" s="99">
        <v>3470.4</v>
      </c>
      <c r="CD48" s="99">
        <v>6</v>
      </c>
      <c r="CE48" s="99">
        <v>5205.6000000000004</v>
      </c>
      <c r="CF48" s="99">
        <v>6</v>
      </c>
      <c r="CG48" s="99">
        <v>5205.6000000000004</v>
      </c>
      <c r="CH48" s="99">
        <v>5</v>
      </c>
      <c r="CI48" s="99">
        <v>4338</v>
      </c>
      <c r="CJ48" s="99">
        <v>5</v>
      </c>
      <c r="CK48" s="99">
        <v>4338</v>
      </c>
      <c r="CL48" s="99">
        <v>5</v>
      </c>
      <c r="CM48" s="99">
        <v>4338</v>
      </c>
      <c r="CN48" s="99">
        <v>3</v>
      </c>
      <c r="CO48" s="99">
        <v>2602.8000000000002</v>
      </c>
      <c r="CP48" s="99">
        <v>4</v>
      </c>
      <c r="CQ48" s="99">
        <v>3470.4</v>
      </c>
      <c r="CR48" s="99">
        <v>5</v>
      </c>
      <c r="CS48" s="99">
        <v>4338</v>
      </c>
      <c r="CT48" s="99">
        <v>6</v>
      </c>
      <c r="CU48" s="99">
        <v>5205.6000000000004</v>
      </c>
    </row>
    <row r="49" spans="2:99">
      <c r="B49" s="98" t="s">
        <v>129</v>
      </c>
      <c r="C49" s="98" t="s">
        <v>214</v>
      </c>
      <c r="D49" s="99">
        <v>3</v>
      </c>
      <c r="E49" s="99">
        <v>2955.6</v>
      </c>
      <c r="F49" s="99">
        <v>4</v>
      </c>
      <c r="G49" s="99">
        <v>3940.7999999999997</v>
      </c>
      <c r="H49" s="99">
        <v>4</v>
      </c>
      <c r="I49" s="99">
        <v>3940.7999999999997</v>
      </c>
      <c r="J49" s="99">
        <v>4</v>
      </c>
      <c r="K49" s="99">
        <v>3940.7999999999997</v>
      </c>
      <c r="L49" s="99">
        <v>5</v>
      </c>
      <c r="M49" s="99">
        <v>4926</v>
      </c>
      <c r="N49" s="99">
        <v>4</v>
      </c>
      <c r="O49" s="99">
        <v>3940.7999999999997</v>
      </c>
      <c r="P49" s="99">
        <v>5</v>
      </c>
      <c r="Q49" s="99">
        <v>4926</v>
      </c>
      <c r="R49" s="99">
        <v>4</v>
      </c>
      <c r="S49" s="99">
        <v>3940.7999999999997</v>
      </c>
      <c r="T49" s="99">
        <v>3</v>
      </c>
      <c r="U49" s="99">
        <v>2955.6</v>
      </c>
      <c r="V49" s="99">
        <v>4</v>
      </c>
      <c r="W49" s="99">
        <v>3940.7999999999997</v>
      </c>
      <c r="X49" s="99">
        <v>4</v>
      </c>
      <c r="Y49" s="99">
        <v>3940.7999999999997</v>
      </c>
      <c r="Z49" s="99">
        <v>4</v>
      </c>
      <c r="AA49" s="99">
        <v>3940.7999999999997</v>
      </c>
      <c r="AB49" s="99">
        <v>5</v>
      </c>
      <c r="AC49" s="99">
        <v>4926</v>
      </c>
      <c r="AD49" s="99">
        <v>5</v>
      </c>
      <c r="AE49" s="99">
        <v>4926</v>
      </c>
      <c r="AF49" s="99">
        <v>4</v>
      </c>
      <c r="AG49" s="99">
        <v>3940.7999999999997</v>
      </c>
      <c r="AH49" s="99">
        <v>3</v>
      </c>
      <c r="AI49" s="99">
        <v>2955.6</v>
      </c>
      <c r="AJ49" s="99">
        <v>5</v>
      </c>
      <c r="AK49" s="99">
        <v>4926</v>
      </c>
      <c r="AL49" s="99">
        <v>3</v>
      </c>
      <c r="AM49" s="99">
        <v>2955.6</v>
      </c>
      <c r="AN49" s="99">
        <v>5</v>
      </c>
      <c r="AO49" s="99">
        <v>4926</v>
      </c>
      <c r="AP49" s="99">
        <v>3</v>
      </c>
      <c r="AQ49" s="99">
        <v>2955.6</v>
      </c>
      <c r="AR49" s="99">
        <v>3</v>
      </c>
      <c r="AS49" s="99">
        <v>2955.6</v>
      </c>
      <c r="AT49" s="99">
        <v>4</v>
      </c>
      <c r="AU49" s="99">
        <v>3940.7999999999997</v>
      </c>
      <c r="AV49" s="99">
        <v>4</v>
      </c>
      <c r="AW49" s="99">
        <v>3940.7999999999997</v>
      </c>
      <c r="AX49" s="99">
        <v>3</v>
      </c>
      <c r="AY49" s="99">
        <v>2955.6</v>
      </c>
      <c r="AZ49" s="99">
        <v>4</v>
      </c>
      <c r="BA49" s="99">
        <v>3940.7999999999997</v>
      </c>
      <c r="BB49" s="99">
        <v>3</v>
      </c>
      <c r="BC49" s="99">
        <v>2955.6</v>
      </c>
      <c r="BD49" s="99">
        <v>4</v>
      </c>
      <c r="BE49" s="99">
        <v>3940.7999999999997</v>
      </c>
      <c r="BF49" s="99">
        <v>4</v>
      </c>
      <c r="BG49" s="99">
        <v>3940.7999999999997</v>
      </c>
      <c r="BH49" s="99">
        <v>4</v>
      </c>
      <c r="BI49" s="99">
        <v>3940.7999999999997</v>
      </c>
      <c r="BJ49" s="99">
        <v>4</v>
      </c>
      <c r="BK49" s="99">
        <v>3940.7999999999997</v>
      </c>
      <c r="BL49" s="99">
        <v>3</v>
      </c>
      <c r="BM49" s="99">
        <v>2955.6</v>
      </c>
      <c r="BN49" s="99">
        <v>4</v>
      </c>
      <c r="BO49" s="99">
        <v>3940.7999999999997</v>
      </c>
      <c r="BP49" s="99">
        <v>3</v>
      </c>
      <c r="BQ49" s="99">
        <v>2955.6</v>
      </c>
      <c r="BR49" s="99">
        <v>3</v>
      </c>
      <c r="BS49" s="99">
        <v>2955.6</v>
      </c>
      <c r="BT49" s="99">
        <v>5</v>
      </c>
      <c r="BU49" s="99">
        <v>4926</v>
      </c>
      <c r="BV49" s="99">
        <v>3</v>
      </c>
      <c r="BW49" s="99">
        <v>2955.6</v>
      </c>
      <c r="BX49" s="99">
        <v>3</v>
      </c>
      <c r="BY49" s="99">
        <v>2955.6</v>
      </c>
      <c r="BZ49" s="99">
        <v>3</v>
      </c>
      <c r="CA49" s="99">
        <v>2955.6</v>
      </c>
      <c r="CB49" s="99">
        <v>4</v>
      </c>
      <c r="CC49" s="99">
        <v>3940.7999999999997</v>
      </c>
      <c r="CD49" s="99">
        <v>4</v>
      </c>
      <c r="CE49" s="99">
        <v>3940.7999999999997</v>
      </c>
      <c r="CF49" s="99">
        <v>3</v>
      </c>
      <c r="CG49" s="99">
        <v>2955.6</v>
      </c>
      <c r="CH49" s="99">
        <v>3</v>
      </c>
      <c r="CI49" s="99">
        <v>2955.6</v>
      </c>
      <c r="CJ49" s="99">
        <v>3</v>
      </c>
      <c r="CK49" s="99">
        <v>2955.6</v>
      </c>
      <c r="CL49" s="99">
        <v>5</v>
      </c>
      <c r="CM49" s="99">
        <v>4926</v>
      </c>
      <c r="CN49" s="99">
        <v>4</v>
      </c>
      <c r="CO49" s="99">
        <v>3940.7999999999997</v>
      </c>
      <c r="CP49" s="99">
        <v>4</v>
      </c>
      <c r="CQ49" s="99">
        <v>3940.7999999999997</v>
      </c>
      <c r="CR49" s="99">
        <v>4</v>
      </c>
      <c r="CS49" s="99">
        <v>3940.7999999999997</v>
      </c>
      <c r="CT49" s="99">
        <v>3</v>
      </c>
      <c r="CU49" s="99">
        <v>2955.6</v>
      </c>
    </row>
    <row r="50" spans="2:99">
      <c r="C50" s="98" t="s">
        <v>215</v>
      </c>
      <c r="D50" s="99">
        <v>3</v>
      </c>
      <c r="E50" s="99">
        <v>846</v>
      </c>
      <c r="F50" s="99">
        <v>4</v>
      </c>
      <c r="G50" s="99">
        <v>1128</v>
      </c>
      <c r="H50" s="99">
        <v>4</v>
      </c>
      <c r="I50" s="99">
        <v>1128</v>
      </c>
      <c r="J50" s="99">
        <v>4</v>
      </c>
      <c r="K50" s="99">
        <v>1128</v>
      </c>
      <c r="L50" s="99">
        <v>5</v>
      </c>
      <c r="M50" s="99">
        <v>1410</v>
      </c>
      <c r="N50" s="99">
        <v>4</v>
      </c>
      <c r="O50" s="99">
        <v>1128</v>
      </c>
      <c r="P50" s="99">
        <v>5</v>
      </c>
      <c r="Q50" s="99">
        <v>1410</v>
      </c>
      <c r="R50" s="99">
        <v>5</v>
      </c>
      <c r="S50" s="99">
        <v>1410</v>
      </c>
      <c r="T50" s="99">
        <v>3</v>
      </c>
      <c r="U50" s="99">
        <v>846</v>
      </c>
      <c r="V50" s="99">
        <v>4</v>
      </c>
      <c r="W50" s="99">
        <v>1128</v>
      </c>
      <c r="X50" s="99">
        <v>5</v>
      </c>
      <c r="Y50" s="99">
        <v>1410</v>
      </c>
      <c r="Z50" s="99">
        <v>4</v>
      </c>
      <c r="AA50" s="99">
        <v>1128</v>
      </c>
      <c r="AB50" s="99">
        <v>5</v>
      </c>
      <c r="AC50" s="99">
        <v>1410</v>
      </c>
      <c r="AD50" s="99">
        <v>5</v>
      </c>
      <c r="AE50" s="99">
        <v>1410</v>
      </c>
      <c r="AF50" s="99">
        <v>4</v>
      </c>
      <c r="AG50" s="99">
        <v>1128</v>
      </c>
      <c r="AH50" s="99">
        <v>3</v>
      </c>
      <c r="AI50" s="99">
        <v>846</v>
      </c>
      <c r="AJ50" s="99">
        <v>5</v>
      </c>
      <c r="AK50" s="99">
        <v>1410</v>
      </c>
      <c r="AL50" s="99">
        <v>3</v>
      </c>
      <c r="AM50" s="99">
        <v>846</v>
      </c>
      <c r="AN50" s="99">
        <v>4</v>
      </c>
      <c r="AO50" s="99">
        <v>1128</v>
      </c>
      <c r="AP50" s="99">
        <v>3</v>
      </c>
      <c r="AQ50" s="99">
        <v>846</v>
      </c>
      <c r="AR50" s="99">
        <v>3</v>
      </c>
      <c r="AS50" s="99">
        <v>846</v>
      </c>
      <c r="AT50" s="99">
        <v>4</v>
      </c>
      <c r="AU50" s="99">
        <v>1128</v>
      </c>
      <c r="AV50" s="99">
        <v>4</v>
      </c>
      <c r="AW50" s="99">
        <v>1128</v>
      </c>
      <c r="AX50" s="99">
        <v>3</v>
      </c>
      <c r="AY50" s="99">
        <v>846</v>
      </c>
      <c r="AZ50" s="99">
        <v>4</v>
      </c>
      <c r="BA50" s="99">
        <v>1128</v>
      </c>
      <c r="BB50" s="99">
        <v>3</v>
      </c>
      <c r="BC50" s="99">
        <v>846</v>
      </c>
      <c r="BD50" s="99">
        <v>5</v>
      </c>
      <c r="BE50" s="99">
        <v>1410</v>
      </c>
      <c r="BF50" s="99">
        <v>5</v>
      </c>
      <c r="BG50" s="99">
        <v>1410</v>
      </c>
      <c r="BH50" s="99">
        <v>4</v>
      </c>
      <c r="BI50" s="99">
        <v>1128</v>
      </c>
      <c r="BJ50" s="99">
        <v>5</v>
      </c>
      <c r="BK50" s="99">
        <v>1410</v>
      </c>
      <c r="BL50" s="99">
        <v>3</v>
      </c>
      <c r="BM50" s="99">
        <v>846</v>
      </c>
      <c r="BN50" s="99">
        <v>4</v>
      </c>
      <c r="BO50" s="99">
        <v>1128</v>
      </c>
      <c r="BP50" s="99">
        <v>4</v>
      </c>
      <c r="BQ50" s="99">
        <v>1128</v>
      </c>
      <c r="BR50" s="99">
        <v>3</v>
      </c>
      <c r="BS50" s="99">
        <v>846</v>
      </c>
      <c r="BT50" s="99">
        <v>5</v>
      </c>
      <c r="BU50" s="99">
        <v>1410</v>
      </c>
      <c r="BV50" s="99">
        <v>3</v>
      </c>
      <c r="BW50" s="99">
        <v>846</v>
      </c>
      <c r="BX50" s="99">
        <v>3</v>
      </c>
      <c r="BY50" s="99">
        <v>846</v>
      </c>
      <c r="BZ50" s="99">
        <v>3</v>
      </c>
      <c r="CA50" s="99">
        <v>846</v>
      </c>
      <c r="CB50" s="99">
        <v>3</v>
      </c>
      <c r="CC50" s="99">
        <v>846</v>
      </c>
      <c r="CD50" s="99">
        <v>5</v>
      </c>
      <c r="CE50" s="99">
        <v>1410</v>
      </c>
      <c r="CF50" s="99">
        <v>3</v>
      </c>
      <c r="CG50" s="99">
        <v>846</v>
      </c>
      <c r="CH50" s="99">
        <v>4</v>
      </c>
      <c r="CI50" s="99">
        <v>1128</v>
      </c>
      <c r="CJ50" s="99">
        <v>3</v>
      </c>
      <c r="CK50" s="99">
        <v>846</v>
      </c>
      <c r="CL50" s="99">
        <v>5</v>
      </c>
      <c r="CM50" s="99">
        <v>1410</v>
      </c>
      <c r="CN50" s="99">
        <v>4</v>
      </c>
      <c r="CO50" s="99">
        <v>1128</v>
      </c>
      <c r="CP50" s="99">
        <v>5</v>
      </c>
      <c r="CQ50" s="99">
        <v>1410</v>
      </c>
      <c r="CR50" s="99">
        <v>4</v>
      </c>
      <c r="CS50" s="99">
        <v>1128</v>
      </c>
      <c r="CT50" s="99">
        <v>3</v>
      </c>
      <c r="CU50" s="99">
        <v>846</v>
      </c>
    </row>
    <row r="51" spans="2:99">
      <c r="C51" s="98" t="s">
        <v>216</v>
      </c>
      <c r="D51" s="99">
        <v>3</v>
      </c>
      <c r="E51" s="99">
        <v>2563.1999999999998</v>
      </c>
      <c r="F51" s="99">
        <v>3</v>
      </c>
      <c r="G51" s="99">
        <v>2563.1999999999998</v>
      </c>
      <c r="H51" s="99">
        <v>4</v>
      </c>
      <c r="I51" s="99">
        <v>3417.6</v>
      </c>
      <c r="J51" s="99">
        <v>4</v>
      </c>
      <c r="K51" s="99">
        <v>3417.6</v>
      </c>
      <c r="L51" s="99">
        <v>4</v>
      </c>
      <c r="M51" s="99">
        <v>3417.6</v>
      </c>
      <c r="N51" s="99">
        <v>4</v>
      </c>
      <c r="O51" s="99">
        <v>3417.6</v>
      </c>
      <c r="P51" s="99">
        <v>6</v>
      </c>
      <c r="Q51" s="99">
        <v>5126.3999999999996</v>
      </c>
      <c r="R51" s="99">
        <v>4</v>
      </c>
      <c r="S51" s="99">
        <v>3417.6</v>
      </c>
      <c r="T51" s="99">
        <v>3</v>
      </c>
      <c r="U51" s="99">
        <v>2563.1999999999998</v>
      </c>
      <c r="V51" s="99">
        <v>4</v>
      </c>
      <c r="W51" s="99">
        <v>3417.6</v>
      </c>
      <c r="X51" s="99">
        <v>4</v>
      </c>
      <c r="Y51" s="99">
        <v>3417.6</v>
      </c>
      <c r="Z51" s="99">
        <v>4</v>
      </c>
      <c r="AA51" s="99">
        <v>3417.6</v>
      </c>
      <c r="AB51" s="99">
        <v>4</v>
      </c>
      <c r="AC51" s="99">
        <v>3417.6</v>
      </c>
      <c r="AD51" s="99">
        <v>5</v>
      </c>
      <c r="AE51" s="99">
        <v>4272</v>
      </c>
      <c r="AF51" s="99">
        <v>4</v>
      </c>
      <c r="AG51" s="99">
        <v>3417.6</v>
      </c>
      <c r="AH51" s="99">
        <v>3</v>
      </c>
      <c r="AI51" s="99">
        <v>2563.1999999999998</v>
      </c>
      <c r="AJ51" s="99">
        <v>5</v>
      </c>
      <c r="AK51" s="99">
        <v>4272</v>
      </c>
      <c r="AL51" s="99">
        <v>3</v>
      </c>
      <c r="AM51" s="99">
        <v>2563.1999999999998</v>
      </c>
      <c r="AN51" s="99">
        <v>4</v>
      </c>
      <c r="AO51" s="99">
        <v>3417.6</v>
      </c>
      <c r="AP51" s="99">
        <v>3</v>
      </c>
      <c r="AQ51" s="99">
        <v>2563.1999999999998</v>
      </c>
      <c r="AR51" s="99">
        <v>3</v>
      </c>
      <c r="AS51" s="99">
        <v>2563.1999999999998</v>
      </c>
      <c r="AT51" s="99">
        <v>4</v>
      </c>
      <c r="AU51" s="99">
        <v>3417.6</v>
      </c>
      <c r="AV51" s="99">
        <v>4</v>
      </c>
      <c r="AW51" s="99">
        <v>3417.6</v>
      </c>
      <c r="AX51" s="99">
        <v>3</v>
      </c>
      <c r="AY51" s="99">
        <v>2563.1999999999998</v>
      </c>
      <c r="AZ51" s="99">
        <v>4</v>
      </c>
      <c r="BA51" s="99">
        <v>3417.6</v>
      </c>
      <c r="BB51" s="99">
        <v>3</v>
      </c>
      <c r="BC51" s="99">
        <v>2563.1999999999998</v>
      </c>
      <c r="BD51" s="99">
        <v>4</v>
      </c>
      <c r="BE51" s="99">
        <v>3417.6</v>
      </c>
      <c r="BF51" s="99">
        <v>4</v>
      </c>
      <c r="BG51" s="99">
        <v>3417.6</v>
      </c>
      <c r="BH51" s="99">
        <v>4</v>
      </c>
      <c r="BI51" s="99">
        <v>3417.6</v>
      </c>
      <c r="BJ51" s="99">
        <v>5</v>
      </c>
      <c r="BK51" s="99">
        <v>4272</v>
      </c>
      <c r="BL51" s="99">
        <v>3</v>
      </c>
      <c r="BM51" s="99">
        <v>2563.1999999999998</v>
      </c>
      <c r="BN51" s="99">
        <v>3</v>
      </c>
      <c r="BO51" s="99">
        <v>2563.1999999999998</v>
      </c>
      <c r="BP51" s="99">
        <v>4</v>
      </c>
      <c r="BQ51" s="99">
        <v>3417.6</v>
      </c>
      <c r="BR51" s="99">
        <v>3</v>
      </c>
      <c r="BS51" s="99">
        <v>2563.1999999999998</v>
      </c>
      <c r="BT51" s="99">
        <v>5</v>
      </c>
      <c r="BU51" s="99">
        <v>4272</v>
      </c>
      <c r="BV51" s="99">
        <v>3</v>
      </c>
      <c r="BW51" s="99">
        <v>2563.1999999999998</v>
      </c>
      <c r="BX51" s="99">
        <v>3</v>
      </c>
      <c r="BY51" s="99">
        <v>2563.1999999999998</v>
      </c>
      <c r="BZ51" s="99">
        <v>3</v>
      </c>
      <c r="CA51" s="99">
        <v>2563.1999999999998</v>
      </c>
      <c r="CB51" s="99">
        <v>3</v>
      </c>
      <c r="CC51" s="99">
        <v>2563.1999999999998</v>
      </c>
      <c r="CD51" s="99">
        <v>5</v>
      </c>
      <c r="CE51" s="99">
        <v>4272</v>
      </c>
      <c r="CF51" s="99">
        <v>3</v>
      </c>
      <c r="CG51" s="99">
        <v>2563.1999999999998</v>
      </c>
      <c r="CH51" s="99">
        <v>3</v>
      </c>
      <c r="CI51" s="99">
        <v>2563.1999999999998</v>
      </c>
      <c r="CJ51" s="99">
        <v>3</v>
      </c>
      <c r="CK51" s="99">
        <v>2563.1999999999998</v>
      </c>
      <c r="CL51" s="99">
        <v>5</v>
      </c>
      <c r="CM51" s="99">
        <v>4272</v>
      </c>
      <c r="CN51" s="99">
        <v>4</v>
      </c>
      <c r="CO51" s="99">
        <v>3417.6</v>
      </c>
      <c r="CP51" s="99">
        <v>4</v>
      </c>
      <c r="CQ51" s="99">
        <v>3417.6</v>
      </c>
      <c r="CR51" s="99">
        <v>5</v>
      </c>
      <c r="CS51" s="99">
        <v>4272</v>
      </c>
      <c r="CT51" s="99">
        <v>3</v>
      </c>
      <c r="CU51" s="99">
        <v>2563.1999999999998</v>
      </c>
    </row>
    <row r="52" spans="2:99">
      <c r="C52" s="98" t="s">
        <v>217</v>
      </c>
      <c r="D52" s="99">
        <v>3</v>
      </c>
      <c r="E52" s="99">
        <v>1620</v>
      </c>
      <c r="F52" s="99">
        <v>4</v>
      </c>
      <c r="G52" s="99">
        <v>2160</v>
      </c>
      <c r="H52" s="99">
        <v>4</v>
      </c>
      <c r="I52" s="99">
        <v>2160</v>
      </c>
      <c r="J52" s="99">
        <v>5</v>
      </c>
      <c r="K52" s="99">
        <v>2700</v>
      </c>
      <c r="L52" s="99">
        <v>5</v>
      </c>
      <c r="M52" s="99">
        <v>2700</v>
      </c>
      <c r="N52" s="99">
        <v>4</v>
      </c>
      <c r="O52" s="99">
        <v>2160</v>
      </c>
      <c r="P52" s="99">
        <v>5</v>
      </c>
      <c r="Q52" s="99">
        <v>2700</v>
      </c>
      <c r="R52" s="99">
        <v>4</v>
      </c>
      <c r="S52" s="99">
        <v>2160</v>
      </c>
      <c r="T52" s="99">
        <v>3</v>
      </c>
      <c r="U52" s="99">
        <v>1620</v>
      </c>
      <c r="V52" s="99">
        <v>4</v>
      </c>
      <c r="W52" s="99">
        <v>2160</v>
      </c>
      <c r="X52" s="99">
        <v>5</v>
      </c>
      <c r="Y52" s="99">
        <v>2700</v>
      </c>
      <c r="Z52" s="99">
        <v>4</v>
      </c>
      <c r="AA52" s="99">
        <v>2160</v>
      </c>
      <c r="AB52" s="99">
        <v>5</v>
      </c>
      <c r="AC52" s="99">
        <v>2700</v>
      </c>
      <c r="AD52" s="99">
        <v>5</v>
      </c>
      <c r="AE52" s="99">
        <v>2700</v>
      </c>
      <c r="AF52" s="99">
        <v>4</v>
      </c>
      <c r="AG52" s="99">
        <v>2160</v>
      </c>
      <c r="AH52" s="99">
        <v>3</v>
      </c>
      <c r="AI52" s="99">
        <v>1620</v>
      </c>
      <c r="AJ52" s="99">
        <v>5</v>
      </c>
      <c r="AK52" s="99">
        <v>2700</v>
      </c>
      <c r="AL52" s="99">
        <v>3</v>
      </c>
      <c r="AM52" s="99">
        <v>1620</v>
      </c>
      <c r="AN52" s="99">
        <v>5</v>
      </c>
      <c r="AO52" s="99">
        <v>2700</v>
      </c>
      <c r="AP52" s="99">
        <v>4</v>
      </c>
      <c r="AQ52" s="99">
        <v>2160</v>
      </c>
      <c r="AR52" s="99">
        <v>3</v>
      </c>
      <c r="AS52" s="99">
        <v>1620</v>
      </c>
      <c r="AT52" s="99">
        <v>4</v>
      </c>
      <c r="AU52" s="99">
        <v>2160</v>
      </c>
      <c r="AV52" s="99">
        <v>4</v>
      </c>
      <c r="AW52" s="99">
        <v>2160</v>
      </c>
      <c r="AX52" s="99">
        <v>3</v>
      </c>
      <c r="AY52" s="99">
        <v>1620</v>
      </c>
      <c r="AZ52" s="99">
        <v>4</v>
      </c>
      <c r="BA52" s="99">
        <v>2160</v>
      </c>
      <c r="BB52" s="99">
        <v>3</v>
      </c>
      <c r="BC52" s="99">
        <v>1620</v>
      </c>
      <c r="BD52" s="99">
        <v>4</v>
      </c>
      <c r="BE52" s="99">
        <v>2160</v>
      </c>
      <c r="BF52" s="99">
        <v>4</v>
      </c>
      <c r="BG52" s="99">
        <v>2160</v>
      </c>
      <c r="BH52" s="99">
        <v>4</v>
      </c>
      <c r="BI52" s="99">
        <v>2160</v>
      </c>
      <c r="BJ52" s="99">
        <v>5</v>
      </c>
      <c r="BK52" s="99">
        <v>2700</v>
      </c>
      <c r="BL52" s="99">
        <v>3</v>
      </c>
      <c r="BM52" s="99">
        <v>1620</v>
      </c>
      <c r="BN52" s="99">
        <v>4</v>
      </c>
      <c r="BO52" s="99">
        <v>2160</v>
      </c>
      <c r="BP52" s="99">
        <v>4</v>
      </c>
      <c r="BQ52" s="99">
        <v>2160</v>
      </c>
      <c r="BR52" s="99">
        <v>3</v>
      </c>
      <c r="BS52" s="99">
        <v>1620</v>
      </c>
      <c r="BT52" s="99">
        <v>5</v>
      </c>
      <c r="BU52" s="99">
        <v>2700</v>
      </c>
      <c r="BV52" s="99">
        <v>3</v>
      </c>
      <c r="BW52" s="99">
        <v>1620</v>
      </c>
      <c r="BX52" s="99">
        <v>3</v>
      </c>
      <c r="BY52" s="99">
        <v>1620</v>
      </c>
      <c r="BZ52" s="99">
        <v>3</v>
      </c>
      <c r="CA52" s="99">
        <v>1620</v>
      </c>
      <c r="CB52" s="99">
        <v>4</v>
      </c>
      <c r="CC52" s="99">
        <v>2160</v>
      </c>
      <c r="CD52" s="99">
        <v>5</v>
      </c>
      <c r="CE52" s="99">
        <v>2700</v>
      </c>
      <c r="CF52" s="99">
        <v>3</v>
      </c>
      <c r="CG52" s="99">
        <v>1620</v>
      </c>
      <c r="CH52" s="99">
        <v>4</v>
      </c>
      <c r="CI52" s="99">
        <v>2160</v>
      </c>
      <c r="CJ52" s="99">
        <v>3</v>
      </c>
      <c r="CK52" s="99">
        <v>1620</v>
      </c>
      <c r="CL52" s="99">
        <v>5</v>
      </c>
      <c r="CM52" s="99">
        <v>2700</v>
      </c>
      <c r="CN52" s="99">
        <v>4</v>
      </c>
      <c r="CO52" s="99">
        <v>2160</v>
      </c>
      <c r="CP52" s="99">
        <v>5</v>
      </c>
      <c r="CQ52" s="99">
        <v>2700</v>
      </c>
      <c r="CR52" s="99">
        <v>5</v>
      </c>
      <c r="CS52" s="99">
        <v>2700</v>
      </c>
      <c r="CT52" s="99">
        <v>3</v>
      </c>
      <c r="CU52" s="99">
        <v>1620</v>
      </c>
    </row>
    <row r="53" spans="2:99">
      <c r="C53" s="98" t="s">
        <v>218</v>
      </c>
      <c r="D53" s="99">
        <v>3</v>
      </c>
      <c r="E53" s="99">
        <v>1220.4000000000001</v>
      </c>
      <c r="F53" s="99">
        <v>4</v>
      </c>
      <c r="G53" s="99">
        <v>1627.2</v>
      </c>
      <c r="H53" s="99">
        <v>4</v>
      </c>
      <c r="I53" s="99">
        <v>1627.2</v>
      </c>
      <c r="J53" s="99">
        <v>5</v>
      </c>
      <c r="K53" s="99">
        <v>2034</v>
      </c>
      <c r="L53" s="99">
        <v>4</v>
      </c>
      <c r="M53" s="99">
        <v>1627.2</v>
      </c>
      <c r="N53" s="99">
        <v>4</v>
      </c>
      <c r="O53" s="99">
        <v>1627.2</v>
      </c>
      <c r="P53" s="99">
        <v>5</v>
      </c>
      <c r="Q53" s="99">
        <v>2034</v>
      </c>
      <c r="R53" s="99">
        <v>5</v>
      </c>
      <c r="S53" s="99">
        <v>2034</v>
      </c>
      <c r="T53" s="99">
        <v>3</v>
      </c>
      <c r="U53" s="99">
        <v>1220.4000000000001</v>
      </c>
      <c r="V53" s="99">
        <v>4</v>
      </c>
      <c r="W53" s="99">
        <v>1627.2</v>
      </c>
      <c r="X53" s="99">
        <v>5</v>
      </c>
      <c r="Y53" s="99">
        <v>2034</v>
      </c>
      <c r="Z53" s="99">
        <v>4</v>
      </c>
      <c r="AA53" s="99">
        <v>1627.2</v>
      </c>
      <c r="AB53" s="99">
        <v>5</v>
      </c>
      <c r="AC53" s="99">
        <v>2034</v>
      </c>
      <c r="AD53" s="99">
        <v>4</v>
      </c>
      <c r="AE53" s="99">
        <v>1627.2</v>
      </c>
      <c r="AF53" s="99">
        <v>4</v>
      </c>
      <c r="AG53" s="99">
        <v>1627.2</v>
      </c>
      <c r="AH53" s="99">
        <v>3</v>
      </c>
      <c r="AI53" s="99">
        <v>1220.4000000000001</v>
      </c>
      <c r="AJ53" s="99">
        <v>5</v>
      </c>
      <c r="AK53" s="99">
        <v>2034</v>
      </c>
      <c r="AL53" s="99">
        <v>3</v>
      </c>
      <c r="AM53" s="99">
        <v>1220.4000000000001</v>
      </c>
      <c r="AN53" s="99">
        <v>5</v>
      </c>
      <c r="AO53" s="99">
        <v>2034</v>
      </c>
      <c r="AP53" s="99">
        <v>3</v>
      </c>
      <c r="AQ53" s="99">
        <v>1220.4000000000001</v>
      </c>
      <c r="AR53" s="99">
        <v>3</v>
      </c>
      <c r="AS53" s="99">
        <v>1220.4000000000001</v>
      </c>
      <c r="AT53" s="99">
        <v>4</v>
      </c>
      <c r="AU53" s="99">
        <v>1627.2</v>
      </c>
      <c r="AV53" s="99">
        <v>4</v>
      </c>
      <c r="AW53" s="99">
        <v>1627.2</v>
      </c>
      <c r="AX53" s="99">
        <v>3</v>
      </c>
      <c r="AY53" s="99">
        <v>1220.4000000000001</v>
      </c>
      <c r="AZ53" s="99">
        <v>4</v>
      </c>
      <c r="BA53" s="99">
        <v>1627.2</v>
      </c>
      <c r="BB53" s="99">
        <v>4</v>
      </c>
      <c r="BC53" s="99">
        <v>1627.2</v>
      </c>
      <c r="BD53" s="99">
        <v>4</v>
      </c>
      <c r="BE53" s="99">
        <v>1627.2</v>
      </c>
      <c r="BF53" s="99">
        <v>4</v>
      </c>
      <c r="BG53" s="99">
        <v>1627.2</v>
      </c>
      <c r="BH53" s="99">
        <v>4</v>
      </c>
      <c r="BI53" s="99">
        <v>1627.2</v>
      </c>
      <c r="BJ53" s="99">
        <v>5</v>
      </c>
      <c r="BK53" s="99">
        <v>2034</v>
      </c>
      <c r="BL53" s="99">
        <v>3</v>
      </c>
      <c r="BM53" s="99">
        <v>1220.4000000000001</v>
      </c>
      <c r="BN53" s="99">
        <v>4</v>
      </c>
      <c r="BO53" s="99">
        <v>1627.2</v>
      </c>
      <c r="BP53" s="99">
        <v>4</v>
      </c>
      <c r="BQ53" s="99">
        <v>1627.2</v>
      </c>
      <c r="BR53" s="99">
        <v>3</v>
      </c>
      <c r="BS53" s="99">
        <v>1220.4000000000001</v>
      </c>
      <c r="BT53" s="99">
        <v>5</v>
      </c>
      <c r="BU53" s="99">
        <v>2034</v>
      </c>
      <c r="BV53" s="99">
        <v>3</v>
      </c>
      <c r="BW53" s="99">
        <v>1220.4000000000001</v>
      </c>
      <c r="BX53" s="99">
        <v>3</v>
      </c>
      <c r="BY53" s="99">
        <v>1220.4000000000001</v>
      </c>
      <c r="BZ53" s="99">
        <v>3</v>
      </c>
      <c r="CA53" s="99">
        <v>1220.4000000000001</v>
      </c>
      <c r="CB53" s="99">
        <v>3</v>
      </c>
      <c r="CC53" s="99">
        <v>1220.4000000000001</v>
      </c>
      <c r="CD53" s="99">
        <v>5</v>
      </c>
      <c r="CE53" s="99">
        <v>2034</v>
      </c>
      <c r="CF53" s="99">
        <v>3</v>
      </c>
      <c r="CG53" s="99">
        <v>1220.4000000000001</v>
      </c>
      <c r="CH53" s="99">
        <v>4</v>
      </c>
      <c r="CI53" s="99">
        <v>1627.2</v>
      </c>
      <c r="CJ53" s="99">
        <v>3</v>
      </c>
      <c r="CK53" s="99">
        <v>1220.4000000000001</v>
      </c>
      <c r="CL53" s="99">
        <v>5</v>
      </c>
      <c r="CM53" s="99">
        <v>2034</v>
      </c>
      <c r="CN53" s="99">
        <v>4</v>
      </c>
      <c r="CO53" s="99">
        <v>1627.2</v>
      </c>
      <c r="CP53" s="99">
        <v>5</v>
      </c>
      <c r="CQ53" s="99">
        <v>2034</v>
      </c>
      <c r="CR53" s="99">
        <v>5</v>
      </c>
      <c r="CS53" s="99">
        <v>2034</v>
      </c>
      <c r="CT53" s="99">
        <v>3</v>
      </c>
      <c r="CU53" s="99">
        <v>1220.4000000000001</v>
      </c>
    </row>
    <row r="54" spans="2:99">
      <c r="C54" s="98" t="s">
        <v>219</v>
      </c>
      <c r="D54" s="99">
        <v>3</v>
      </c>
      <c r="E54" s="99">
        <v>1004.4000000000001</v>
      </c>
      <c r="F54" s="99">
        <v>4</v>
      </c>
      <c r="G54" s="99">
        <v>1339.2</v>
      </c>
      <c r="H54" s="99">
        <v>4</v>
      </c>
      <c r="I54" s="99">
        <v>1339.2</v>
      </c>
      <c r="J54" s="99">
        <v>4</v>
      </c>
      <c r="K54" s="99">
        <v>1339.2</v>
      </c>
      <c r="L54" s="99">
        <v>4</v>
      </c>
      <c r="M54" s="99">
        <v>1339.2</v>
      </c>
      <c r="N54" s="99">
        <v>4</v>
      </c>
      <c r="O54" s="99">
        <v>1339.2</v>
      </c>
      <c r="P54" s="99">
        <v>5</v>
      </c>
      <c r="Q54" s="99">
        <v>1674</v>
      </c>
      <c r="R54" s="99">
        <v>4</v>
      </c>
      <c r="S54" s="99">
        <v>1339.2</v>
      </c>
      <c r="T54" s="99">
        <v>3</v>
      </c>
      <c r="U54" s="99">
        <v>1004.4000000000001</v>
      </c>
      <c r="V54" s="99">
        <v>4</v>
      </c>
      <c r="W54" s="99">
        <v>1339.2</v>
      </c>
      <c r="X54" s="99">
        <v>5</v>
      </c>
      <c r="Y54" s="99">
        <v>1674</v>
      </c>
      <c r="Z54" s="99">
        <v>4</v>
      </c>
      <c r="AA54" s="99">
        <v>1339.2</v>
      </c>
      <c r="AB54" s="99">
        <v>5</v>
      </c>
      <c r="AC54" s="99">
        <v>1674</v>
      </c>
      <c r="AD54" s="99">
        <v>5</v>
      </c>
      <c r="AE54" s="99">
        <v>1674</v>
      </c>
      <c r="AF54" s="99">
        <v>4</v>
      </c>
      <c r="AG54" s="99">
        <v>1339.2</v>
      </c>
      <c r="AH54" s="99">
        <v>3</v>
      </c>
      <c r="AI54" s="99">
        <v>1004.4000000000001</v>
      </c>
      <c r="AJ54" s="99">
        <v>5</v>
      </c>
      <c r="AK54" s="99">
        <v>1674</v>
      </c>
      <c r="AL54" s="99">
        <v>3</v>
      </c>
      <c r="AM54" s="99">
        <v>1004.4000000000001</v>
      </c>
      <c r="AN54" s="99">
        <v>5</v>
      </c>
      <c r="AO54" s="99">
        <v>1674</v>
      </c>
      <c r="AP54" s="99">
        <v>3</v>
      </c>
      <c r="AQ54" s="99">
        <v>1004.4000000000001</v>
      </c>
      <c r="AR54" s="99">
        <v>2</v>
      </c>
      <c r="AS54" s="99">
        <v>669.6</v>
      </c>
      <c r="AT54" s="99">
        <v>4</v>
      </c>
      <c r="AU54" s="99">
        <v>1339.2</v>
      </c>
      <c r="AV54" s="99">
        <v>4</v>
      </c>
      <c r="AW54" s="99">
        <v>1339.2</v>
      </c>
      <c r="AX54" s="99">
        <v>3</v>
      </c>
      <c r="AY54" s="99">
        <v>1004.4000000000001</v>
      </c>
      <c r="AZ54" s="99">
        <v>4</v>
      </c>
      <c r="BA54" s="99">
        <v>1339.2</v>
      </c>
      <c r="BB54" s="99">
        <v>3</v>
      </c>
      <c r="BC54" s="99">
        <v>1004.4000000000001</v>
      </c>
      <c r="BD54" s="99">
        <v>4</v>
      </c>
      <c r="BE54" s="99">
        <v>1339.2</v>
      </c>
      <c r="BF54" s="99">
        <v>5</v>
      </c>
      <c r="BG54" s="99">
        <v>1674</v>
      </c>
      <c r="BH54" s="99">
        <v>4</v>
      </c>
      <c r="BI54" s="99">
        <v>1339.2</v>
      </c>
      <c r="BJ54" s="99">
        <v>5</v>
      </c>
      <c r="BK54" s="99">
        <v>1674</v>
      </c>
      <c r="BL54" s="99">
        <v>3</v>
      </c>
      <c r="BM54" s="99">
        <v>1004.4000000000001</v>
      </c>
      <c r="BN54" s="99">
        <v>4</v>
      </c>
      <c r="BO54" s="99">
        <v>1339.2</v>
      </c>
      <c r="BP54" s="99">
        <v>3</v>
      </c>
      <c r="BQ54" s="99">
        <v>1004.4000000000001</v>
      </c>
      <c r="BR54" s="99">
        <v>3</v>
      </c>
      <c r="BS54" s="99">
        <v>1004.4000000000001</v>
      </c>
      <c r="BT54" s="99">
        <v>5</v>
      </c>
      <c r="BU54" s="99">
        <v>1674</v>
      </c>
      <c r="BV54" s="99">
        <v>3</v>
      </c>
      <c r="BW54" s="99">
        <v>1004.4000000000001</v>
      </c>
      <c r="BX54" s="99">
        <v>3</v>
      </c>
      <c r="BY54" s="99">
        <v>1004.4000000000001</v>
      </c>
      <c r="BZ54" s="99">
        <v>3</v>
      </c>
      <c r="CA54" s="99">
        <v>1004.4000000000001</v>
      </c>
      <c r="CB54" s="99">
        <v>4</v>
      </c>
      <c r="CC54" s="99">
        <v>1339.2</v>
      </c>
      <c r="CD54" s="99">
        <v>4</v>
      </c>
      <c r="CE54" s="99">
        <v>1339.2</v>
      </c>
      <c r="CF54" s="99">
        <v>3</v>
      </c>
      <c r="CG54" s="99">
        <v>1004.4000000000001</v>
      </c>
      <c r="CH54" s="99">
        <v>4</v>
      </c>
      <c r="CI54" s="99">
        <v>1339.2</v>
      </c>
      <c r="CJ54" s="99">
        <v>3</v>
      </c>
      <c r="CK54" s="99">
        <v>1004.4000000000001</v>
      </c>
      <c r="CL54" s="99">
        <v>6</v>
      </c>
      <c r="CM54" s="99">
        <v>2008.8000000000002</v>
      </c>
      <c r="CN54" s="99">
        <v>4</v>
      </c>
      <c r="CO54" s="99">
        <v>1339.2</v>
      </c>
      <c r="CP54" s="99">
        <v>4</v>
      </c>
      <c r="CQ54" s="99">
        <v>1339.2</v>
      </c>
      <c r="CR54" s="99">
        <v>5</v>
      </c>
      <c r="CS54" s="99">
        <v>1674</v>
      </c>
      <c r="CT54" s="99">
        <v>3</v>
      </c>
      <c r="CU54" s="99">
        <v>1004.4000000000001</v>
      </c>
    </row>
    <row r="55" spans="2:99">
      <c r="C55" s="98" t="s">
        <v>220</v>
      </c>
      <c r="D55" s="99">
        <v>3</v>
      </c>
      <c r="E55" s="99">
        <v>1990.8000000000002</v>
      </c>
      <c r="F55" s="99">
        <v>3</v>
      </c>
      <c r="G55" s="99">
        <v>1990.8000000000002</v>
      </c>
      <c r="H55" s="99">
        <v>4</v>
      </c>
      <c r="I55" s="99">
        <v>2654.4</v>
      </c>
      <c r="J55" s="99">
        <v>4</v>
      </c>
      <c r="K55" s="99">
        <v>2654.4</v>
      </c>
      <c r="L55" s="99">
        <v>4</v>
      </c>
      <c r="M55" s="99">
        <v>2654.4</v>
      </c>
      <c r="N55" s="99">
        <v>4</v>
      </c>
      <c r="O55" s="99">
        <v>2654.4</v>
      </c>
      <c r="P55" s="99">
        <v>5</v>
      </c>
      <c r="Q55" s="99">
        <v>3318</v>
      </c>
      <c r="R55" s="99">
        <v>4</v>
      </c>
      <c r="S55" s="99">
        <v>2654.4</v>
      </c>
      <c r="T55" s="99">
        <v>3</v>
      </c>
      <c r="U55" s="99">
        <v>1990.8000000000002</v>
      </c>
      <c r="V55" s="99">
        <v>4</v>
      </c>
      <c r="W55" s="99">
        <v>2654.4</v>
      </c>
      <c r="X55" s="99">
        <v>4</v>
      </c>
      <c r="Y55" s="99">
        <v>2654.4</v>
      </c>
      <c r="Z55" s="99">
        <v>4</v>
      </c>
      <c r="AA55" s="99">
        <v>2654.4</v>
      </c>
      <c r="AB55" s="99">
        <v>5</v>
      </c>
      <c r="AC55" s="99">
        <v>3318</v>
      </c>
      <c r="AD55" s="99">
        <v>5</v>
      </c>
      <c r="AE55" s="99">
        <v>3318</v>
      </c>
      <c r="AF55" s="99">
        <v>4</v>
      </c>
      <c r="AG55" s="99">
        <v>2654.4</v>
      </c>
      <c r="AH55" s="99">
        <v>3</v>
      </c>
      <c r="AI55" s="99">
        <v>1990.8000000000002</v>
      </c>
      <c r="AJ55" s="99">
        <v>5</v>
      </c>
      <c r="AK55" s="99">
        <v>3318</v>
      </c>
      <c r="AL55" s="99">
        <v>3</v>
      </c>
      <c r="AM55" s="99">
        <v>1990.8000000000002</v>
      </c>
      <c r="AN55" s="99">
        <v>4</v>
      </c>
      <c r="AO55" s="99">
        <v>2654.4</v>
      </c>
      <c r="AP55" s="99">
        <v>3</v>
      </c>
      <c r="AQ55" s="99">
        <v>1990.8000000000002</v>
      </c>
      <c r="AR55" s="99">
        <v>2</v>
      </c>
      <c r="AS55" s="99">
        <v>1327.2</v>
      </c>
      <c r="AT55" s="99">
        <v>4</v>
      </c>
      <c r="AU55" s="99">
        <v>2654.4</v>
      </c>
      <c r="AV55" s="99">
        <v>4</v>
      </c>
      <c r="AW55" s="99">
        <v>2654.4</v>
      </c>
      <c r="AX55" s="99">
        <v>3</v>
      </c>
      <c r="AY55" s="99">
        <v>1990.8000000000002</v>
      </c>
      <c r="AZ55" s="99">
        <v>4</v>
      </c>
      <c r="BA55" s="99">
        <v>2654.4</v>
      </c>
      <c r="BB55" s="99">
        <v>3</v>
      </c>
      <c r="BC55" s="99">
        <v>1990.8000000000002</v>
      </c>
      <c r="BD55" s="99">
        <v>4</v>
      </c>
      <c r="BE55" s="99">
        <v>2654.4</v>
      </c>
      <c r="BF55" s="99">
        <v>4</v>
      </c>
      <c r="BG55" s="99">
        <v>2654.4</v>
      </c>
      <c r="BH55" s="99">
        <v>3</v>
      </c>
      <c r="BI55" s="99">
        <v>1990.8000000000002</v>
      </c>
      <c r="BJ55" s="99">
        <v>5</v>
      </c>
      <c r="BK55" s="99">
        <v>3318</v>
      </c>
      <c r="BL55" s="99">
        <v>3</v>
      </c>
      <c r="BM55" s="99">
        <v>1990.8000000000002</v>
      </c>
      <c r="BN55" s="99">
        <v>4</v>
      </c>
      <c r="BO55" s="99">
        <v>2654.4</v>
      </c>
      <c r="BP55" s="99">
        <v>4</v>
      </c>
      <c r="BQ55" s="99">
        <v>2654.4</v>
      </c>
      <c r="BR55" s="99">
        <v>3</v>
      </c>
      <c r="BS55" s="99">
        <v>1990.8000000000002</v>
      </c>
      <c r="BT55" s="99">
        <v>5</v>
      </c>
      <c r="BU55" s="99">
        <v>3318</v>
      </c>
      <c r="BV55" s="99">
        <v>3</v>
      </c>
      <c r="BW55" s="99">
        <v>1990.8000000000002</v>
      </c>
      <c r="BX55" s="99">
        <v>3</v>
      </c>
      <c r="BY55" s="99">
        <v>1990.8000000000002</v>
      </c>
      <c r="BZ55" s="99">
        <v>3</v>
      </c>
      <c r="CA55" s="99">
        <v>1990.8000000000002</v>
      </c>
      <c r="CB55" s="99">
        <v>3</v>
      </c>
      <c r="CC55" s="99">
        <v>1990.8000000000002</v>
      </c>
      <c r="CD55" s="99">
        <v>4</v>
      </c>
      <c r="CE55" s="99">
        <v>2654.4</v>
      </c>
      <c r="CF55" s="99">
        <v>4</v>
      </c>
      <c r="CG55" s="99">
        <v>2654.4</v>
      </c>
      <c r="CH55" s="99">
        <v>3</v>
      </c>
      <c r="CI55" s="99">
        <v>1990.8000000000002</v>
      </c>
      <c r="CJ55" s="99">
        <v>3</v>
      </c>
      <c r="CK55" s="99">
        <v>1990.8000000000002</v>
      </c>
      <c r="CL55" s="99">
        <v>5</v>
      </c>
      <c r="CM55" s="99">
        <v>3318</v>
      </c>
      <c r="CN55" s="99">
        <v>4</v>
      </c>
      <c r="CO55" s="99">
        <v>2654.4</v>
      </c>
      <c r="CP55" s="99">
        <v>4</v>
      </c>
      <c r="CQ55" s="99">
        <v>2654.4</v>
      </c>
      <c r="CR55" s="99">
        <v>5</v>
      </c>
      <c r="CS55" s="99">
        <v>3318</v>
      </c>
      <c r="CT55" s="99">
        <v>3</v>
      </c>
      <c r="CU55" s="99">
        <v>1990.8000000000002</v>
      </c>
    </row>
    <row r="56" spans="2:99">
      <c r="C56" s="98" t="s">
        <v>221</v>
      </c>
      <c r="D56" s="99">
        <v>3</v>
      </c>
      <c r="E56" s="99">
        <v>3452.3999999999996</v>
      </c>
      <c r="F56" s="99">
        <v>4</v>
      </c>
      <c r="G56" s="99">
        <v>4603.2</v>
      </c>
      <c r="H56" s="99">
        <v>4</v>
      </c>
      <c r="I56" s="99">
        <v>4603.2</v>
      </c>
      <c r="J56" s="99">
        <v>4</v>
      </c>
      <c r="K56" s="99">
        <v>4603.2</v>
      </c>
      <c r="L56" s="99">
        <v>4</v>
      </c>
      <c r="M56" s="99">
        <v>4603.2</v>
      </c>
      <c r="N56" s="99">
        <v>4</v>
      </c>
      <c r="O56" s="99">
        <v>4603.2</v>
      </c>
      <c r="P56" s="99">
        <v>5</v>
      </c>
      <c r="Q56" s="99">
        <v>5754</v>
      </c>
      <c r="R56" s="99">
        <v>4</v>
      </c>
      <c r="S56" s="99">
        <v>4603.2</v>
      </c>
      <c r="T56" s="99">
        <v>3</v>
      </c>
      <c r="U56" s="99">
        <v>3452.3999999999996</v>
      </c>
      <c r="V56" s="99">
        <v>4</v>
      </c>
      <c r="W56" s="99">
        <v>4603.2</v>
      </c>
      <c r="X56" s="99">
        <v>5</v>
      </c>
      <c r="Y56" s="99">
        <v>5754</v>
      </c>
      <c r="Z56" s="99">
        <v>4</v>
      </c>
      <c r="AA56" s="99">
        <v>4603.2</v>
      </c>
      <c r="AB56" s="99">
        <v>5</v>
      </c>
      <c r="AC56" s="99">
        <v>5754</v>
      </c>
      <c r="AD56" s="99">
        <v>5</v>
      </c>
      <c r="AE56" s="99">
        <v>5754</v>
      </c>
      <c r="AF56" s="99">
        <v>4</v>
      </c>
      <c r="AG56" s="99">
        <v>4603.2</v>
      </c>
      <c r="AH56" s="99">
        <v>3</v>
      </c>
      <c r="AI56" s="99">
        <v>3452.3999999999996</v>
      </c>
      <c r="AJ56" s="99">
        <v>5</v>
      </c>
      <c r="AK56" s="99">
        <v>5754</v>
      </c>
      <c r="AL56" s="99">
        <v>3</v>
      </c>
      <c r="AM56" s="99">
        <v>3452.3999999999996</v>
      </c>
      <c r="AN56" s="99">
        <v>4</v>
      </c>
      <c r="AO56" s="99">
        <v>4603.2</v>
      </c>
      <c r="AP56" s="99">
        <v>3</v>
      </c>
      <c r="AQ56" s="99">
        <v>3452.3999999999996</v>
      </c>
      <c r="AR56" s="99">
        <v>3</v>
      </c>
      <c r="AS56" s="99">
        <v>3452.3999999999996</v>
      </c>
      <c r="AT56" s="99">
        <v>4</v>
      </c>
      <c r="AU56" s="99">
        <v>4603.2</v>
      </c>
      <c r="AV56" s="99">
        <v>4</v>
      </c>
      <c r="AW56" s="99">
        <v>4603.2</v>
      </c>
      <c r="AX56" s="99">
        <v>3</v>
      </c>
      <c r="AY56" s="99">
        <v>3452.3999999999996</v>
      </c>
      <c r="AZ56" s="99">
        <v>4</v>
      </c>
      <c r="BA56" s="99">
        <v>4603.2</v>
      </c>
      <c r="BB56" s="99">
        <v>3</v>
      </c>
      <c r="BC56" s="99">
        <v>3452.3999999999996</v>
      </c>
      <c r="BD56" s="99">
        <v>4</v>
      </c>
      <c r="BE56" s="99">
        <v>4603.2</v>
      </c>
      <c r="BF56" s="99">
        <v>4</v>
      </c>
      <c r="BG56" s="99">
        <v>4603.2</v>
      </c>
      <c r="BH56" s="99">
        <v>4</v>
      </c>
      <c r="BI56" s="99">
        <v>4603.2</v>
      </c>
      <c r="BJ56" s="99">
        <v>4</v>
      </c>
      <c r="BK56" s="99">
        <v>4603.2</v>
      </c>
      <c r="BL56" s="99">
        <v>3</v>
      </c>
      <c r="BM56" s="99">
        <v>3452.3999999999996</v>
      </c>
      <c r="BN56" s="99">
        <v>4</v>
      </c>
      <c r="BO56" s="99">
        <v>4603.2</v>
      </c>
      <c r="BP56" s="99">
        <v>3</v>
      </c>
      <c r="BQ56" s="99">
        <v>3452.3999999999996</v>
      </c>
      <c r="BR56" s="99">
        <v>3</v>
      </c>
      <c r="BS56" s="99">
        <v>3452.3999999999996</v>
      </c>
      <c r="BT56" s="99">
        <v>4</v>
      </c>
      <c r="BU56" s="99">
        <v>4603.2</v>
      </c>
      <c r="BV56" s="99">
        <v>3</v>
      </c>
      <c r="BW56" s="99">
        <v>3452.3999999999996</v>
      </c>
      <c r="BX56" s="99">
        <v>3</v>
      </c>
      <c r="BY56" s="99">
        <v>3452.3999999999996</v>
      </c>
      <c r="BZ56" s="99">
        <v>3</v>
      </c>
      <c r="CA56" s="99">
        <v>3452.3999999999996</v>
      </c>
      <c r="CB56" s="99">
        <v>3</v>
      </c>
      <c r="CC56" s="99">
        <v>3452.3999999999996</v>
      </c>
      <c r="CD56" s="99">
        <v>4</v>
      </c>
      <c r="CE56" s="99">
        <v>4603.2</v>
      </c>
      <c r="CF56" s="99">
        <v>4</v>
      </c>
      <c r="CG56" s="99">
        <v>4603.2</v>
      </c>
      <c r="CH56" s="99">
        <v>3</v>
      </c>
      <c r="CI56" s="99">
        <v>3452.3999999999996</v>
      </c>
      <c r="CJ56" s="99">
        <v>3</v>
      </c>
      <c r="CK56" s="99">
        <v>3452.3999999999996</v>
      </c>
      <c r="CL56" s="99">
        <v>5</v>
      </c>
      <c r="CM56" s="99">
        <v>5754</v>
      </c>
      <c r="CN56" s="99">
        <v>4</v>
      </c>
      <c r="CO56" s="99">
        <v>4603.2</v>
      </c>
      <c r="CP56" s="99">
        <v>4</v>
      </c>
      <c r="CQ56" s="99">
        <v>4603.2</v>
      </c>
      <c r="CR56" s="99">
        <v>5</v>
      </c>
      <c r="CS56" s="99">
        <v>5754</v>
      </c>
      <c r="CT56" s="99">
        <v>3</v>
      </c>
      <c r="CU56" s="99">
        <v>3452.3999999999996</v>
      </c>
    </row>
    <row r="57" spans="2:99">
      <c r="C57" s="98" t="s">
        <v>222</v>
      </c>
      <c r="D57" s="99">
        <v>3</v>
      </c>
      <c r="E57" s="99">
        <v>4233.6000000000004</v>
      </c>
      <c r="F57" s="99">
        <v>4</v>
      </c>
      <c r="G57" s="99">
        <v>5644.8</v>
      </c>
      <c r="H57" s="99">
        <v>4</v>
      </c>
      <c r="I57" s="99">
        <v>5644.8</v>
      </c>
      <c r="J57" s="99">
        <v>4</v>
      </c>
      <c r="K57" s="99">
        <v>5644.8</v>
      </c>
      <c r="L57" s="99">
        <v>4</v>
      </c>
      <c r="M57" s="99">
        <v>5644.8</v>
      </c>
      <c r="N57" s="99">
        <v>4</v>
      </c>
      <c r="O57" s="99">
        <v>5644.8</v>
      </c>
      <c r="P57" s="99">
        <v>5</v>
      </c>
      <c r="Q57" s="99">
        <v>7056</v>
      </c>
      <c r="R57" s="99">
        <v>4</v>
      </c>
      <c r="S57" s="99">
        <v>5644.8</v>
      </c>
      <c r="T57" s="99">
        <v>3</v>
      </c>
      <c r="U57" s="99">
        <v>4233.6000000000004</v>
      </c>
      <c r="V57" s="99">
        <v>3</v>
      </c>
      <c r="W57" s="99">
        <v>4233.6000000000004</v>
      </c>
      <c r="X57" s="99">
        <v>5</v>
      </c>
      <c r="Y57" s="99">
        <v>7056</v>
      </c>
      <c r="Z57" s="99">
        <v>4</v>
      </c>
      <c r="AA57" s="99">
        <v>5644.8</v>
      </c>
      <c r="AB57" s="99">
        <v>5</v>
      </c>
      <c r="AC57" s="99">
        <v>7056</v>
      </c>
      <c r="AD57" s="99">
        <v>4</v>
      </c>
      <c r="AE57" s="99">
        <v>5644.8</v>
      </c>
      <c r="AF57" s="99">
        <v>4</v>
      </c>
      <c r="AG57" s="99">
        <v>5644.8</v>
      </c>
      <c r="AH57" s="99">
        <v>3</v>
      </c>
      <c r="AI57" s="99">
        <v>4233.6000000000004</v>
      </c>
      <c r="AJ57" s="99">
        <v>5</v>
      </c>
      <c r="AK57" s="99">
        <v>7056</v>
      </c>
      <c r="AL57" s="99">
        <v>3</v>
      </c>
      <c r="AM57" s="99">
        <v>4233.6000000000004</v>
      </c>
      <c r="AN57" s="99">
        <v>4</v>
      </c>
      <c r="AO57" s="99">
        <v>5644.8</v>
      </c>
      <c r="AP57" s="99">
        <v>3</v>
      </c>
      <c r="AQ57" s="99">
        <v>4233.6000000000004</v>
      </c>
      <c r="AR57" s="99">
        <v>3</v>
      </c>
      <c r="AS57" s="99">
        <v>4233.6000000000004</v>
      </c>
      <c r="AT57" s="99">
        <v>4</v>
      </c>
      <c r="AU57" s="99">
        <v>5644.8</v>
      </c>
      <c r="AV57" s="99">
        <v>4</v>
      </c>
      <c r="AW57" s="99">
        <v>5644.8</v>
      </c>
      <c r="AX57" s="99">
        <v>2</v>
      </c>
      <c r="AY57" s="99">
        <v>2822.4</v>
      </c>
      <c r="AZ57" s="99">
        <v>4</v>
      </c>
      <c r="BA57" s="99">
        <v>5644.8</v>
      </c>
      <c r="BB57" s="99">
        <v>3</v>
      </c>
      <c r="BC57" s="99">
        <v>4233.6000000000004</v>
      </c>
      <c r="BD57" s="99">
        <v>4</v>
      </c>
      <c r="BE57" s="99">
        <v>5644.8</v>
      </c>
      <c r="BF57" s="99">
        <v>4</v>
      </c>
      <c r="BG57" s="99">
        <v>5644.8</v>
      </c>
      <c r="BH57" s="99">
        <v>3</v>
      </c>
      <c r="BI57" s="99">
        <v>4233.6000000000004</v>
      </c>
      <c r="BJ57" s="99">
        <v>5</v>
      </c>
      <c r="BK57" s="99">
        <v>7056</v>
      </c>
      <c r="BL57" s="99">
        <v>3</v>
      </c>
      <c r="BM57" s="99">
        <v>4233.6000000000004</v>
      </c>
      <c r="BN57" s="99">
        <v>4</v>
      </c>
      <c r="BO57" s="99">
        <v>5644.8</v>
      </c>
      <c r="BP57" s="99">
        <v>3</v>
      </c>
      <c r="BQ57" s="99">
        <v>4233.6000000000004</v>
      </c>
      <c r="BR57" s="99">
        <v>3</v>
      </c>
      <c r="BS57" s="99">
        <v>4233.6000000000004</v>
      </c>
      <c r="BT57" s="99">
        <v>4</v>
      </c>
      <c r="BU57" s="99">
        <v>5644.8</v>
      </c>
      <c r="BV57" s="99">
        <v>3</v>
      </c>
      <c r="BW57" s="99">
        <v>4233.6000000000004</v>
      </c>
      <c r="BX57" s="99">
        <v>3</v>
      </c>
      <c r="BY57" s="99">
        <v>4233.6000000000004</v>
      </c>
      <c r="BZ57" s="99">
        <v>3</v>
      </c>
      <c r="CA57" s="99">
        <v>4233.6000000000004</v>
      </c>
      <c r="CB57" s="99">
        <v>3</v>
      </c>
      <c r="CC57" s="99">
        <v>4233.6000000000004</v>
      </c>
      <c r="CD57" s="99">
        <v>4</v>
      </c>
      <c r="CE57" s="99">
        <v>5644.8</v>
      </c>
      <c r="CF57" s="99">
        <v>3</v>
      </c>
      <c r="CG57" s="99">
        <v>4233.6000000000004</v>
      </c>
      <c r="CH57" s="99">
        <v>3</v>
      </c>
      <c r="CI57" s="99">
        <v>4233.6000000000004</v>
      </c>
      <c r="CJ57" s="99">
        <v>3</v>
      </c>
      <c r="CK57" s="99">
        <v>4233.6000000000004</v>
      </c>
      <c r="CL57" s="99">
        <v>5</v>
      </c>
      <c r="CM57" s="99">
        <v>7056</v>
      </c>
      <c r="CN57" s="99">
        <v>4</v>
      </c>
      <c r="CO57" s="99">
        <v>5644.8</v>
      </c>
      <c r="CP57" s="99">
        <v>4</v>
      </c>
      <c r="CQ57" s="99">
        <v>5644.8</v>
      </c>
      <c r="CR57" s="99">
        <v>4</v>
      </c>
      <c r="CS57" s="99">
        <v>5644.8</v>
      </c>
      <c r="CT57" s="99">
        <v>3</v>
      </c>
      <c r="CU57" s="99">
        <v>4233.6000000000004</v>
      </c>
    </row>
    <row r="58" spans="2:99">
      <c r="C58" s="98" t="s">
        <v>223</v>
      </c>
      <c r="D58" s="99">
        <v>3</v>
      </c>
      <c r="E58" s="99">
        <v>3531.6000000000004</v>
      </c>
      <c r="F58" s="99">
        <v>4</v>
      </c>
      <c r="G58" s="99">
        <v>4708.8</v>
      </c>
      <c r="H58" s="99">
        <v>4</v>
      </c>
      <c r="I58" s="99">
        <v>4708.8</v>
      </c>
      <c r="J58" s="99">
        <v>4</v>
      </c>
      <c r="K58" s="99">
        <v>4708.8</v>
      </c>
      <c r="L58" s="99">
        <v>4</v>
      </c>
      <c r="M58" s="99">
        <v>4708.8</v>
      </c>
      <c r="N58" s="99">
        <v>3</v>
      </c>
      <c r="O58" s="99">
        <v>3531.6000000000004</v>
      </c>
      <c r="P58" s="99">
        <v>5</v>
      </c>
      <c r="Q58" s="99">
        <v>5886</v>
      </c>
      <c r="R58" s="99">
        <v>4</v>
      </c>
      <c r="S58" s="99">
        <v>4708.8</v>
      </c>
      <c r="T58" s="99">
        <v>3</v>
      </c>
      <c r="U58" s="99">
        <v>3531.6000000000004</v>
      </c>
      <c r="V58" s="99">
        <v>4</v>
      </c>
      <c r="W58" s="99">
        <v>4708.8</v>
      </c>
      <c r="X58" s="99">
        <v>4</v>
      </c>
      <c r="Y58" s="99">
        <v>4708.8</v>
      </c>
      <c r="Z58" s="99">
        <v>4</v>
      </c>
      <c r="AA58" s="99">
        <v>4708.8</v>
      </c>
      <c r="AB58" s="99">
        <v>4</v>
      </c>
      <c r="AC58" s="99">
        <v>4708.8</v>
      </c>
      <c r="AD58" s="99">
        <v>5</v>
      </c>
      <c r="AE58" s="99">
        <v>5886</v>
      </c>
      <c r="AF58" s="99">
        <v>4</v>
      </c>
      <c r="AG58" s="99">
        <v>4708.8</v>
      </c>
      <c r="AH58" s="99">
        <v>3</v>
      </c>
      <c r="AI58" s="99">
        <v>3531.6000000000004</v>
      </c>
      <c r="AJ58" s="99">
        <v>5</v>
      </c>
      <c r="AK58" s="99">
        <v>5886</v>
      </c>
      <c r="AL58" s="99">
        <v>3</v>
      </c>
      <c r="AM58" s="99">
        <v>3531.6000000000004</v>
      </c>
      <c r="AN58" s="99">
        <v>4</v>
      </c>
      <c r="AO58" s="99">
        <v>4708.8</v>
      </c>
      <c r="AP58" s="99">
        <v>3</v>
      </c>
      <c r="AQ58" s="99">
        <v>3531.6000000000004</v>
      </c>
      <c r="AR58" s="99">
        <v>3</v>
      </c>
      <c r="AS58" s="99">
        <v>3531.6000000000004</v>
      </c>
      <c r="AT58" s="99">
        <v>4</v>
      </c>
      <c r="AU58" s="99">
        <v>4708.8</v>
      </c>
      <c r="AV58" s="99">
        <v>4</v>
      </c>
      <c r="AW58" s="99">
        <v>4708.8</v>
      </c>
      <c r="AX58" s="99">
        <v>2</v>
      </c>
      <c r="AY58" s="99">
        <v>2354.4</v>
      </c>
      <c r="AZ58" s="99">
        <v>4</v>
      </c>
      <c r="BA58" s="99">
        <v>4708.8</v>
      </c>
      <c r="BB58" s="99">
        <v>3</v>
      </c>
      <c r="BC58" s="99">
        <v>3531.6000000000004</v>
      </c>
      <c r="BD58" s="99">
        <v>4</v>
      </c>
      <c r="BE58" s="99">
        <v>4708.8</v>
      </c>
      <c r="BF58" s="99">
        <v>4</v>
      </c>
      <c r="BG58" s="99">
        <v>4708.8</v>
      </c>
      <c r="BH58" s="99">
        <v>3</v>
      </c>
      <c r="BI58" s="99">
        <v>3531.6000000000004</v>
      </c>
      <c r="BJ58" s="99">
        <v>5</v>
      </c>
      <c r="BK58" s="99">
        <v>5886</v>
      </c>
      <c r="BL58" s="99">
        <v>3</v>
      </c>
      <c r="BM58" s="99">
        <v>3531.6000000000004</v>
      </c>
      <c r="BN58" s="99">
        <v>4</v>
      </c>
      <c r="BO58" s="99">
        <v>4708.8</v>
      </c>
      <c r="BP58" s="99">
        <v>3</v>
      </c>
      <c r="BQ58" s="99">
        <v>3531.6000000000004</v>
      </c>
      <c r="BR58" s="99">
        <v>2</v>
      </c>
      <c r="BS58" s="99">
        <v>2354.4</v>
      </c>
      <c r="BT58" s="99">
        <v>5</v>
      </c>
      <c r="BU58" s="99">
        <v>5886</v>
      </c>
      <c r="BV58" s="99">
        <v>3</v>
      </c>
      <c r="BW58" s="99">
        <v>3531.6000000000004</v>
      </c>
      <c r="BX58" s="99">
        <v>3</v>
      </c>
      <c r="BY58" s="99">
        <v>3531.6000000000004</v>
      </c>
      <c r="BZ58" s="99">
        <v>3</v>
      </c>
      <c r="CA58" s="99">
        <v>3531.6000000000004</v>
      </c>
      <c r="CB58" s="99">
        <v>3</v>
      </c>
      <c r="CC58" s="99">
        <v>3531.6000000000004</v>
      </c>
      <c r="CD58" s="99">
        <v>5</v>
      </c>
      <c r="CE58" s="99">
        <v>5886</v>
      </c>
      <c r="CF58" s="99">
        <v>3</v>
      </c>
      <c r="CG58" s="99">
        <v>3531.6000000000004</v>
      </c>
      <c r="CH58" s="99">
        <v>3</v>
      </c>
      <c r="CI58" s="99">
        <v>3531.6000000000004</v>
      </c>
      <c r="CJ58" s="99">
        <v>3</v>
      </c>
      <c r="CK58" s="99">
        <v>3531.6000000000004</v>
      </c>
      <c r="CL58" s="99">
        <v>5</v>
      </c>
      <c r="CM58" s="99">
        <v>5886</v>
      </c>
      <c r="CN58" s="99">
        <v>4</v>
      </c>
      <c r="CO58" s="99">
        <v>4708.8</v>
      </c>
      <c r="CP58" s="99">
        <v>4</v>
      </c>
      <c r="CQ58" s="99">
        <v>4708.8</v>
      </c>
      <c r="CR58" s="99">
        <v>5</v>
      </c>
      <c r="CS58" s="99">
        <v>5886</v>
      </c>
      <c r="CT58" s="99">
        <v>2</v>
      </c>
      <c r="CU58" s="99">
        <v>2354.4</v>
      </c>
    </row>
    <row r="59" spans="2:99">
      <c r="C59" s="98" t="s">
        <v>224</v>
      </c>
      <c r="D59" s="99">
        <v>3</v>
      </c>
      <c r="E59" s="99">
        <v>910.8</v>
      </c>
      <c r="F59" s="99">
        <v>4</v>
      </c>
      <c r="G59" s="99">
        <v>1214.3999999999999</v>
      </c>
      <c r="H59" s="99">
        <v>4</v>
      </c>
      <c r="I59" s="99">
        <v>1214.3999999999999</v>
      </c>
      <c r="J59" s="99">
        <v>4</v>
      </c>
      <c r="K59" s="99">
        <v>1214.3999999999999</v>
      </c>
      <c r="L59" s="99">
        <v>5</v>
      </c>
      <c r="M59" s="99">
        <v>1517.9999999999998</v>
      </c>
      <c r="N59" s="99">
        <v>4</v>
      </c>
      <c r="O59" s="99">
        <v>1214.3999999999999</v>
      </c>
      <c r="P59" s="99">
        <v>6</v>
      </c>
      <c r="Q59" s="99">
        <v>1821.6</v>
      </c>
      <c r="R59" s="99">
        <v>4</v>
      </c>
      <c r="S59" s="99">
        <v>1214.3999999999999</v>
      </c>
      <c r="T59" s="99">
        <v>3</v>
      </c>
      <c r="U59" s="99">
        <v>910.8</v>
      </c>
      <c r="V59" s="99">
        <v>4</v>
      </c>
      <c r="W59" s="99">
        <v>1214.3999999999999</v>
      </c>
      <c r="X59" s="99">
        <v>4</v>
      </c>
      <c r="Y59" s="99">
        <v>1214.3999999999999</v>
      </c>
      <c r="Z59" s="99">
        <v>4</v>
      </c>
      <c r="AA59" s="99">
        <v>1214.3999999999999</v>
      </c>
      <c r="AB59" s="99">
        <v>5</v>
      </c>
      <c r="AC59" s="99">
        <v>1517.9999999999998</v>
      </c>
      <c r="AD59" s="99">
        <v>5</v>
      </c>
      <c r="AE59" s="99">
        <v>1517.9999999999998</v>
      </c>
      <c r="AF59" s="99">
        <v>4</v>
      </c>
      <c r="AG59" s="99">
        <v>1214.3999999999999</v>
      </c>
      <c r="AH59" s="99">
        <v>3</v>
      </c>
      <c r="AI59" s="99">
        <v>910.8</v>
      </c>
      <c r="AJ59" s="99">
        <v>5</v>
      </c>
      <c r="AK59" s="99">
        <v>1517.9999999999998</v>
      </c>
      <c r="AL59" s="99">
        <v>3</v>
      </c>
      <c r="AM59" s="99">
        <v>910.8</v>
      </c>
      <c r="AN59" s="99">
        <v>4</v>
      </c>
      <c r="AO59" s="99">
        <v>1214.3999999999999</v>
      </c>
      <c r="AP59" s="99">
        <v>3</v>
      </c>
      <c r="AQ59" s="99">
        <v>910.8</v>
      </c>
      <c r="AR59" s="99">
        <v>3</v>
      </c>
      <c r="AS59" s="99">
        <v>910.8</v>
      </c>
      <c r="AT59" s="99">
        <v>5</v>
      </c>
      <c r="AU59" s="99">
        <v>1517.9999999999998</v>
      </c>
      <c r="AV59" s="99">
        <v>4</v>
      </c>
      <c r="AW59" s="99">
        <v>1214.3999999999999</v>
      </c>
      <c r="AX59" s="99">
        <v>3</v>
      </c>
      <c r="AY59" s="99">
        <v>910.8</v>
      </c>
      <c r="AZ59" s="99">
        <v>4</v>
      </c>
      <c r="BA59" s="99">
        <v>1214.3999999999999</v>
      </c>
      <c r="BB59" s="99">
        <v>3</v>
      </c>
      <c r="BC59" s="99">
        <v>910.8</v>
      </c>
      <c r="BD59" s="99">
        <v>4</v>
      </c>
      <c r="BE59" s="99">
        <v>1214.3999999999999</v>
      </c>
      <c r="BF59" s="99">
        <v>5</v>
      </c>
      <c r="BG59" s="99">
        <v>1517.9999999999998</v>
      </c>
      <c r="BH59" s="99">
        <v>4</v>
      </c>
      <c r="BI59" s="99">
        <v>1214.3999999999999</v>
      </c>
      <c r="BJ59" s="99">
        <v>5</v>
      </c>
      <c r="BK59" s="99">
        <v>1517.9999999999998</v>
      </c>
      <c r="BL59" s="99">
        <v>3</v>
      </c>
      <c r="BM59" s="99">
        <v>910.8</v>
      </c>
      <c r="BN59" s="99">
        <v>4</v>
      </c>
      <c r="BO59" s="99">
        <v>1214.3999999999999</v>
      </c>
      <c r="BP59" s="99">
        <v>4</v>
      </c>
      <c r="BQ59" s="99">
        <v>1214.3999999999999</v>
      </c>
      <c r="BR59" s="99">
        <v>3</v>
      </c>
      <c r="BS59" s="99">
        <v>910.8</v>
      </c>
      <c r="BT59" s="99">
        <v>5</v>
      </c>
      <c r="BU59" s="99">
        <v>1517.9999999999998</v>
      </c>
      <c r="BV59" s="99">
        <v>3</v>
      </c>
      <c r="BW59" s="99">
        <v>910.8</v>
      </c>
      <c r="BX59" s="99">
        <v>3</v>
      </c>
      <c r="BY59" s="99">
        <v>910.8</v>
      </c>
      <c r="BZ59" s="99">
        <v>3</v>
      </c>
      <c r="CA59" s="99">
        <v>910.8</v>
      </c>
      <c r="CB59" s="99">
        <v>3</v>
      </c>
      <c r="CC59" s="99">
        <v>910.8</v>
      </c>
      <c r="CD59" s="99">
        <v>5</v>
      </c>
      <c r="CE59" s="99">
        <v>1517.9999999999998</v>
      </c>
      <c r="CF59" s="99">
        <v>4</v>
      </c>
      <c r="CG59" s="99">
        <v>1214.3999999999999</v>
      </c>
      <c r="CH59" s="99">
        <v>3</v>
      </c>
      <c r="CI59" s="99">
        <v>910.8</v>
      </c>
      <c r="CJ59" s="99">
        <v>3</v>
      </c>
      <c r="CK59" s="99">
        <v>910.8</v>
      </c>
      <c r="CL59" s="99">
        <v>5</v>
      </c>
      <c r="CM59" s="99">
        <v>1517.9999999999998</v>
      </c>
      <c r="CN59" s="99">
        <v>4</v>
      </c>
      <c r="CO59" s="99">
        <v>1214.3999999999999</v>
      </c>
      <c r="CP59" s="99">
        <v>4</v>
      </c>
      <c r="CQ59" s="99">
        <v>1214.3999999999999</v>
      </c>
      <c r="CR59" s="99">
        <v>5</v>
      </c>
      <c r="CS59" s="99">
        <v>1517.9999999999998</v>
      </c>
      <c r="CT59" s="99">
        <v>3</v>
      </c>
      <c r="CU59" s="99">
        <v>910.8</v>
      </c>
    </row>
    <row r="60" spans="2:99">
      <c r="C60" s="98" t="s">
        <v>225</v>
      </c>
      <c r="D60" s="99">
        <v>3</v>
      </c>
      <c r="E60" s="99">
        <v>1954.8000000000002</v>
      </c>
      <c r="F60" s="99">
        <v>4</v>
      </c>
      <c r="G60" s="99">
        <v>2606.4</v>
      </c>
      <c r="H60" s="99">
        <v>4</v>
      </c>
      <c r="I60" s="99">
        <v>2606.4</v>
      </c>
      <c r="J60" s="99">
        <v>4</v>
      </c>
      <c r="K60" s="99">
        <v>2606.4</v>
      </c>
      <c r="L60" s="99">
        <v>4</v>
      </c>
      <c r="M60" s="99">
        <v>2606.4</v>
      </c>
      <c r="N60" s="99">
        <v>4</v>
      </c>
      <c r="O60" s="99">
        <v>2606.4</v>
      </c>
      <c r="P60" s="99">
        <v>5</v>
      </c>
      <c r="Q60" s="99">
        <v>3258</v>
      </c>
      <c r="R60" s="99">
        <v>4</v>
      </c>
      <c r="S60" s="99">
        <v>2606.4</v>
      </c>
      <c r="T60" s="99">
        <v>3</v>
      </c>
      <c r="U60" s="99">
        <v>1954.8000000000002</v>
      </c>
      <c r="V60" s="99">
        <v>3</v>
      </c>
      <c r="W60" s="99">
        <v>1954.8000000000002</v>
      </c>
      <c r="X60" s="99">
        <v>5</v>
      </c>
      <c r="Y60" s="99">
        <v>3258</v>
      </c>
      <c r="Z60" s="99">
        <v>4</v>
      </c>
      <c r="AA60" s="99">
        <v>2606.4</v>
      </c>
      <c r="AB60" s="99">
        <v>4</v>
      </c>
      <c r="AC60" s="99">
        <v>2606.4</v>
      </c>
      <c r="AD60" s="99">
        <v>5</v>
      </c>
      <c r="AE60" s="99">
        <v>3258</v>
      </c>
      <c r="AF60" s="99">
        <v>4</v>
      </c>
      <c r="AG60" s="99">
        <v>2606.4</v>
      </c>
      <c r="AH60" s="99">
        <v>3</v>
      </c>
      <c r="AI60" s="99">
        <v>1954.8000000000002</v>
      </c>
      <c r="AJ60" s="99">
        <v>5</v>
      </c>
      <c r="AK60" s="99">
        <v>3258</v>
      </c>
      <c r="AL60" s="99">
        <v>3</v>
      </c>
      <c r="AM60" s="99">
        <v>1954.8000000000002</v>
      </c>
      <c r="AN60" s="99">
        <v>5</v>
      </c>
      <c r="AO60" s="99">
        <v>3258</v>
      </c>
      <c r="AP60" s="99">
        <v>3</v>
      </c>
      <c r="AQ60" s="99">
        <v>1954.8000000000002</v>
      </c>
      <c r="AR60" s="99">
        <v>3</v>
      </c>
      <c r="AS60" s="99">
        <v>1954.8000000000002</v>
      </c>
      <c r="AT60" s="99">
        <v>4</v>
      </c>
      <c r="AU60" s="99">
        <v>2606.4</v>
      </c>
      <c r="AV60" s="99">
        <v>4</v>
      </c>
      <c r="AW60" s="99">
        <v>2606.4</v>
      </c>
      <c r="AX60" s="99">
        <v>3</v>
      </c>
      <c r="AY60" s="99">
        <v>1954.8000000000002</v>
      </c>
      <c r="AZ60" s="99">
        <v>4</v>
      </c>
      <c r="BA60" s="99">
        <v>2606.4</v>
      </c>
      <c r="BB60" s="99">
        <v>4</v>
      </c>
      <c r="BC60" s="99">
        <v>2606.4</v>
      </c>
      <c r="BD60" s="99">
        <v>4</v>
      </c>
      <c r="BE60" s="99">
        <v>2606.4</v>
      </c>
      <c r="BF60" s="99">
        <v>5</v>
      </c>
      <c r="BG60" s="99">
        <v>3258</v>
      </c>
      <c r="BH60" s="99">
        <v>3</v>
      </c>
      <c r="BI60" s="99">
        <v>1954.8000000000002</v>
      </c>
      <c r="BJ60" s="99">
        <v>5</v>
      </c>
      <c r="BK60" s="99">
        <v>3258</v>
      </c>
      <c r="BL60" s="99">
        <v>3</v>
      </c>
      <c r="BM60" s="99">
        <v>1954.8000000000002</v>
      </c>
      <c r="BN60" s="99">
        <v>4</v>
      </c>
      <c r="BO60" s="99">
        <v>2606.4</v>
      </c>
      <c r="BP60" s="99">
        <v>4</v>
      </c>
      <c r="BQ60" s="99">
        <v>2606.4</v>
      </c>
      <c r="BR60" s="99">
        <v>3</v>
      </c>
      <c r="BS60" s="99">
        <v>1954.8000000000002</v>
      </c>
      <c r="BT60" s="99">
        <v>5</v>
      </c>
      <c r="BU60" s="99">
        <v>3258</v>
      </c>
      <c r="BV60" s="99">
        <v>3</v>
      </c>
      <c r="BW60" s="99">
        <v>1954.8000000000002</v>
      </c>
      <c r="BX60" s="99">
        <v>3</v>
      </c>
      <c r="BY60" s="99">
        <v>1954.8000000000002</v>
      </c>
      <c r="BZ60" s="99">
        <v>3</v>
      </c>
      <c r="CA60" s="99">
        <v>1954.8000000000002</v>
      </c>
      <c r="CB60" s="99">
        <v>4</v>
      </c>
      <c r="CC60" s="99">
        <v>2606.4</v>
      </c>
      <c r="CD60" s="99">
        <v>4</v>
      </c>
      <c r="CE60" s="99">
        <v>2606.4</v>
      </c>
      <c r="CF60" s="99">
        <v>4</v>
      </c>
      <c r="CG60" s="99">
        <v>2606.4</v>
      </c>
      <c r="CH60" s="99">
        <v>4</v>
      </c>
      <c r="CI60" s="99">
        <v>2606.4</v>
      </c>
      <c r="CJ60" s="99">
        <v>3</v>
      </c>
      <c r="CK60" s="99">
        <v>1954.8000000000002</v>
      </c>
      <c r="CL60" s="99">
        <v>5</v>
      </c>
      <c r="CM60" s="99">
        <v>3258</v>
      </c>
      <c r="CN60" s="99">
        <v>4</v>
      </c>
      <c r="CO60" s="99">
        <v>2606.4</v>
      </c>
      <c r="CP60" s="99">
        <v>4</v>
      </c>
      <c r="CQ60" s="99">
        <v>2606.4</v>
      </c>
      <c r="CR60" s="99">
        <v>4</v>
      </c>
      <c r="CS60" s="99">
        <v>2606.4</v>
      </c>
      <c r="CT60" s="99">
        <v>3</v>
      </c>
      <c r="CU60" s="99">
        <v>1954.8000000000002</v>
      </c>
    </row>
    <row r="61" spans="2:99">
      <c r="C61" s="98" t="s">
        <v>226</v>
      </c>
      <c r="D61" s="99">
        <v>3</v>
      </c>
      <c r="E61" s="99">
        <v>2854.7999999999997</v>
      </c>
      <c r="F61" s="99">
        <v>4</v>
      </c>
      <c r="G61" s="99">
        <v>3806.3999999999996</v>
      </c>
      <c r="H61" s="99">
        <v>4</v>
      </c>
      <c r="I61" s="99">
        <v>3806.3999999999996</v>
      </c>
      <c r="J61" s="99">
        <v>4</v>
      </c>
      <c r="K61" s="99">
        <v>3806.3999999999996</v>
      </c>
      <c r="L61" s="99">
        <v>4</v>
      </c>
      <c r="M61" s="99">
        <v>3806.3999999999996</v>
      </c>
      <c r="N61" s="99">
        <v>3</v>
      </c>
      <c r="O61" s="99">
        <v>2854.7999999999997</v>
      </c>
      <c r="P61" s="99">
        <v>5</v>
      </c>
      <c r="Q61" s="99">
        <v>4758</v>
      </c>
      <c r="R61" s="99">
        <v>4</v>
      </c>
      <c r="S61" s="99">
        <v>3806.3999999999996</v>
      </c>
      <c r="T61" s="99">
        <v>3</v>
      </c>
      <c r="U61" s="99">
        <v>2854.7999999999997</v>
      </c>
      <c r="V61" s="99">
        <v>3</v>
      </c>
      <c r="W61" s="99">
        <v>2854.7999999999997</v>
      </c>
      <c r="X61" s="99">
        <v>5</v>
      </c>
      <c r="Y61" s="99">
        <v>4758</v>
      </c>
      <c r="Z61" s="99">
        <v>4</v>
      </c>
      <c r="AA61" s="99">
        <v>3806.3999999999996</v>
      </c>
      <c r="AB61" s="99">
        <v>5</v>
      </c>
      <c r="AC61" s="99">
        <v>4758</v>
      </c>
      <c r="AD61" s="99">
        <v>4</v>
      </c>
      <c r="AE61" s="99">
        <v>3806.3999999999996</v>
      </c>
      <c r="AF61" s="99">
        <v>4</v>
      </c>
      <c r="AG61" s="99">
        <v>3806.3999999999996</v>
      </c>
      <c r="AH61" s="99">
        <v>3</v>
      </c>
      <c r="AI61" s="99">
        <v>2854.7999999999997</v>
      </c>
      <c r="AJ61" s="99">
        <v>4</v>
      </c>
      <c r="AK61" s="99">
        <v>3806.3999999999996</v>
      </c>
      <c r="AL61" s="99">
        <v>3</v>
      </c>
      <c r="AM61" s="99">
        <v>2854.7999999999997</v>
      </c>
      <c r="AN61" s="99">
        <v>5</v>
      </c>
      <c r="AO61" s="99">
        <v>4758</v>
      </c>
      <c r="AP61" s="99">
        <v>3</v>
      </c>
      <c r="AQ61" s="99">
        <v>2854.7999999999997</v>
      </c>
      <c r="AR61" s="99">
        <v>3</v>
      </c>
      <c r="AS61" s="99">
        <v>2854.7999999999997</v>
      </c>
      <c r="AT61" s="99">
        <v>4</v>
      </c>
      <c r="AU61" s="99">
        <v>3806.3999999999996</v>
      </c>
      <c r="AV61" s="99">
        <v>4</v>
      </c>
      <c r="AW61" s="99">
        <v>3806.3999999999996</v>
      </c>
      <c r="AX61" s="99">
        <v>3</v>
      </c>
      <c r="AY61" s="99">
        <v>2854.7999999999997</v>
      </c>
      <c r="AZ61" s="99">
        <v>4</v>
      </c>
      <c r="BA61" s="99">
        <v>3806.3999999999996</v>
      </c>
      <c r="BB61" s="99">
        <v>3</v>
      </c>
      <c r="BC61" s="99">
        <v>2854.7999999999997</v>
      </c>
      <c r="BD61" s="99">
        <v>4</v>
      </c>
      <c r="BE61" s="99">
        <v>3806.3999999999996</v>
      </c>
      <c r="BF61" s="99">
        <v>4</v>
      </c>
      <c r="BG61" s="99">
        <v>3806.3999999999996</v>
      </c>
      <c r="BH61" s="99">
        <v>4</v>
      </c>
      <c r="BI61" s="99">
        <v>3806.3999999999996</v>
      </c>
      <c r="BJ61" s="99">
        <v>5</v>
      </c>
      <c r="BK61" s="99">
        <v>4758</v>
      </c>
      <c r="BL61" s="99">
        <v>3</v>
      </c>
      <c r="BM61" s="99">
        <v>2854.7999999999997</v>
      </c>
      <c r="BN61" s="99">
        <v>4</v>
      </c>
      <c r="BO61" s="99">
        <v>3806.3999999999996</v>
      </c>
      <c r="BP61" s="99">
        <v>3</v>
      </c>
      <c r="BQ61" s="99">
        <v>2854.7999999999997</v>
      </c>
      <c r="BR61" s="99">
        <v>3</v>
      </c>
      <c r="BS61" s="99">
        <v>2854.7999999999997</v>
      </c>
      <c r="BT61" s="99">
        <v>5</v>
      </c>
      <c r="BU61" s="99">
        <v>4758</v>
      </c>
      <c r="BV61" s="99">
        <v>3</v>
      </c>
      <c r="BW61" s="99">
        <v>2854.7999999999997</v>
      </c>
      <c r="BX61" s="99">
        <v>3</v>
      </c>
      <c r="BY61" s="99">
        <v>2854.7999999999997</v>
      </c>
      <c r="BZ61" s="99">
        <v>3</v>
      </c>
      <c r="CA61" s="99">
        <v>2854.7999999999997</v>
      </c>
      <c r="CB61" s="99">
        <v>3</v>
      </c>
      <c r="CC61" s="99">
        <v>2854.7999999999997</v>
      </c>
      <c r="CD61" s="99">
        <v>4</v>
      </c>
      <c r="CE61" s="99">
        <v>3806.3999999999996</v>
      </c>
      <c r="CF61" s="99">
        <v>3</v>
      </c>
      <c r="CG61" s="99">
        <v>2854.7999999999997</v>
      </c>
      <c r="CH61" s="99">
        <v>3</v>
      </c>
      <c r="CI61" s="99">
        <v>2854.7999999999997</v>
      </c>
      <c r="CJ61" s="99">
        <v>3</v>
      </c>
      <c r="CK61" s="99">
        <v>2854.7999999999997</v>
      </c>
      <c r="CL61" s="99">
        <v>5</v>
      </c>
      <c r="CM61" s="99">
        <v>4758</v>
      </c>
      <c r="CN61" s="99">
        <v>4</v>
      </c>
      <c r="CO61" s="99">
        <v>3806.3999999999996</v>
      </c>
      <c r="CP61" s="99">
        <v>4</v>
      </c>
      <c r="CQ61" s="99">
        <v>3806.3999999999996</v>
      </c>
      <c r="CR61" s="99">
        <v>5</v>
      </c>
      <c r="CS61" s="99">
        <v>4758</v>
      </c>
      <c r="CT61" s="99">
        <v>3</v>
      </c>
      <c r="CU61" s="99">
        <v>2854.7999999999997</v>
      </c>
    </row>
    <row r="62" spans="2:99">
      <c r="C62" s="98" t="s">
        <v>227</v>
      </c>
      <c r="D62" s="99">
        <v>3</v>
      </c>
      <c r="E62" s="99">
        <v>5115.6000000000004</v>
      </c>
      <c r="F62" s="99">
        <v>4</v>
      </c>
      <c r="G62" s="99">
        <v>6820.8</v>
      </c>
      <c r="H62" s="99">
        <v>3</v>
      </c>
      <c r="I62" s="99">
        <v>5115.6000000000004</v>
      </c>
      <c r="J62" s="99">
        <v>4</v>
      </c>
      <c r="K62" s="99">
        <v>6820.8</v>
      </c>
      <c r="L62" s="99">
        <v>4</v>
      </c>
      <c r="M62" s="99">
        <v>6820.8</v>
      </c>
      <c r="N62" s="99">
        <v>3</v>
      </c>
      <c r="O62" s="99">
        <v>5115.6000000000004</v>
      </c>
      <c r="P62" s="99">
        <v>4</v>
      </c>
      <c r="Q62" s="99">
        <v>6820.8</v>
      </c>
      <c r="R62" s="99">
        <v>4</v>
      </c>
      <c r="S62" s="99">
        <v>6820.8</v>
      </c>
      <c r="T62" s="99">
        <v>3</v>
      </c>
      <c r="U62" s="99">
        <v>5115.6000000000004</v>
      </c>
      <c r="V62" s="99">
        <v>4</v>
      </c>
      <c r="W62" s="99">
        <v>6820.8</v>
      </c>
      <c r="X62" s="99">
        <v>4</v>
      </c>
      <c r="Y62" s="99">
        <v>6820.8</v>
      </c>
      <c r="Z62" s="99">
        <v>4</v>
      </c>
      <c r="AA62" s="99">
        <v>6820.8</v>
      </c>
      <c r="AB62" s="99">
        <v>4</v>
      </c>
      <c r="AC62" s="99">
        <v>6820.8</v>
      </c>
      <c r="AD62" s="99">
        <v>4</v>
      </c>
      <c r="AE62" s="99">
        <v>6820.8</v>
      </c>
      <c r="AF62" s="99">
        <v>3</v>
      </c>
      <c r="AG62" s="99">
        <v>5115.6000000000004</v>
      </c>
      <c r="AH62" s="99">
        <v>2</v>
      </c>
      <c r="AI62" s="99">
        <v>3410.4</v>
      </c>
      <c r="AJ62" s="99">
        <v>5</v>
      </c>
      <c r="AK62" s="99">
        <v>8526</v>
      </c>
      <c r="AL62" s="99">
        <v>3</v>
      </c>
      <c r="AM62" s="99">
        <v>5115.6000000000004</v>
      </c>
      <c r="AN62" s="99">
        <v>4</v>
      </c>
      <c r="AO62" s="99">
        <v>6820.8</v>
      </c>
      <c r="AP62" s="99">
        <v>3</v>
      </c>
      <c r="AQ62" s="99">
        <v>5115.6000000000004</v>
      </c>
      <c r="AR62" s="99">
        <v>3</v>
      </c>
      <c r="AS62" s="99">
        <v>5115.6000000000004</v>
      </c>
      <c r="AT62" s="99">
        <v>4</v>
      </c>
      <c r="AU62" s="99">
        <v>6820.8</v>
      </c>
      <c r="AV62" s="99">
        <v>4</v>
      </c>
      <c r="AW62" s="99">
        <v>6820.8</v>
      </c>
      <c r="AX62" s="99">
        <v>3</v>
      </c>
      <c r="AY62" s="99">
        <v>5115.6000000000004</v>
      </c>
      <c r="AZ62" s="99">
        <v>4</v>
      </c>
      <c r="BA62" s="99">
        <v>6820.8</v>
      </c>
      <c r="BB62" s="99">
        <v>3</v>
      </c>
      <c r="BC62" s="99">
        <v>5115.6000000000004</v>
      </c>
      <c r="BD62" s="99">
        <v>4</v>
      </c>
      <c r="BE62" s="99">
        <v>6820.8</v>
      </c>
      <c r="BF62" s="99">
        <v>4</v>
      </c>
      <c r="BG62" s="99">
        <v>6820.8</v>
      </c>
      <c r="BH62" s="99">
        <v>3</v>
      </c>
      <c r="BI62" s="99">
        <v>5115.6000000000004</v>
      </c>
      <c r="BJ62" s="99">
        <v>4</v>
      </c>
      <c r="BK62" s="99">
        <v>6820.8</v>
      </c>
      <c r="BL62" s="99">
        <v>3</v>
      </c>
      <c r="BM62" s="99">
        <v>5115.6000000000004</v>
      </c>
      <c r="BN62" s="99">
        <v>3</v>
      </c>
      <c r="BO62" s="99">
        <v>5115.6000000000004</v>
      </c>
      <c r="BP62" s="99">
        <v>3</v>
      </c>
      <c r="BQ62" s="99">
        <v>5115.6000000000004</v>
      </c>
      <c r="BR62" s="99">
        <v>2</v>
      </c>
      <c r="BS62" s="99">
        <v>3410.4</v>
      </c>
      <c r="BT62" s="99">
        <v>4</v>
      </c>
      <c r="BU62" s="99">
        <v>6820.8</v>
      </c>
      <c r="BV62" s="99">
        <v>3</v>
      </c>
      <c r="BW62" s="99">
        <v>5115.6000000000004</v>
      </c>
      <c r="BX62" s="99">
        <v>3</v>
      </c>
      <c r="BY62" s="99">
        <v>5115.6000000000004</v>
      </c>
      <c r="BZ62" s="99">
        <v>3</v>
      </c>
      <c r="CA62" s="99">
        <v>5115.6000000000004</v>
      </c>
      <c r="CB62" s="99">
        <v>3</v>
      </c>
      <c r="CC62" s="99">
        <v>5115.6000000000004</v>
      </c>
      <c r="CD62" s="99">
        <v>5</v>
      </c>
      <c r="CE62" s="99">
        <v>8526</v>
      </c>
      <c r="CF62" s="99">
        <v>3</v>
      </c>
      <c r="CG62" s="99">
        <v>5115.6000000000004</v>
      </c>
      <c r="CH62" s="99">
        <v>3</v>
      </c>
      <c r="CI62" s="99">
        <v>5115.6000000000004</v>
      </c>
      <c r="CJ62" s="99">
        <v>3</v>
      </c>
      <c r="CK62" s="99">
        <v>5115.6000000000004</v>
      </c>
      <c r="CL62" s="99">
        <v>5</v>
      </c>
      <c r="CM62" s="99">
        <v>8526</v>
      </c>
      <c r="CN62" s="99">
        <v>4</v>
      </c>
      <c r="CO62" s="99">
        <v>6820.8</v>
      </c>
      <c r="CP62" s="99">
        <v>4</v>
      </c>
      <c r="CQ62" s="99">
        <v>6820.8</v>
      </c>
      <c r="CR62" s="99">
        <v>4</v>
      </c>
      <c r="CS62" s="99">
        <v>6820.8</v>
      </c>
      <c r="CT62" s="99">
        <v>2</v>
      </c>
      <c r="CU62" s="99">
        <v>3410.4</v>
      </c>
    </row>
    <row r="63" spans="2:99">
      <c r="C63" s="98" t="s">
        <v>228</v>
      </c>
      <c r="D63" s="99">
        <v>3</v>
      </c>
      <c r="E63" s="99">
        <v>2386.8000000000002</v>
      </c>
      <c r="F63" s="99">
        <v>4</v>
      </c>
      <c r="G63" s="99">
        <v>3182.4</v>
      </c>
      <c r="H63" s="99">
        <v>4</v>
      </c>
      <c r="I63" s="99">
        <v>3182.4</v>
      </c>
      <c r="J63" s="99">
        <v>4</v>
      </c>
      <c r="K63" s="99">
        <v>3182.4</v>
      </c>
      <c r="L63" s="99">
        <v>4</v>
      </c>
      <c r="M63" s="99">
        <v>3182.4</v>
      </c>
      <c r="N63" s="99">
        <v>4</v>
      </c>
      <c r="O63" s="99">
        <v>3182.4</v>
      </c>
      <c r="P63" s="99">
        <v>5</v>
      </c>
      <c r="Q63" s="99">
        <v>3978</v>
      </c>
      <c r="R63" s="99">
        <v>4</v>
      </c>
      <c r="S63" s="99">
        <v>3182.4</v>
      </c>
      <c r="T63" s="99">
        <v>3</v>
      </c>
      <c r="U63" s="99">
        <v>2386.8000000000002</v>
      </c>
      <c r="V63" s="99">
        <v>3</v>
      </c>
      <c r="W63" s="99">
        <v>2386.8000000000002</v>
      </c>
      <c r="X63" s="99">
        <v>5</v>
      </c>
      <c r="Y63" s="99">
        <v>3978</v>
      </c>
      <c r="Z63" s="99">
        <v>4</v>
      </c>
      <c r="AA63" s="99">
        <v>3182.4</v>
      </c>
      <c r="AB63" s="99">
        <v>5</v>
      </c>
      <c r="AC63" s="99">
        <v>3978</v>
      </c>
      <c r="AD63" s="99">
        <v>5</v>
      </c>
      <c r="AE63" s="99">
        <v>3978</v>
      </c>
      <c r="AF63" s="99">
        <v>4</v>
      </c>
      <c r="AG63" s="99">
        <v>3182.4</v>
      </c>
      <c r="AH63" s="99">
        <v>3</v>
      </c>
      <c r="AI63" s="99">
        <v>2386.8000000000002</v>
      </c>
      <c r="AJ63" s="99">
        <v>5</v>
      </c>
      <c r="AK63" s="99">
        <v>3978</v>
      </c>
      <c r="AL63" s="99">
        <v>3</v>
      </c>
      <c r="AM63" s="99">
        <v>2386.8000000000002</v>
      </c>
      <c r="AN63" s="99">
        <v>5</v>
      </c>
      <c r="AO63" s="99">
        <v>3978</v>
      </c>
      <c r="AP63" s="99">
        <v>3</v>
      </c>
      <c r="AQ63" s="99">
        <v>2386.8000000000002</v>
      </c>
      <c r="AR63" s="99">
        <v>3</v>
      </c>
      <c r="AS63" s="99">
        <v>2386.8000000000002</v>
      </c>
      <c r="AT63" s="99">
        <v>4</v>
      </c>
      <c r="AU63" s="99">
        <v>3182.4</v>
      </c>
      <c r="AV63" s="99">
        <v>4</v>
      </c>
      <c r="AW63" s="99">
        <v>3182.4</v>
      </c>
      <c r="AX63" s="99">
        <v>2</v>
      </c>
      <c r="AY63" s="99">
        <v>1591.2</v>
      </c>
      <c r="AZ63" s="99">
        <v>4</v>
      </c>
      <c r="BA63" s="99">
        <v>3182.4</v>
      </c>
      <c r="BB63" s="99">
        <v>3</v>
      </c>
      <c r="BC63" s="99">
        <v>2386.8000000000002</v>
      </c>
      <c r="BD63" s="99">
        <v>4</v>
      </c>
      <c r="BE63" s="99">
        <v>3182.4</v>
      </c>
      <c r="BF63" s="99">
        <v>5</v>
      </c>
      <c r="BG63" s="99">
        <v>3978</v>
      </c>
      <c r="BH63" s="99">
        <v>4</v>
      </c>
      <c r="BI63" s="99">
        <v>3182.4</v>
      </c>
      <c r="BJ63" s="99">
        <v>5</v>
      </c>
      <c r="BK63" s="99">
        <v>3978</v>
      </c>
      <c r="BL63" s="99">
        <v>3</v>
      </c>
      <c r="BM63" s="99">
        <v>2386.8000000000002</v>
      </c>
      <c r="BN63" s="99">
        <v>4</v>
      </c>
      <c r="BO63" s="99">
        <v>3182.4</v>
      </c>
      <c r="BP63" s="99">
        <v>4</v>
      </c>
      <c r="BQ63" s="99">
        <v>3182.4</v>
      </c>
      <c r="BR63" s="99">
        <v>3</v>
      </c>
      <c r="BS63" s="99">
        <v>2386.8000000000002</v>
      </c>
      <c r="BT63" s="99">
        <v>4</v>
      </c>
      <c r="BU63" s="99">
        <v>3182.4</v>
      </c>
      <c r="BV63" s="99">
        <v>3</v>
      </c>
      <c r="BW63" s="99">
        <v>2386.8000000000002</v>
      </c>
      <c r="BX63" s="99">
        <v>3</v>
      </c>
      <c r="BY63" s="99">
        <v>2386.8000000000002</v>
      </c>
      <c r="BZ63" s="99">
        <v>3</v>
      </c>
      <c r="CA63" s="99">
        <v>2386.8000000000002</v>
      </c>
      <c r="CB63" s="99">
        <v>4</v>
      </c>
      <c r="CC63" s="99">
        <v>3182.4</v>
      </c>
      <c r="CD63" s="99">
        <v>4</v>
      </c>
      <c r="CE63" s="99">
        <v>3182.4</v>
      </c>
      <c r="CF63" s="99">
        <v>4</v>
      </c>
      <c r="CG63" s="99">
        <v>3182.4</v>
      </c>
      <c r="CH63" s="99">
        <v>3</v>
      </c>
      <c r="CI63" s="99">
        <v>2386.8000000000002</v>
      </c>
      <c r="CJ63" s="99">
        <v>3</v>
      </c>
      <c r="CK63" s="99">
        <v>2386.8000000000002</v>
      </c>
      <c r="CL63" s="99">
        <v>5</v>
      </c>
      <c r="CM63" s="99">
        <v>3978</v>
      </c>
      <c r="CN63" s="99">
        <v>4</v>
      </c>
      <c r="CO63" s="99">
        <v>3182.4</v>
      </c>
      <c r="CP63" s="99">
        <v>4</v>
      </c>
      <c r="CQ63" s="99">
        <v>3182.4</v>
      </c>
      <c r="CR63" s="99">
        <v>5</v>
      </c>
      <c r="CS63" s="99">
        <v>3978</v>
      </c>
      <c r="CT63" s="99">
        <v>3</v>
      </c>
      <c r="CU63" s="99">
        <v>2386.8000000000002</v>
      </c>
    </row>
    <row r="64" spans="2:99">
      <c r="C64" s="98" t="s">
        <v>229</v>
      </c>
      <c r="D64" s="99">
        <v>3</v>
      </c>
      <c r="E64" s="99">
        <v>3027.5999999999995</v>
      </c>
      <c r="F64" s="99">
        <v>3</v>
      </c>
      <c r="G64" s="99">
        <v>3027.5999999999995</v>
      </c>
      <c r="H64" s="99">
        <v>4</v>
      </c>
      <c r="I64" s="99">
        <v>4036.7999999999993</v>
      </c>
      <c r="J64" s="99">
        <v>4</v>
      </c>
      <c r="K64" s="99">
        <v>4036.7999999999993</v>
      </c>
      <c r="L64" s="99">
        <v>4</v>
      </c>
      <c r="M64" s="99">
        <v>4036.7999999999993</v>
      </c>
      <c r="N64" s="99">
        <v>4</v>
      </c>
      <c r="O64" s="99">
        <v>4036.7999999999993</v>
      </c>
      <c r="P64" s="99">
        <v>5</v>
      </c>
      <c r="Q64" s="99">
        <v>5045.9999999999991</v>
      </c>
      <c r="R64" s="99">
        <v>4</v>
      </c>
      <c r="S64" s="99">
        <v>4036.7999999999993</v>
      </c>
      <c r="T64" s="99">
        <v>3</v>
      </c>
      <c r="U64" s="99">
        <v>3027.5999999999995</v>
      </c>
      <c r="V64" s="99">
        <v>4</v>
      </c>
      <c r="W64" s="99">
        <v>4036.7999999999993</v>
      </c>
      <c r="X64" s="99">
        <v>4</v>
      </c>
      <c r="Y64" s="99">
        <v>4036.7999999999993</v>
      </c>
      <c r="Z64" s="99">
        <v>4</v>
      </c>
      <c r="AA64" s="99">
        <v>4036.7999999999993</v>
      </c>
      <c r="AB64" s="99">
        <v>4</v>
      </c>
      <c r="AC64" s="99">
        <v>4036.7999999999993</v>
      </c>
      <c r="AD64" s="99">
        <v>5</v>
      </c>
      <c r="AE64" s="99">
        <v>5045.9999999999991</v>
      </c>
      <c r="AF64" s="99">
        <v>4</v>
      </c>
      <c r="AG64" s="99">
        <v>4036.7999999999993</v>
      </c>
      <c r="AH64" s="99">
        <v>3</v>
      </c>
      <c r="AI64" s="99">
        <v>3027.5999999999995</v>
      </c>
      <c r="AJ64" s="99">
        <v>4</v>
      </c>
      <c r="AK64" s="99">
        <v>4036.7999999999993</v>
      </c>
      <c r="AL64" s="99">
        <v>3</v>
      </c>
      <c r="AM64" s="99">
        <v>3027.5999999999995</v>
      </c>
      <c r="AN64" s="99">
        <v>5</v>
      </c>
      <c r="AO64" s="99">
        <v>5045.9999999999991</v>
      </c>
      <c r="AP64" s="99">
        <v>3</v>
      </c>
      <c r="AQ64" s="99">
        <v>3027.5999999999995</v>
      </c>
      <c r="AR64" s="99">
        <v>2</v>
      </c>
      <c r="AS64" s="99">
        <v>2018.3999999999996</v>
      </c>
      <c r="AT64" s="99">
        <v>4</v>
      </c>
      <c r="AU64" s="99">
        <v>4036.7999999999993</v>
      </c>
      <c r="AV64" s="99">
        <v>4</v>
      </c>
      <c r="AW64" s="99">
        <v>4036.7999999999993</v>
      </c>
      <c r="AX64" s="99">
        <v>3</v>
      </c>
      <c r="AY64" s="99">
        <v>3027.5999999999995</v>
      </c>
      <c r="AZ64" s="99">
        <v>4</v>
      </c>
      <c r="BA64" s="99">
        <v>4036.7999999999993</v>
      </c>
      <c r="BB64" s="99">
        <v>3</v>
      </c>
      <c r="BC64" s="99">
        <v>3027.5999999999995</v>
      </c>
      <c r="BD64" s="99">
        <v>4</v>
      </c>
      <c r="BE64" s="99">
        <v>4036.7999999999993</v>
      </c>
      <c r="BF64" s="99">
        <v>5</v>
      </c>
      <c r="BG64" s="99">
        <v>5045.9999999999991</v>
      </c>
      <c r="BH64" s="99">
        <v>4</v>
      </c>
      <c r="BI64" s="99">
        <v>4036.7999999999993</v>
      </c>
      <c r="BJ64" s="99">
        <v>5</v>
      </c>
      <c r="BK64" s="99">
        <v>5045.9999999999991</v>
      </c>
      <c r="BL64" s="99">
        <v>3</v>
      </c>
      <c r="BM64" s="99">
        <v>3027.5999999999995</v>
      </c>
      <c r="BN64" s="99">
        <v>4</v>
      </c>
      <c r="BO64" s="99">
        <v>4036.7999999999993</v>
      </c>
      <c r="BP64" s="99">
        <v>3</v>
      </c>
      <c r="BQ64" s="99">
        <v>3027.5999999999995</v>
      </c>
      <c r="BR64" s="99">
        <v>3</v>
      </c>
      <c r="BS64" s="99">
        <v>3027.5999999999995</v>
      </c>
      <c r="BT64" s="99">
        <v>5</v>
      </c>
      <c r="BU64" s="99">
        <v>5045.9999999999991</v>
      </c>
      <c r="BV64" s="99">
        <v>3</v>
      </c>
      <c r="BW64" s="99">
        <v>3027.5999999999995</v>
      </c>
      <c r="BX64" s="99">
        <v>3</v>
      </c>
      <c r="BY64" s="99">
        <v>3027.5999999999995</v>
      </c>
      <c r="BZ64" s="99">
        <v>3</v>
      </c>
      <c r="CA64" s="99">
        <v>3027.5999999999995</v>
      </c>
      <c r="CB64" s="99">
        <v>3</v>
      </c>
      <c r="CC64" s="99">
        <v>3027.5999999999995</v>
      </c>
      <c r="CD64" s="99">
        <v>4</v>
      </c>
      <c r="CE64" s="99">
        <v>4036.7999999999993</v>
      </c>
      <c r="CF64" s="99">
        <v>3</v>
      </c>
      <c r="CG64" s="99">
        <v>3027.5999999999995</v>
      </c>
      <c r="CH64" s="99">
        <v>3</v>
      </c>
      <c r="CI64" s="99">
        <v>3027.5999999999995</v>
      </c>
      <c r="CJ64" s="99">
        <v>3</v>
      </c>
      <c r="CK64" s="99">
        <v>3027.5999999999995</v>
      </c>
      <c r="CL64" s="99">
        <v>5</v>
      </c>
      <c r="CM64" s="99">
        <v>5045.9999999999991</v>
      </c>
      <c r="CN64" s="99">
        <v>4</v>
      </c>
      <c r="CO64" s="99">
        <v>4036.7999999999993</v>
      </c>
      <c r="CP64" s="99">
        <v>4</v>
      </c>
      <c r="CQ64" s="99">
        <v>4036.7999999999993</v>
      </c>
      <c r="CR64" s="99">
        <v>5</v>
      </c>
      <c r="CS64" s="99">
        <v>5045.9999999999991</v>
      </c>
      <c r="CT64" s="99">
        <v>3</v>
      </c>
      <c r="CU64" s="99">
        <v>3027.5999999999995</v>
      </c>
    </row>
    <row r="65" spans="2:99">
      <c r="C65" s="98" t="s">
        <v>230</v>
      </c>
      <c r="D65" s="99">
        <v>3</v>
      </c>
      <c r="E65" s="99">
        <v>3078</v>
      </c>
      <c r="F65" s="99">
        <v>4</v>
      </c>
      <c r="G65" s="99">
        <v>4104</v>
      </c>
      <c r="H65" s="99">
        <v>4</v>
      </c>
      <c r="I65" s="99">
        <v>4104</v>
      </c>
      <c r="J65" s="99">
        <v>4</v>
      </c>
      <c r="K65" s="99">
        <v>4104</v>
      </c>
      <c r="L65" s="99">
        <v>4</v>
      </c>
      <c r="M65" s="99">
        <v>4104</v>
      </c>
      <c r="N65" s="99">
        <v>3</v>
      </c>
      <c r="O65" s="99">
        <v>3078</v>
      </c>
      <c r="P65" s="99">
        <v>5</v>
      </c>
      <c r="Q65" s="99">
        <v>5130</v>
      </c>
      <c r="R65" s="99">
        <v>4</v>
      </c>
      <c r="S65" s="99">
        <v>4104</v>
      </c>
      <c r="T65" s="99">
        <v>3</v>
      </c>
      <c r="U65" s="99">
        <v>3078</v>
      </c>
      <c r="V65" s="99">
        <v>4</v>
      </c>
      <c r="W65" s="99">
        <v>4104</v>
      </c>
      <c r="X65" s="99">
        <v>5</v>
      </c>
      <c r="Y65" s="99">
        <v>5130</v>
      </c>
      <c r="Z65" s="99">
        <v>4</v>
      </c>
      <c r="AA65" s="99">
        <v>4104</v>
      </c>
      <c r="AB65" s="99">
        <v>5</v>
      </c>
      <c r="AC65" s="99">
        <v>5130</v>
      </c>
      <c r="AD65" s="99">
        <v>5</v>
      </c>
      <c r="AE65" s="99">
        <v>5130</v>
      </c>
      <c r="AF65" s="99">
        <v>4</v>
      </c>
      <c r="AG65" s="99">
        <v>4104</v>
      </c>
      <c r="AH65" s="99">
        <v>3</v>
      </c>
      <c r="AI65" s="99">
        <v>3078</v>
      </c>
      <c r="AJ65" s="99">
        <v>5</v>
      </c>
      <c r="AK65" s="99">
        <v>5130</v>
      </c>
      <c r="AL65" s="99">
        <v>2</v>
      </c>
      <c r="AM65" s="99">
        <v>2052</v>
      </c>
      <c r="AN65" s="99">
        <v>4</v>
      </c>
      <c r="AO65" s="99">
        <v>4104</v>
      </c>
      <c r="AP65" s="99">
        <v>3</v>
      </c>
      <c r="AQ65" s="99">
        <v>3078</v>
      </c>
      <c r="AR65" s="99">
        <v>3</v>
      </c>
      <c r="AS65" s="99">
        <v>3078</v>
      </c>
      <c r="AT65" s="99">
        <v>4</v>
      </c>
      <c r="AU65" s="99">
        <v>4104</v>
      </c>
      <c r="AV65" s="99">
        <v>4</v>
      </c>
      <c r="AW65" s="99">
        <v>4104</v>
      </c>
      <c r="AX65" s="99">
        <v>3</v>
      </c>
      <c r="AY65" s="99">
        <v>3078</v>
      </c>
      <c r="AZ65" s="99">
        <v>4</v>
      </c>
      <c r="BA65" s="99">
        <v>4104</v>
      </c>
      <c r="BB65" s="99">
        <v>3</v>
      </c>
      <c r="BC65" s="99">
        <v>3078</v>
      </c>
      <c r="BD65" s="99">
        <v>4</v>
      </c>
      <c r="BE65" s="99">
        <v>4104</v>
      </c>
      <c r="BF65" s="99">
        <v>5</v>
      </c>
      <c r="BG65" s="99">
        <v>5130</v>
      </c>
      <c r="BH65" s="99">
        <v>4</v>
      </c>
      <c r="BI65" s="99">
        <v>4104</v>
      </c>
      <c r="BJ65" s="99">
        <v>5</v>
      </c>
      <c r="BK65" s="99">
        <v>5130</v>
      </c>
      <c r="BL65" s="99">
        <v>3</v>
      </c>
      <c r="BM65" s="99">
        <v>3078</v>
      </c>
      <c r="BN65" s="99">
        <v>4</v>
      </c>
      <c r="BO65" s="99">
        <v>4104</v>
      </c>
      <c r="BP65" s="99">
        <v>4</v>
      </c>
      <c r="BQ65" s="99">
        <v>4104</v>
      </c>
      <c r="BR65" s="99">
        <v>3</v>
      </c>
      <c r="BS65" s="99">
        <v>3078</v>
      </c>
      <c r="BT65" s="99">
        <v>5</v>
      </c>
      <c r="BU65" s="99">
        <v>5130</v>
      </c>
      <c r="BV65" s="99">
        <v>3</v>
      </c>
      <c r="BW65" s="99">
        <v>3078</v>
      </c>
      <c r="BX65" s="99">
        <v>3</v>
      </c>
      <c r="BY65" s="99">
        <v>3078</v>
      </c>
      <c r="BZ65" s="99">
        <v>3</v>
      </c>
      <c r="CA65" s="99">
        <v>3078</v>
      </c>
      <c r="CB65" s="99">
        <v>3</v>
      </c>
      <c r="CC65" s="99">
        <v>3078</v>
      </c>
      <c r="CD65" s="99">
        <v>4</v>
      </c>
      <c r="CE65" s="99">
        <v>4104</v>
      </c>
      <c r="CF65" s="99">
        <v>3</v>
      </c>
      <c r="CG65" s="99">
        <v>3078</v>
      </c>
      <c r="CH65" s="99">
        <v>3</v>
      </c>
      <c r="CI65" s="99">
        <v>3078</v>
      </c>
      <c r="CJ65" s="99">
        <v>3</v>
      </c>
      <c r="CK65" s="99">
        <v>3078</v>
      </c>
      <c r="CL65" s="99">
        <v>4</v>
      </c>
      <c r="CM65" s="99">
        <v>4104</v>
      </c>
      <c r="CN65" s="99">
        <v>4</v>
      </c>
      <c r="CO65" s="99">
        <v>4104</v>
      </c>
      <c r="CP65" s="99">
        <v>4</v>
      </c>
      <c r="CQ65" s="99">
        <v>4104</v>
      </c>
      <c r="CR65" s="99">
        <v>4</v>
      </c>
      <c r="CS65" s="99">
        <v>4104</v>
      </c>
      <c r="CT65" s="99">
        <v>3</v>
      </c>
      <c r="CU65" s="99">
        <v>3078</v>
      </c>
    </row>
    <row r="66" spans="2:99">
      <c r="C66" s="98" t="s">
        <v>231</v>
      </c>
      <c r="D66" s="99">
        <v>3</v>
      </c>
      <c r="E66" s="99">
        <v>3571.2</v>
      </c>
      <c r="F66" s="99">
        <v>4</v>
      </c>
      <c r="G66" s="99">
        <v>4761.5999999999995</v>
      </c>
      <c r="H66" s="99">
        <v>4</v>
      </c>
      <c r="I66" s="99">
        <v>4761.5999999999995</v>
      </c>
      <c r="J66" s="99">
        <v>4</v>
      </c>
      <c r="K66" s="99">
        <v>4761.5999999999995</v>
      </c>
      <c r="L66" s="99">
        <v>5</v>
      </c>
      <c r="M66" s="99">
        <v>5951.9999999999991</v>
      </c>
      <c r="N66" s="99">
        <v>4</v>
      </c>
      <c r="O66" s="99">
        <v>4761.5999999999995</v>
      </c>
      <c r="P66" s="99">
        <v>5</v>
      </c>
      <c r="Q66" s="99">
        <v>5951.9999999999991</v>
      </c>
      <c r="R66" s="99">
        <v>4</v>
      </c>
      <c r="S66" s="99">
        <v>4761.5999999999995</v>
      </c>
      <c r="T66" s="99">
        <v>3</v>
      </c>
      <c r="U66" s="99">
        <v>3571.2</v>
      </c>
      <c r="V66" s="99">
        <v>4</v>
      </c>
      <c r="W66" s="99">
        <v>4761.5999999999995</v>
      </c>
      <c r="X66" s="99">
        <v>5</v>
      </c>
      <c r="Y66" s="99">
        <v>5951.9999999999991</v>
      </c>
      <c r="Z66" s="99">
        <v>4</v>
      </c>
      <c r="AA66" s="99">
        <v>4761.5999999999995</v>
      </c>
      <c r="AB66" s="99">
        <v>5</v>
      </c>
      <c r="AC66" s="99">
        <v>5951.9999999999991</v>
      </c>
      <c r="AD66" s="99">
        <v>5</v>
      </c>
      <c r="AE66" s="99">
        <v>5951.9999999999991</v>
      </c>
      <c r="AF66" s="99">
        <v>4</v>
      </c>
      <c r="AG66" s="99">
        <v>4761.5999999999995</v>
      </c>
      <c r="AH66" s="99">
        <v>3</v>
      </c>
      <c r="AI66" s="99">
        <v>3571.2</v>
      </c>
      <c r="AJ66" s="99">
        <v>5</v>
      </c>
      <c r="AK66" s="99">
        <v>5951.9999999999991</v>
      </c>
      <c r="AL66" s="99">
        <v>3</v>
      </c>
      <c r="AM66" s="99">
        <v>3571.2</v>
      </c>
      <c r="AN66" s="99">
        <v>4</v>
      </c>
      <c r="AO66" s="99">
        <v>4761.5999999999995</v>
      </c>
      <c r="AP66" s="99">
        <v>3</v>
      </c>
      <c r="AQ66" s="99">
        <v>3571.2</v>
      </c>
      <c r="AR66" s="99">
        <v>3</v>
      </c>
      <c r="AS66" s="99">
        <v>3571.2</v>
      </c>
      <c r="AT66" s="99">
        <v>4</v>
      </c>
      <c r="AU66" s="99">
        <v>4761.5999999999995</v>
      </c>
      <c r="AV66" s="99">
        <v>4</v>
      </c>
      <c r="AW66" s="99">
        <v>4761.5999999999995</v>
      </c>
      <c r="AX66" s="99">
        <v>3</v>
      </c>
      <c r="AY66" s="99">
        <v>3571.2</v>
      </c>
      <c r="AZ66" s="99">
        <v>4</v>
      </c>
      <c r="BA66" s="99">
        <v>4761.5999999999995</v>
      </c>
      <c r="BB66" s="99">
        <v>3</v>
      </c>
      <c r="BC66" s="99">
        <v>3571.2</v>
      </c>
      <c r="BD66" s="99">
        <v>4</v>
      </c>
      <c r="BE66" s="99">
        <v>4761.5999999999995</v>
      </c>
      <c r="BF66" s="99">
        <v>4</v>
      </c>
      <c r="BG66" s="99">
        <v>4761.5999999999995</v>
      </c>
      <c r="BH66" s="99">
        <v>4</v>
      </c>
      <c r="BI66" s="99">
        <v>4761.5999999999995</v>
      </c>
      <c r="BJ66" s="99">
        <v>5</v>
      </c>
      <c r="BK66" s="99">
        <v>5951.9999999999991</v>
      </c>
      <c r="BL66" s="99">
        <v>3</v>
      </c>
      <c r="BM66" s="99">
        <v>3571.2</v>
      </c>
      <c r="BN66" s="99">
        <v>4</v>
      </c>
      <c r="BO66" s="99">
        <v>4761.5999999999995</v>
      </c>
      <c r="BP66" s="99">
        <v>3</v>
      </c>
      <c r="BQ66" s="99">
        <v>3571.2</v>
      </c>
      <c r="BR66" s="99">
        <v>3</v>
      </c>
      <c r="BS66" s="99">
        <v>3571.2</v>
      </c>
      <c r="BT66" s="99">
        <v>4</v>
      </c>
      <c r="BU66" s="99">
        <v>4761.5999999999995</v>
      </c>
      <c r="BV66" s="99">
        <v>3</v>
      </c>
      <c r="BW66" s="99">
        <v>3571.2</v>
      </c>
      <c r="BX66" s="99">
        <v>3</v>
      </c>
      <c r="BY66" s="99">
        <v>3571.2</v>
      </c>
      <c r="BZ66" s="99">
        <v>3</v>
      </c>
      <c r="CA66" s="99">
        <v>3571.2</v>
      </c>
      <c r="CB66" s="99">
        <v>3</v>
      </c>
      <c r="CC66" s="99">
        <v>3571.2</v>
      </c>
      <c r="CD66" s="99">
        <v>4</v>
      </c>
      <c r="CE66" s="99">
        <v>4761.5999999999995</v>
      </c>
      <c r="CF66" s="99">
        <v>4</v>
      </c>
      <c r="CG66" s="99">
        <v>4761.5999999999995</v>
      </c>
      <c r="CH66" s="99">
        <v>3</v>
      </c>
      <c r="CI66" s="99">
        <v>3571.2</v>
      </c>
      <c r="CJ66" s="99">
        <v>3</v>
      </c>
      <c r="CK66" s="99">
        <v>3571.2</v>
      </c>
      <c r="CL66" s="99">
        <v>5</v>
      </c>
      <c r="CM66" s="99">
        <v>5951.9999999999991</v>
      </c>
      <c r="CN66" s="99">
        <v>4</v>
      </c>
      <c r="CO66" s="99">
        <v>4761.5999999999995</v>
      </c>
      <c r="CP66" s="99">
        <v>4</v>
      </c>
      <c r="CQ66" s="99">
        <v>4761.5999999999995</v>
      </c>
      <c r="CR66" s="99">
        <v>4</v>
      </c>
      <c r="CS66" s="99">
        <v>4761.5999999999995</v>
      </c>
      <c r="CT66" s="99">
        <v>3</v>
      </c>
      <c r="CU66" s="99">
        <v>3571.2</v>
      </c>
    </row>
    <row r="67" spans="2:99">
      <c r="C67" s="98" t="s">
        <v>232</v>
      </c>
      <c r="D67" s="99">
        <v>3</v>
      </c>
      <c r="E67" s="99">
        <v>3369.6000000000004</v>
      </c>
      <c r="F67" s="99">
        <v>4</v>
      </c>
      <c r="G67" s="99">
        <v>4492.8</v>
      </c>
      <c r="H67" s="99">
        <v>4</v>
      </c>
      <c r="I67" s="99">
        <v>4492.8</v>
      </c>
      <c r="J67" s="99">
        <v>4</v>
      </c>
      <c r="K67" s="99">
        <v>4492.8</v>
      </c>
      <c r="L67" s="99">
        <v>4</v>
      </c>
      <c r="M67" s="99">
        <v>4492.8</v>
      </c>
      <c r="N67" s="99">
        <v>3</v>
      </c>
      <c r="O67" s="99">
        <v>3369.6000000000004</v>
      </c>
      <c r="P67" s="99">
        <v>5</v>
      </c>
      <c r="Q67" s="99">
        <v>5616</v>
      </c>
      <c r="R67" s="99">
        <v>4</v>
      </c>
      <c r="S67" s="99">
        <v>4492.8</v>
      </c>
      <c r="T67" s="99">
        <v>3</v>
      </c>
      <c r="U67" s="99">
        <v>3369.6000000000004</v>
      </c>
      <c r="V67" s="99">
        <v>3</v>
      </c>
      <c r="W67" s="99">
        <v>3369.6000000000004</v>
      </c>
      <c r="X67" s="99">
        <v>5</v>
      </c>
      <c r="Y67" s="99">
        <v>5616</v>
      </c>
      <c r="Z67" s="99">
        <v>4</v>
      </c>
      <c r="AA67" s="99">
        <v>4492.8</v>
      </c>
      <c r="AB67" s="99">
        <v>5</v>
      </c>
      <c r="AC67" s="99">
        <v>5616</v>
      </c>
      <c r="AD67" s="99">
        <v>4</v>
      </c>
      <c r="AE67" s="99">
        <v>4492.8</v>
      </c>
      <c r="AF67" s="99">
        <v>4</v>
      </c>
      <c r="AG67" s="99">
        <v>4492.8</v>
      </c>
      <c r="AH67" s="99">
        <v>3</v>
      </c>
      <c r="AI67" s="99">
        <v>3369.6000000000004</v>
      </c>
      <c r="AJ67" s="99">
        <v>4</v>
      </c>
      <c r="AK67" s="99">
        <v>4492.8</v>
      </c>
      <c r="AL67" s="99">
        <v>3</v>
      </c>
      <c r="AM67" s="99">
        <v>3369.6000000000004</v>
      </c>
      <c r="AN67" s="99">
        <v>5</v>
      </c>
      <c r="AO67" s="99">
        <v>5616</v>
      </c>
      <c r="AP67" s="99">
        <v>3</v>
      </c>
      <c r="AQ67" s="99">
        <v>3369.6000000000004</v>
      </c>
      <c r="AR67" s="99">
        <v>3</v>
      </c>
      <c r="AS67" s="99">
        <v>3369.6000000000004</v>
      </c>
      <c r="AT67" s="99">
        <v>4</v>
      </c>
      <c r="AU67" s="99">
        <v>4492.8</v>
      </c>
      <c r="AV67" s="99">
        <v>4</v>
      </c>
      <c r="AW67" s="99">
        <v>4492.8</v>
      </c>
      <c r="AX67" s="99">
        <v>3</v>
      </c>
      <c r="AY67" s="99">
        <v>3369.6000000000004</v>
      </c>
      <c r="AZ67" s="99">
        <v>4</v>
      </c>
      <c r="BA67" s="99">
        <v>4492.8</v>
      </c>
      <c r="BB67" s="99">
        <v>3</v>
      </c>
      <c r="BC67" s="99">
        <v>3369.6000000000004</v>
      </c>
      <c r="BD67" s="99">
        <v>4</v>
      </c>
      <c r="BE67" s="99">
        <v>4492.8</v>
      </c>
      <c r="BF67" s="99">
        <v>4</v>
      </c>
      <c r="BG67" s="99">
        <v>4492.8</v>
      </c>
      <c r="BH67" s="99">
        <v>4</v>
      </c>
      <c r="BI67" s="99">
        <v>4492.8</v>
      </c>
      <c r="BJ67" s="99">
        <v>5</v>
      </c>
      <c r="BK67" s="99">
        <v>5616</v>
      </c>
      <c r="BL67" s="99">
        <v>3</v>
      </c>
      <c r="BM67" s="99">
        <v>3369.6000000000004</v>
      </c>
      <c r="BN67" s="99">
        <v>4</v>
      </c>
      <c r="BO67" s="99">
        <v>4492.8</v>
      </c>
      <c r="BP67" s="99">
        <v>4</v>
      </c>
      <c r="BQ67" s="99">
        <v>4492.8</v>
      </c>
      <c r="BR67" s="99">
        <v>3</v>
      </c>
      <c r="BS67" s="99">
        <v>3369.6000000000004</v>
      </c>
      <c r="BT67" s="99">
        <v>4</v>
      </c>
      <c r="BU67" s="99">
        <v>4492.8</v>
      </c>
      <c r="BV67" s="99">
        <v>3</v>
      </c>
      <c r="BW67" s="99">
        <v>3369.6000000000004</v>
      </c>
      <c r="BX67" s="99">
        <v>3</v>
      </c>
      <c r="BY67" s="99">
        <v>3369.6000000000004</v>
      </c>
      <c r="BZ67" s="99">
        <v>3</v>
      </c>
      <c r="CA67" s="99">
        <v>3369.6000000000004</v>
      </c>
      <c r="CB67" s="99">
        <v>3</v>
      </c>
      <c r="CC67" s="99">
        <v>3369.6000000000004</v>
      </c>
      <c r="CD67" s="99">
        <v>5</v>
      </c>
      <c r="CE67" s="99">
        <v>5616</v>
      </c>
      <c r="CF67" s="99">
        <v>3</v>
      </c>
      <c r="CG67" s="99">
        <v>3369.6000000000004</v>
      </c>
      <c r="CH67" s="99">
        <v>3</v>
      </c>
      <c r="CI67" s="99">
        <v>3369.6000000000004</v>
      </c>
      <c r="CJ67" s="99">
        <v>3</v>
      </c>
      <c r="CK67" s="99">
        <v>3369.6000000000004</v>
      </c>
      <c r="CL67" s="99">
        <v>5</v>
      </c>
      <c r="CM67" s="99">
        <v>5616</v>
      </c>
      <c r="CN67" s="99">
        <v>4</v>
      </c>
      <c r="CO67" s="99">
        <v>4492.8</v>
      </c>
      <c r="CP67" s="99">
        <v>4</v>
      </c>
      <c r="CQ67" s="99">
        <v>4492.8</v>
      </c>
      <c r="CR67" s="99">
        <v>4</v>
      </c>
      <c r="CS67" s="99">
        <v>4492.8</v>
      </c>
      <c r="CT67" s="99">
        <v>2</v>
      </c>
      <c r="CU67" s="99">
        <v>2246.4</v>
      </c>
    </row>
    <row r="68" spans="2:99">
      <c r="C68" s="98" t="s">
        <v>233</v>
      </c>
      <c r="D68" s="99">
        <v>3</v>
      </c>
      <c r="E68" s="99">
        <v>3099.6000000000004</v>
      </c>
      <c r="F68" s="99">
        <v>3</v>
      </c>
      <c r="G68" s="99">
        <v>3099.6000000000004</v>
      </c>
      <c r="H68" s="99">
        <v>4</v>
      </c>
      <c r="I68" s="99">
        <v>4132.8</v>
      </c>
      <c r="J68" s="99">
        <v>4</v>
      </c>
      <c r="K68" s="99">
        <v>4132.8</v>
      </c>
      <c r="L68" s="99">
        <v>4</v>
      </c>
      <c r="M68" s="99">
        <v>4132.8</v>
      </c>
      <c r="N68" s="99">
        <v>4</v>
      </c>
      <c r="O68" s="99">
        <v>4132.8</v>
      </c>
      <c r="P68" s="99">
        <v>5</v>
      </c>
      <c r="Q68" s="99">
        <v>5166</v>
      </c>
      <c r="R68" s="99">
        <v>4</v>
      </c>
      <c r="S68" s="99">
        <v>4132.8</v>
      </c>
      <c r="T68" s="99">
        <v>3</v>
      </c>
      <c r="U68" s="99">
        <v>3099.6000000000004</v>
      </c>
      <c r="V68" s="99">
        <v>4</v>
      </c>
      <c r="W68" s="99">
        <v>4132.8</v>
      </c>
      <c r="X68" s="99">
        <v>4</v>
      </c>
      <c r="Y68" s="99">
        <v>4132.8</v>
      </c>
      <c r="Z68" s="99">
        <v>4</v>
      </c>
      <c r="AA68" s="99">
        <v>4132.8</v>
      </c>
      <c r="AB68" s="99">
        <v>5</v>
      </c>
      <c r="AC68" s="99">
        <v>5166</v>
      </c>
      <c r="AD68" s="99">
        <v>5</v>
      </c>
      <c r="AE68" s="99">
        <v>5166</v>
      </c>
      <c r="AF68" s="99">
        <v>4</v>
      </c>
      <c r="AG68" s="99">
        <v>4132.8</v>
      </c>
      <c r="AH68" s="99">
        <v>3</v>
      </c>
      <c r="AI68" s="99">
        <v>3099.6000000000004</v>
      </c>
      <c r="AJ68" s="99">
        <v>5</v>
      </c>
      <c r="AK68" s="99">
        <v>5166</v>
      </c>
      <c r="AL68" s="99">
        <v>3</v>
      </c>
      <c r="AM68" s="99">
        <v>3099.6000000000004</v>
      </c>
      <c r="AN68" s="99">
        <v>4</v>
      </c>
      <c r="AO68" s="99">
        <v>4132.8</v>
      </c>
      <c r="AP68" s="99">
        <v>3</v>
      </c>
      <c r="AQ68" s="99">
        <v>3099.6000000000004</v>
      </c>
      <c r="AR68" s="99">
        <v>3</v>
      </c>
      <c r="AS68" s="99">
        <v>3099.6000000000004</v>
      </c>
      <c r="AT68" s="99">
        <v>4</v>
      </c>
      <c r="AU68" s="99">
        <v>4132.8</v>
      </c>
      <c r="AV68" s="99">
        <v>4</v>
      </c>
      <c r="AW68" s="99">
        <v>4132.8</v>
      </c>
      <c r="AX68" s="99">
        <v>3</v>
      </c>
      <c r="AY68" s="99">
        <v>3099.6000000000004</v>
      </c>
      <c r="AZ68" s="99">
        <v>4</v>
      </c>
      <c r="BA68" s="99">
        <v>4132.8</v>
      </c>
      <c r="BB68" s="99">
        <v>3</v>
      </c>
      <c r="BC68" s="99">
        <v>3099.6000000000004</v>
      </c>
      <c r="BD68" s="99">
        <v>4</v>
      </c>
      <c r="BE68" s="99">
        <v>4132.8</v>
      </c>
      <c r="BF68" s="99">
        <v>4</v>
      </c>
      <c r="BG68" s="99">
        <v>4132.8</v>
      </c>
      <c r="BH68" s="99">
        <v>4</v>
      </c>
      <c r="BI68" s="99">
        <v>4132.8</v>
      </c>
      <c r="BJ68" s="99">
        <v>5</v>
      </c>
      <c r="BK68" s="99">
        <v>5166</v>
      </c>
      <c r="BL68" s="99">
        <v>3</v>
      </c>
      <c r="BM68" s="99">
        <v>3099.6000000000004</v>
      </c>
      <c r="BN68" s="99">
        <v>3</v>
      </c>
      <c r="BO68" s="99">
        <v>3099.6000000000004</v>
      </c>
      <c r="BP68" s="99">
        <v>4</v>
      </c>
      <c r="BQ68" s="99">
        <v>4132.8</v>
      </c>
      <c r="BR68" s="99">
        <v>3</v>
      </c>
      <c r="BS68" s="99">
        <v>3099.6000000000004</v>
      </c>
      <c r="BT68" s="99">
        <v>5</v>
      </c>
      <c r="BU68" s="99">
        <v>5166</v>
      </c>
      <c r="BV68" s="99">
        <v>3</v>
      </c>
      <c r="BW68" s="99">
        <v>3099.6000000000004</v>
      </c>
      <c r="BX68" s="99">
        <v>3</v>
      </c>
      <c r="BY68" s="99">
        <v>3099.6000000000004</v>
      </c>
      <c r="BZ68" s="99">
        <v>3</v>
      </c>
      <c r="CA68" s="99">
        <v>3099.6000000000004</v>
      </c>
      <c r="CB68" s="99">
        <v>3</v>
      </c>
      <c r="CC68" s="99">
        <v>3099.6000000000004</v>
      </c>
      <c r="CD68" s="99">
        <v>4</v>
      </c>
      <c r="CE68" s="99">
        <v>4132.8</v>
      </c>
      <c r="CF68" s="99">
        <v>3</v>
      </c>
      <c r="CG68" s="99">
        <v>3099.6000000000004</v>
      </c>
      <c r="CH68" s="99">
        <v>4</v>
      </c>
      <c r="CI68" s="99">
        <v>4132.8</v>
      </c>
      <c r="CJ68" s="99">
        <v>3</v>
      </c>
      <c r="CK68" s="99">
        <v>3099.6000000000004</v>
      </c>
      <c r="CL68" s="99">
        <v>5</v>
      </c>
      <c r="CM68" s="99">
        <v>5166</v>
      </c>
      <c r="CN68" s="99">
        <v>4</v>
      </c>
      <c r="CO68" s="99">
        <v>4132.8</v>
      </c>
      <c r="CP68" s="99">
        <v>5</v>
      </c>
      <c r="CQ68" s="99">
        <v>5166</v>
      </c>
      <c r="CR68" s="99">
        <v>5</v>
      </c>
      <c r="CS68" s="99">
        <v>5166</v>
      </c>
      <c r="CT68" s="99">
        <v>3</v>
      </c>
      <c r="CU68" s="99">
        <v>3099.6000000000004</v>
      </c>
    </row>
    <row r="69" spans="2:99">
      <c r="C69" s="98" t="s">
        <v>234</v>
      </c>
      <c r="D69" s="99">
        <v>3</v>
      </c>
      <c r="E69" s="99">
        <v>2275.1999999999998</v>
      </c>
      <c r="F69" s="99">
        <v>4</v>
      </c>
      <c r="G69" s="99">
        <v>3033.6</v>
      </c>
      <c r="H69" s="99">
        <v>4</v>
      </c>
      <c r="I69" s="99">
        <v>3033.6</v>
      </c>
      <c r="J69" s="99">
        <v>5</v>
      </c>
      <c r="K69" s="99">
        <v>3792</v>
      </c>
      <c r="L69" s="99">
        <v>5</v>
      </c>
      <c r="M69" s="99">
        <v>3792</v>
      </c>
      <c r="N69" s="99">
        <v>4</v>
      </c>
      <c r="O69" s="99">
        <v>3033.6</v>
      </c>
      <c r="P69" s="99">
        <v>6</v>
      </c>
      <c r="Q69" s="99">
        <v>4550.3999999999996</v>
      </c>
      <c r="R69" s="99">
        <v>5</v>
      </c>
      <c r="S69" s="99">
        <v>3792</v>
      </c>
      <c r="T69" s="99">
        <v>3</v>
      </c>
      <c r="U69" s="99">
        <v>2275.1999999999998</v>
      </c>
      <c r="V69" s="99">
        <v>4</v>
      </c>
      <c r="W69" s="99">
        <v>3033.6</v>
      </c>
      <c r="X69" s="99">
        <v>5</v>
      </c>
      <c r="Y69" s="99">
        <v>3792</v>
      </c>
      <c r="Z69" s="99">
        <v>4</v>
      </c>
      <c r="AA69" s="99">
        <v>3033.6</v>
      </c>
      <c r="AB69" s="99">
        <v>4</v>
      </c>
      <c r="AC69" s="99">
        <v>3033.6</v>
      </c>
      <c r="AD69" s="99">
        <v>5</v>
      </c>
      <c r="AE69" s="99">
        <v>3792</v>
      </c>
      <c r="AF69" s="99">
        <v>3</v>
      </c>
      <c r="AG69" s="99">
        <v>2275.1999999999998</v>
      </c>
      <c r="AH69" s="99">
        <v>3</v>
      </c>
      <c r="AI69" s="99">
        <v>2275.1999999999998</v>
      </c>
      <c r="AJ69" s="99">
        <v>5</v>
      </c>
      <c r="AK69" s="99">
        <v>3792</v>
      </c>
      <c r="AL69" s="99">
        <v>3</v>
      </c>
      <c r="AM69" s="99">
        <v>2275.1999999999998</v>
      </c>
      <c r="AN69" s="99">
        <v>5</v>
      </c>
      <c r="AO69" s="99">
        <v>3792</v>
      </c>
      <c r="AP69" s="99">
        <v>4</v>
      </c>
      <c r="AQ69" s="99">
        <v>3033.6</v>
      </c>
      <c r="AR69" s="99">
        <v>3</v>
      </c>
      <c r="AS69" s="99">
        <v>2275.1999999999998</v>
      </c>
      <c r="AT69" s="99">
        <v>4</v>
      </c>
      <c r="AU69" s="99">
        <v>3033.6</v>
      </c>
      <c r="AV69" s="99">
        <v>4</v>
      </c>
      <c r="AW69" s="99">
        <v>3033.6</v>
      </c>
      <c r="AX69" s="99">
        <v>3</v>
      </c>
      <c r="AY69" s="99">
        <v>2275.1999999999998</v>
      </c>
      <c r="AZ69" s="99">
        <v>4</v>
      </c>
      <c r="BA69" s="99">
        <v>3033.6</v>
      </c>
      <c r="BB69" s="99">
        <v>3</v>
      </c>
      <c r="BC69" s="99">
        <v>2275.1999999999998</v>
      </c>
      <c r="BD69" s="99">
        <v>4</v>
      </c>
      <c r="BE69" s="99">
        <v>3033.6</v>
      </c>
      <c r="BF69" s="99">
        <v>4</v>
      </c>
      <c r="BG69" s="99">
        <v>3033.6</v>
      </c>
      <c r="BH69" s="99">
        <v>4</v>
      </c>
      <c r="BI69" s="99">
        <v>3033.6</v>
      </c>
      <c r="BJ69" s="99">
        <v>5</v>
      </c>
      <c r="BK69" s="99">
        <v>3792</v>
      </c>
      <c r="BL69" s="99">
        <v>3</v>
      </c>
      <c r="BM69" s="99">
        <v>2275.1999999999998</v>
      </c>
      <c r="BN69" s="99">
        <v>4</v>
      </c>
      <c r="BO69" s="99">
        <v>3033.6</v>
      </c>
      <c r="BP69" s="99">
        <v>4</v>
      </c>
      <c r="BQ69" s="99">
        <v>3033.6</v>
      </c>
      <c r="BR69" s="99">
        <v>3</v>
      </c>
      <c r="BS69" s="99">
        <v>2275.1999999999998</v>
      </c>
      <c r="BT69" s="99">
        <v>5</v>
      </c>
      <c r="BU69" s="99">
        <v>3792</v>
      </c>
      <c r="BV69" s="99">
        <v>3</v>
      </c>
      <c r="BW69" s="99">
        <v>2275.1999999999998</v>
      </c>
      <c r="BX69" s="99">
        <v>3</v>
      </c>
      <c r="BY69" s="99">
        <v>2275.1999999999998</v>
      </c>
      <c r="BZ69" s="99">
        <v>3</v>
      </c>
      <c r="CA69" s="99">
        <v>2275.1999999999998</v>
      </c>
      <c r="CB69" s="99">
        <v>3</v>
      </c>
      <c r="CC69" s="99">
        <v>2275.1999999999998</v>
      </c>
      <c r="CD69" s="99">
        <v>5</v>
      </c>
      <c r="CE69" s="99">
        <v>3792</v>
      </c>
      <c r="CF69" s="99">
        <v>3</v>
      </c>
      <c r="CG69" s="99">
        <v>2275.1999999999998</v>
      </c>
      <c r="CH69" s="99">
        <v>4</v>
      </c>
      <c r="CI69" s="99">
        <v>3033.6</v>
      </c>
      <c r="CJ69" s="99">
        <v>3</v>
      </c>
      <c r="CK69" s="99">
        <v>2275.1999999999998</v>
      </c>
      <c r="CL69" s="99">
        <v>5</v>
      </c>
      <c r="CM69" s="99">
        <v>3792</v>
      </c>
      <c r="CN69" s="99">
        <v>4</v>
      </c>
      <c r="CO69" s="99">
        <v>3033.6</v>
      </c>
      <c r="CP69" s="99">
        <v>5</v>
      </c>
      <c r="CQ69" s="99">
        <v>3792</v>
      </c>
      <c r="CR69" s="99">
        <v>5</v>
      </c>
      <c r="CS69" s="99">
        <v>3792</v>
      </c>
      <c r="CT69" s="99">
        <v>3</v>
      </c>
      <c r="CU69" s="99">
        <v>2275.1999999999998</v>
      </c>
    </row>
    <row r="70" spans="2:99">
      <c r="C70" s="98" t="s">
        <v>235</v>
      </c>
      <c r="D70" s="99">
        <v>3</v>
      </c>
      <c r="E70" s="99">
        <v>1605.6</v>
      </c>
      <c r="F70" s="99">
        <v>4</v>
      </c>
      <c r="G70" s="99">
        <v>2140.7999999999997</v>
      </c>
      <c r="H70" s="99">
        <v>4</v>
      </c>
      <c r="I70" s="99">
        <v>2140.7999999999997</v>
      </c>
      <c r="J70" s="99">
        <v>4</v>
      </c>
      <c r="K70" s="99">
        <v>2140.7999999999997</v>
      </c>
      <c r="L70" s="99">
        <v>4</v>
      </c>
      <c r="M70" s="99">
        <v>2140.7999999999997</v>
      </c>
      <c r="N70" s="99">
        <v>4</v>
      </c>
      <c r="O70" s="99">
        <v>2140.7999999999997</v>
      </c>
      <c r="P70" s="99">
        <v>5</v>
      </c>
      <c r="Q70" s="99">
        <v>2675.9999999999995</v>
      </c>
      <c r="R70" s="99">
        <v>4</v>
      </c>
      <c r="S70" s="99">
        <v>2140.7999999999997</v>
      </c>
      <c r="T70" s="99">
        <v>3</v>
      </c>
      <c r="U70" s="99">
        <v>1605.6</v>
      </c>
      <c r="V70" s="99">
        <v>4</v>
      </c>
      <c r="W70" s="99">
        <v>2140.7999999999997</v>
      </c>
      <c r="X70" s="99">
        <v>5</v>
      </c>
      <c r="Y70" s="99">
        <v>2675.9999999999995</v>
      </c>
      <c r="Z70" s="99">
        <v>4</v>
      </c>
      <c r="AA70" s="99">
        <v>2140.7999999999997</v>
      </c>
      <c r="AB70" s="99">
        <v>5</v>
      </c>
      <c r="AC70" s="99">
        <v>2675.9999999999995</v>
      </c>
      <c r="AD70" s="99">
        <v>5</v>
      </c>
      <c r="AE70" s="99">
        <v>2675.9999999999995</v>
      </c>
      <c r="AF70" s="99">
        <v>4</v>
      </c>
      <c r="AG70" s="99">
        <v>2140.7999999999997</v>
      </c>
      <c r="AH70" s="99">
        <v>3</v>
      </c>
      <c r="AI70" s="99">
        <v>1605.6</v>
      </c>
      <c r="AJ70" s="99">
        <v>5</v>
      </c>
      <c r="AK70" s="99">
        <v>2675.9999999999995</v>
      </c>
      <c r="AL70" s="99">
        <v>3</v>
      </c>
      <c r="AM70" s="99">
        <v>1605.6</v>
      </c>
      <c r="AN70" s="99">
        <v>4</v>
      </c>
      <c r="AO70" s="99">
        <v>2140.7999999999997</v>
      </c>
      <c r="AP70" s="99">
        <v>3</v>
      </c>
      <c r="AQ70" s="99">
        <v>1605.6</v>
      </c>
      <c r="AR70" s="99">
        <v>3</v>
      </c>
      <c r="AS70" s="99">
        <v>1605.6</v>
      </c>
      <c r="AT70" s="99">
        <v>4</v>
      </c>
      <c r="AU70" s="99">
        <v>2140.7999999999997</v>
      </c>
      <c r="AV70" s="99">
        <v>4</v>
      </c>
      <c r="AW70" s="99">
        <v>2140.7999999999997</v>
      </c>
      <c r="AX70" s="99">
        <v>3</v>
      </c>
      <c r="AY70" s="99">
        <v>1605.6</v>
      </c>
      <c r="AZ70" s="99">
        <v>4</v>
      </c>
      <c r="BA70" s="99">
        <v>2140.7999999999997</v>
      </c>
      <c r="BB70" s="99">
        <v>4</v>
      </c>
      <c r="BC70" s="99">
        <v>2140.7999999999997</v>
      </c>
      <c r="BD70" s="99">
        <v>4</v>
      </c>
      <c r="BE70" s="99">
        <v>2140.7999999999997</v>
      </c>
      <c r="BF70" s="99">
        <v>4</v>
      </c>
      <c r="BG70" s="99">
        <v>2140.7999999999997</v>
      </c>
      <c r="BH70" s="99">
        <v>4</v>
      </c>
      <c r="BI70" s="99">
        <v>2140.7999999999997</v>
      </c>
      <c r="BJ70" s="99">
        <v>5</v>
      </c>
      <c r="BK70" s="99">
        <v>2675.9999999999995</v>
      </c>
      <c r="BL70" s="99">
        <v>3</v>
      </c>
      <c r="BM70" s="99">
        <v>1605.6</v>
      </c>
      <c r="BN70" s="99">
        <v>3</v>
      </c>
      <c r="BO70" s="99">
        <v>1605.6</v>
      </c>
      <c r="BP70" s="99">
        <v>4</v>
      </c>
      <c r="BQ70" s="99">
        <v>2140.7999999999997</v>
      </c>
      <c r="BR70" s="99">
        <v>3</v>
      </c>
      <c r="BS70" s="99">
        <v>1605.6</v>
      </c>
      <c r="BT70" s="99">
        <v>5</v>
      </c>
      <c r="BU70" s="99">
        <v>2675.9999999999995</v>
      </c>
      <c r="BV70" s="99">
        <v>3</v>
      </c>
      <c r="BW70" s="99">
        <v>1605.6</v>
      </c>
      <c r="BX70" s="99">
        <v>3</v>
      </c>
      <c r="BY70" s="99">
        <v>1605.6</v>
      </c>
      <c r="BZ70" s="99">
        <v>3</v>
      </c>
      <c r="CA70" s="99">
        <v>1605.6</v>
      </c>
      <c r="CB70" s="99">
        <v>4</v>
      </c>
      <c r="CC70" s="99">
        <v>2140.7999999999997</v>
      </c>
      <c r="CD70" s="99">
        <v>5</v>
      </c>
      <c r="CE70" s="99">
        <v>2675.9999999999995</v>
      </c>
      <c r="CF70" s="99">
        <v>4</v>
      </c>
      <c r="CG70" s="99">
        <v>2140.7999999999997</v>
      </c>
      <c r="CH70" s="99">
        <v>3</v>
      </c>
      <c r="CI70" s="99">
        <v>1605.6</v>
      </c>
      <c r="CJ70" s="99">
        <v>3</v>
      </c>
      <c r="CK70" s="99">
        <v>1605.6</v>
      </c>
      <c r="CL70" s="99">
        <v>5</v>
      </c>
      <c r="CM70" s="99">
        <v>2675.9999999999995</v>
      </c>
      <c r="CN70" s="99">
        <v>4</v>
      </c>
      <c r="CO70" s="99">
        <v>2140.7999999999997</v>
      </c>
      <c r="CP70" s="99">
        <v>5</v>
      </c>
      <c r="CQ70" s="99">
        <v>2675.9999999999995</v>
      </c>
      <c r="CR70" s="99">
        <v>5</v>
      </c>
      <c r="CS70" s="99">
        <v>2675.9999999999995</v>
      </c>
      <c r="CT70" s="99">
        <v>3</v>
      </c>
      <c r="CU70" s="99">
        <v>1605.6</v>
      </c>
    </row>
    <row r="71" spans="2:99">
      <c r="B71" s="98" t="s">
        <v>130</v>
      </c>
      <c r="C71" s="98" t="s">
        <v>236</v>
      </c>
      <c r="D71" s="99">
        <v>15</v>
      </c>
      <c r="E71" s="99">
        <v>8460</v>
      </c>
      <c r="F71" s="99">
        <v>15</v>
      </c>
      <c r="G71" s="99">
        <v>8460</v>
      </c>
      <c r="H71" s="99">
        <v>9</v>
      </c>
      <c r="I71" s="99">
        <v>5076</v>
      </c>
      <c r="J71" s="99">
        <v>8</v>
      </c>
      <c r="K71" s="99">
        <v>4512</v>
      </c>
      <c r="L71" s="99">
        <v>10</v>
      </c>
      <c r="M71" s="99">
        <v>5640</v>
      </c>
      <c r="N71" s="99">
        <v>14</v>
      </c>
      <c r="O71" s="99">
        <v>7896</v>
      </c>
      <c r="P71" s="99">
        <v>9</v>
      </c>
      <c r="Q71" s="99">
        <v>5076</v>
      </c>
      <c r="R71" s="99">
        <v>13</v>
      </c>
      <c r="S71" s="99">
        <v>7332</v>
      </c>
      <c r="T71" s="99">
        <v>15</v>
      </c>
      <c r="U71" s="99">
        <v>8460</v>
      </c>
      <c r="V71" s="99">
        <v>15</v>
      </c>
      <c r="W71" s="99">
        <v>8460</v>
      </c>
      <c r="X71" s="99">
        <v>9</v>
      </c>
      <c r="Y71" s="99">
        <v>5076</v>
      </c>
      <c r="Z71" s="99">
        <v>12</v>
      </c>
      <c r="AA71" s="99">
        <v>6768</v>
      </c>
      <c r="AB71" s="99">
        <v>13</v>
      </c>
      <c r="AC71" s="99">
        <v>7332</v>
      </c>
      <c r="AD71" s="99">
        <v>12</v>
      </c>
      <c r="AE71" s="99">
        <v>6768</v>
      </c>
      <c r="AF71" s="99">
        <v>13</v>
      </c>
      <c r="AG71" s="99">
        <v>7332</v>
      </c>
      <c r="AH71" s="99">
        <v>14</v>
      </c>
      <c r="AI71" s="99">
        <v>7896</v>
      </c>
      <c r="AJ71" s="99">
        <v>11</v>
      </c>
      <c r="AK71" s="99">
        <v>6204</v>
      </c>
      <c r="AL71" s="99">
        <v>10</v>
      </c>
      <c r="AM71" s="99">
        <v>5640</v>
      </c>
      <c r="AN71" s="99">
        <v>15</v>
      </c>
      <c r="AO71" s="99">
        <v>8460</v>
      </c>
      <c r="AP71" s="99">
        <v>8</v>
      </c>
      <c r="AQ71" s="99">
        <v>4512</v>
      </c>
      <c r="AR71" s="99">
        <v>17</v>
      </c>
      <c r="AS71" s="99">
        <v>9588</v>
      </c>
      <c r="AT71" s="99">
        <v>13</v>
      </c>
      <c r="AU71" s="99">
        <v>7332</v>
      </c>
      <c r="AV71" s="99">
        <v>15</v>
      </c>
      <c r="AW71" s="99">
        <v>8460</v>
      </c>
      <c r="AX71" s="99">
        <v>9</v>
      </c>
      <c r="AY71" s="99">
        <v>5076</v>
      </c>
      <c r="AZ71" s="99">
        <v>13</v>
      </c>
      <c r="BA71" s="99">
        <v>7332</v>
      </c>
      <c r="BB71" s="99">
        <v>10</v>
      </c>
      <c r="BC71" s="99">
        <v>5640</v>
      </c>
      <c r="BD71" s="99">
        <v>8</v>
      </c>
      <c r="BE71" s="99">
        <v>4512</v>
      </c>
      <c r="BF71" s="99">
        <v>15</v>
      </c>
      <c r="BG71" s="99">
        <v>8460</v>
      </c>
      <c r="BH71" s="99">
        <v>12</v>
      </c>
      <c r="BI71" s="99">
        <v>6768</v>
      </c>
      <c r="BJ71" s="99">
        <v>11</v>
      </c>
      <c r="BK71" s="99">
        <v>6204</v>
      </c>
      <c r="BL71" s="99">
        <v>13</v>
      </c>
      <c r="BM71" s="99">
        <v>7332</v>
      </c>
      <c r="BN71" s="99">
        <v>9</v>
      </c>
      <c r="BO71" s="99">
        <v>5076</v>
      </c>
      <c r="BP71" s="99">
        <v>14</v>
      </c>
      <c r="BQ71" s="99">
        <v>7896</v>
      </c>
      <c r="BR71" s="99">
        <v>11</v>
      </c>
      <c r="BS71" s="99">
        <v>6204</v>
      </c>
      <c r="BT71" s="99">
        <v>13</v>
      </c>
      <c r="BU71" s="99">
        <v>7332</v>
      </c>
      <c r="BV71" s="99">
        <v>15</v>
      </c>
      <c r="BW71" s="99">
        <v>8460</v>
      </c>
      <c r="BX71" s="99">
        <v>14</v>
      </c>
      <c r="BY71" s="99">
        <v>7896</v>
      </c>
      <c r="BZ71" s="99">
        <v>11</v>
      </c>
      <c r="CA71" s="99">
        <v>6204</v>
      </c>
      <c r="CB71" s="99">
        <v>13</v>
      </c>
      <c r="CC71" s="99">
        <v>7332</v>
      </c>
      <c r="CD71" s="99">
        <v>13</v>
      </c>
      <c r="CE71" s="99">
        <v>7332</v>
      </c>
      <c r="CF71" s="99">
        <v>15</v>
      </c>
      <c r="CG71" s="99">
        <v>8460</v>
      </c>
      <c r="CH71" s="99">
        <v>15</v>
      </c>
      <c r="CI71" s="99">
        <v>8460</v>
      </c>
      <c r="CJ71" s="99">
        <v>10</v>
      </c>
      <c r="CK71" s="99">
        <v>5640</v>
      </c>
      <c r="CL71" s="99">
        <v>14</v>
      </c>
      <c r="CM71" s="99">
        <v>7896</v>
      </c>
      <c r="CN71" s="99">
        <v>12</v>
      </c>
      <c r="CO71" s="99">
        <v>6768</v>
      </c>
      <c r="CP71" s="99">
        <v>13</v>
      </c>
      <c r="CQ71" s="99">
        <v>7332</v>
      </c>
      <c r="CR71" s="99">
        <v>11</v>
      </c>
      <c r="CS71" s="99">
        <v>6204</v>
      </c>
      <c r="CT71" s="99">
        <v>11</v>
      </c>
      <c r="CU71" s="99">
        <v>6204</v>
      </c>
    </row>
    <row r="72" spans="2:99">
      <c r="C72" s="98" t="s">
        <v>237</v>
      </c>
      <c r="D72" s="99">
        <v>13</v>
      </c>
      <c r="E72" s="99">
        <v>967.19999999999993</v>
      </c>
      <c r="F72" s="99">
        <v>14</v>
      </c>
      <c r="G72" s="99">
        <v>1041.5999999999999</v>
      </c>
      <c r="H72" s="99">
        <v>10</v>
      </c>
      <c r="I72" s="99">
        <v>743.99999999999989</v>
      </c>
      <c r="J72" s="99">
        <v>9</v>
      </c>
      <c r="K72" s="99">
        <v>669.59999999999991</v>
      </c>
      <c r="L72" s="99">
        <v>10</v>
      </c>
      <c r="M72" s="99">
        <v>743.99999999999989</v>
      </c>
      <c r="N72" s="99">
        <v>15</v>
      </c>
      <c r="O72" s="99">
        <v>1115.9999999999998</v>
      </c>
      <c r="P72" s="99">
        <v>9</v>
      </c>
      <c r="Q72" s="99">
        <v>669.59999999999991</v>
      </c>
      <c r="R72" s="99">
        <v>14</v>
      </c>
      <c r="S72" s="99">
        <v>1041.5999999999999</v>
      </c>
      <c r="T72" s="99">
        <v>16</v>
      </c>
      <c r="U72" s="99">
        <v>1190.3999999999999</v>
      </c>
      <c r="V72" s="99">
        <v>14</v>
      </c>
      <c r="W72" s="99">
        <v>1041.5999999999999</v>
      </c>
      <c r="X72" s="99">
        <v>9</v>
      </c>
      <c r="Y72" s="99">
        <v>669.59999999999991</v>
      </c>
      <c r="Z72" s="99">
        <v>13</v>
      </c>
      <c r="AA72" s="99">
        <v>967.19999999999993</v>
      </c>
      <c r="AB72" s="99">
        <v>12</v>
      </c>
      <c r="AC72" s="99">
        <v>892.8</v>
      </c>
      <c r="AD72" s="99">
        <v>14</v>
      </c>
      <c r="AE72" s="99">
        <v>1041.5999999999999</v>
      </c>
      <c r="AF72" s="99">
        <v>14</v>
      </c>
      <c r="AG72" s="99">
        <v>1041.5999999999999</v>
      </c>
      <c r="AH72" s="99">
        <v>16</v>
      </c>
      <c r="AI72" s="99">
        <v>1190.3999999999999</v>
      </c>
      <c r="AJ72" s="99">
        <v>14</v>
      </c>
      <c r="AK72" s="99">
        <v>1041.5999999999999</v>
      </c>
      <c r="AL72" s="99">
        <v>11</v>
      </c>
      <c r="AM72" s="99">
        <v>818.39999999999986</v>
      </c>
      <c r="AN72" s="99">
        <v>17</v>
      </c>
      <c r="AO72" s="99">
        <v>1264.8</v>
      </c>
      <c r="AP72" s="99">
        <v>9</v>
      </c>
      <c r="AQ72" s="99">
        <v>669.59999999999991</v>
      </c>
      <c r="AR72" s="99">
        <v>15</v>
      </c>
      <c r="AS72" s="99">
        <v>1115.9999999999998</v>
      </c>
      <c r="AT72" s="99">
        <v>12</v>
      </c>
      <c r="AU72" s="99">
        <v>892.8</v>
      </c>
      <c r="AV72" s="99">
        <v>17</v>
      </c>
      <c r="AW72" s="99">
        <v>1264.8</v>
      </c>
      <c r="AX72" s="99">
        <v>10</v>
      </c>
      <c r="AY72" s="99">
        <v>743.99999999999989</v>
      </c>
      <c r="AZ72" s="99">
        <v>14</v>
      </c>
      <c r="BA72" s="99">
        <v>1041.5999999999999</v>
      </c>
      <c r="BB72" s="99">
        <v>9</v>
      </c>
      <c r="BC72" s="99">
        <v>669.59999999999991</v>
      </c>
      <c r="BD72" s="99">
        <v>9</v>
      </c>
      <c r="BE72" s="99">
        <v>669.59999999999991</v>
      </c>
      <c r="BF72" s="99">
        <v>17</v>
      </c>
      <c r="BG72" s="99">
        <v>1264.8</v>
      </c>
      <c r="BH72" s="99">
        <v>12</v>
      </c>
      <c r="BI72" s="99">
        <v>892.8</v>
      </c>
      <c r="BJ72" s="99">
        <v>12</v>
      </c>
      <c r="BK72" s="99">
        <v>892.8</v>
      </c>
      <c r="BL72" s="99">
        <v>15</v>
      </c>
      <c r="BM72" s="99">
        <v>1115.9999999999998</v>
      </c>
      <c r="BN72" s="99">
        <v>9</v>
      </c>
      <c r="BO72" s="99">
        <v>669.59999999999991</v>
      </c>
      <c r="BP72" s="99">
        <v>12</v>
      </c>
      <c r="BQ72" s="99">
        <v>892.8</v>
      </c>
      <c r="BR72" s="99">
        <v>11</v>
      </c>
      <c r="BS72" s="99">
        <v>818.39999999999986</v>
      </c>
      <c r="BT72" s="99">
        <v>14</v>
      </c>
      <c r="BU72" s="99">
        <v>1041.5999999999999</v>
      </c>
      <c r="BV72" s="99">
        <v>18</v>
      </c>
      <c r="BW72" s="99">
        <v>1339.1999999999998</v>
      </c>
      <c r="BX72" s="99">
        <v>14</v>
      </c>
      <c r="BY72" s="99">
        <v>1041.5999999999999</v>
      </c>
      <c r="BZ72" s="99">
        <v>11</v>
      </c>
      <c r="CA72" s="99">
        <v>818.39999999999986</v>
      </c>
      <c r="CB72" s="99">
        <v>15</v>
      </c>
      <c r="CC72" s="99">
        <v>1115.9999999999998</v>
      </c>
      <c r="CD72" s="99">
        <v>14</v>
      </c>
      <c r="CE72" s="99">
        <v>1041.5999999999999</v>
      </c>
      <c r="CF72" s="99">
        <v>15</v>
      </c>
      <c r="CG72" s="99">
        <v>1115.9999999999998</v>
      </c>
      <c r="CH72" s="99">
        <v>17</v>
      </c>
      <c r="CI72" s="99">
        <v>1264.8</v>
      </c>
      <c r="CJ72" s="99">
        <v>11</v>
      </c>
      <c r="CK72" s="99">
        <v>818.39999999999986</v>
      </c>
      <c r="CL72" s="99">
        <v>16</v>
      </c>
      <c r="CM72" s="99">
        <v>1190.3999999999999</v>
      </c>
      <c r="CN72" s="99">
        <v>13</v>
      </c>
      <c r="CO72" s="99">
        <v>967.19999999999993</v>
      </c>
      <c r="CP72" s="99">
        <v>14</v>
      </c>
      <c r="CQ72" s="99">
        <v>1041.5999999999999</v>
      </c>
      <c r="CR72" s="99">
        <v>10</v>
      </c>
      <c r="CS72" s="99">
        <v>743.99999999999989</v>
      </c>
      <c r="CT72" s="99">
        <v>11</v>
      </c>
      <c r="CU72" s="99">
        <v>818.39999999999986</v>
      </c>
    </row>
    <row r="73" spans="2:99">
      <c r="C73" s="98" t="s">
        <v>238</v>
      </c>
      <c r="D73" s="99">
        <v>13</v>
      </c>
      <c r="E73" s="99">
        <v>7269.5999999999995</v>
      </c>
      <c r="F73" s="99">
        <v>14</v>
      </c>
      <c r="G73" s="99">
        <v>7828.7999999999993</v>
      </c>
      <c r="H73" s="99">
        <v>9</v>
      </c>
      <c r="I73" s="99">
        <v>5032.7999999999993</v>
      </c>
      <c r="J73" s="99">
        <v>8</v>
      </c>
      <c r="K73" s="99">
        <v>4473.5999999999995</v>
      </c>
      <c r="L73" s="99">
        <v>11</v>
      </c>
      <c r="M73" s="99">
        <v>6151.1999999999989</v>
      </c>
      <c r="N73" s="99">
        <v>14</v>
      </c>
      <c r="O73" s="99">
        <v>7828.7999999999993</v>
      </c>
      <c r="P73" s="99">
        <v>8</v>
      </c>
      <c r="Q73" s="99">
        <v>4473.5999999999995</v>
      </c>
      <c r="R73" s="99">
        <v>13</v>
      </c>
      <c r="S73" s="99">
        <v>7269.5999999999995</v>
      </c>
      <c r="T73" s="99">
        <v>17</v>
      </c>
      <c r="U73" s="99">
        <v>9506.4</v>
      </c>
      <c r="V73" s="99">
        <v>15</v>
      </c>
      <c r="W73" s="99">
        <v>8387.9999999999982</v>
      </c>
      <c r="X73" s="99">
        <v>10</v>
      </c>
      <c r="Y73" s="99">
        <v>5591.9999999999991</v>
      </c>
      <c r="Z73" s="99">
        <v>14</v>
      </c>
      <c r="AA73" s="99">
        <v>7828.7999999999993</v>
      </c>
      <c r="AB73" s="99">
        <v>12</v>
      </c>
      <c r="AC73" s="99">
        <v>6710.4</v>
      </c>
      <c r="AD73" s="99">
        <v>12</v>
      </c>
      <c r="AE73" s="99">
        <v>6710.4</v>
      </c>
      <c r="AF73" s="99">
        <v>15</v>
      </c>
      <c r="AG73" s="99">
        <v>8387.9999999999982</v>
      </c>
      <c r="AH73" s="99">
        <v>14</v>
      </c>
      <c r="AI73" s="99">
        <v>7828.7999999999993</v>
      </c>
      <c r="AJ73" s="99">
        <v>13</v>
      </c>
      <c r="AK73" s="99">
        <v>7269.5999999999995</v>
      </c>
      <c r="AL73" s="99">
        <v>10</v>
      </c>
      <c r="AM73" s="99">
        <v>5591.9999999999991</v>
      </c>
      <c r="AN73" s="99">
        <v>15</v>
      </c>
      <c r="AO73" s="99">
        <v>8387.9999999999982</v>
      </c>
      <c r="AP73" s="99">
        <v>9</v>
      </c>
      <c r="AQ73" s="99">
        <v>5032.7999999999993</v>
      </c>
      <c r="AR73" s="99">
        <v>16</v>
      </c>
      <c r="AS73" s="99">
        <v>8947.1999999999989</v>
      </c>
      <c r="AT73" s="99">
        <v>12</v>
      </c>
      <c r="AU73" s="99">
        <v>6710.4</v>
      </c>
      <c r="AV73" s="99">
        <v>14</v>
      </c>
      <c r="AW73" s="99">
        <v>7828.7999999999993</v>
      </c>
      <c r="AX73" s="99">
        <v>8</v>
      </c>
      <c r="AY73" s="99">
        <v>4473.5999999999995</v>
      </c>
      <c r="AZ73" s="99">
        <v>13</v>
      </c>
      <c r="BA73" s="99">
        <v>7269.5999999999995</v>
      </c>
      <c r="BB73" s="99">
        <v>9</v>
      </c>
      <c r="BC73" s="99">
        <v>5032.7999999999993</v>
      </c>
      <c r="BD73" s="99">
        <v>9</v>
      </c>
      <c r="BE73" s="99">
        <v>5032.7999999999993</v>
      </c>
      <c r="BF73" s="99">
        <v>15</v>
      </c>
      <c r="BG73" s="99">
        <v>8387.9999999999982</v>
      </c>
      <c r="BH73" s="99">
        <v>12</v>
      </c>
      <c r="BI73" s="99">
        <v>6710.4</v>
      </c>
      <c r="BJ73" s="99">
        <v>10</v>
      </c>
      <c r="BK73" s="99">
        <v>5591.9999999999991</v>
      </c>
      <c r="BL73" s="99">
        <v>13</v>
      </c>
      <c r="BM73" s="99">
        <v>7269.5999999999995</v>
      </c>
      <c r="BN73" s="99">
        <v>10</v>
      </c>
      <c r="BO73" s="99">
        <v>5591.9999999999991</v>
      </c>
      <c r="BP73" s="99">
        <v>13</v>
      </c>
      <c r="BQ73" s="99">
        <v>7269.5999999999995</v>
      </c>
      <c r="BR73" s="99">
        <v>12</v>
      </c>
      <c r="BS73" s="99">
        <v>6710.4</v>
      </c>
      <c r="BT73" s="99">
        <v>14</v>
      </c>
      <c r="BU73" s="99">
        <v>7828.7999999999993</v>
      </c>
      <c r="BV73" s="99">
        <v>16</v>
      </c>
      <c r="BW73" s="99">
        <v>8947.1999999999989</v>
      </c>
      <c r="BX73" s="99">
        <v>14</v>
      </c>
      <c r="BY73" s="99">
        <v>7828.7999999999993</v>
      </c>
      <c r="BZ73" s="99">
        <v>12</v>
      </c>
      <c r="CA73" s="99">
        <v>6710.4</v>
      </c>
      <c r="CB73" s="99">
        <v>12</v>
      </c>
      <c r="CC73" s="99">
        <v>6710.4</v>
      </c>
      <c r="CD73" s="99">
        <v>12</v>
      </c>
      <c r="CE73" s="99">
        <v>6710.4</v>
      </c>
      <c r="CF73" s="99">
        <v>16</v>
      </c>
      <c r="CG73" s="99">
        <v>8947.1999999999989</v>
      </c>
      <c r="CH73" s="99">
        <v>15</v>
      </c>
      <c r="CI73" s="99">
        <v>8387.9999999999982</v>
      </c>
      <c r="CJ73" s="99">
        <v>10</v>
      </c>
      <c r="CK73" s="99">
        <v>5591.9999999999991</v>
      </c>
      <c r="CL73" s="99">
        <v>13</v>
      </c>
      <c r="CM73" s="99">
        <v>7269.5999999999995</v>
      </c>
      <c r="CN73" s="99">
        <v>12</v>
      </c>
      <c r="CO73" s="99">
        <v>6710.4</v>
      </c>
      <c r="CP73" s="99">
        <v>13</v>
      </c>
      <c r="CQ73" s="99">
        <v>7269.5999999999995</v>
      </c>
      <c r="CR73" s="99">
        <v>10</v>
      </c>
      <c r="CS73" s="99">
        <v>5591.9999999999991</v>
      </c>
      <c r="CT73" s="99">
        <v>11</v>
      </c>
      <c r="CU73" s="99">
        <v>6151.1999999999989</v>
      </c>
    </row>
    <row r="74" spans="2:99">
      <c r="C74" s="98" t="s">
        <v>239</v>
      </c>
      <c r="D74" s="99">
        <v>13</v>
      </c>
      <c r="E74" s="99">
        <v>5241.5999999999995</v>
      </c>
      <c r="F74" s="99">
        <v>15</v>
      </c>
      <c r="G74" s="99">
        <v>6048</v>
      </c>
      <c r="H74" s="99">
        <v>10</v>
      </c>
      <c r="I74" s="99">
        <v>4032</v>
      </c>
      <c r="J74" s="99">
        <v>9</v>
      </c>
      <c r="K74" s="99">
        <v>3628.7999999999997</v>
      </c>
      <c r="L74" s="99">
        <v>11</v>
      </c>
      <c r="M74" s="99">
        <v>4435.2</v>
      </c>
      <c r="N74" s="99">
        <v>13</v>
      </c>
      <c r="O74" s="99">
        <v>5241.5999999999995</v>
      </c>
      <c r="P74" s="99">
        <v>9</v>
      </c>
      <c r="Q74" s="99">
        <v>3628.7999999999997</v>
      </c>
      <c r="R74" s="99">
        <v>12</v>
      </c>
      <c r="S74" s="99">
        <v>4838.3999999999996</v>
      </c>
      <c r="T74" s="99">
        <v>18</v>
      </c>
      <c r="U74" s="99">
        <v>7257.5999999999995</v>
      </c>
      <c r="V74" s="99">
        <v>15</v>
      </c>
      <c r="W74" s="99">
        <v>6048</v>
      </c>
      <c r="X74" s="99">
        <v>10</v>
      </c>
      <c r="Y74" s="99">
        <v>4032</v>
      </c>
      <c r="Z74" s="99">
        <v>13</v>
      </c>
      <c r="AA74" s="99">
        <v>5241.5999999999995</v>
      </c>
      <c r="AB74" s="99">
        <v>13</v>
      </c>
      <c r="AC74" s="99">
        <v>5241.5999999999995</v>
      </c>
      <c r="AD74" s="99">
        <v>12</v>
      </c>
      <c r="AE74" s="99">
        <v>4838.3999999999996</v>
      </c>
      <c r="AF74" s="99">
        <v>15</v>
      </c>
      <c r="AG74" s="99">
        <v>6048</v>
      </c>
      <c r="AH74" s="99">
        <v>16</v>
      </c>
      <c r="AI74" s="99">
        <v>6451.2</v>
      </c>
      <c r="AJ74" s="99">
        <v>13</v>
      </c>
      <c r="AK74" s="99">
        <v>5241.5999999999995</v>
      </c>
      <c r="AL74" s="99">
        <v>12</v>
      </c>
      <c r="AM74" s="99">
        <v>4838.3999999999996</v>
      </c>
      <c r="AN74" s="99">
        <v>15</v>
      </c>
      <c r="AO74" s="99">
        <v>6048</v>
      </c>
      <c r="AP74" s="99">
        <v>9</v>
      </c>
      <c r="AQ74" s="99">
        <v>3628.7999999999997</v>
      </c>
      <c r="AR74" s="99">
        <v>14</v>
      </c>
      <c r="AS74" s="99">
        <v>5644.8</v>
      </c>
      <c r="AT74" s="99">
        <v>13</v>
      </c>
      <c r="AU74" s="99">
        <v>5241.5999999999995</v>
      </c>
      <c r="AV74" s="99">
        <v>15</v>
      </c>
      <c r="AW74" s="99">
        <v>6048</v>
      </c>
      <c r="AX74" s="99">
        <v>9</v>
      </c>
      <c r="AY74" s="99">
        <v>3628.7999999999997</v>
      </c>
      <c r="AZ74" s="99">
        <v>14</v>
      </c>
      <c r="BA74" s="99">
        <v>5644.8</v>
      </c>
      <c r="BB74" s="99">
        <v>9</v>
      </c>
      <c r="BC74" s="99">
        <v>3628.7999999999997</v>
      </c>
      <c r="BD74" s="99">
        <v>8</v>
      </c>
      <c r="BE74" s="99">
        <v>3225.6</v>
      </c>
      <c r="BF74" s="99">
        <v>17</v>
      </c>
      <c r="BG74" s="99">
        <v>6854.4</v>
      </c>
      <c r="BH74" s="99">
        <v>11</v>
      </c>
      <c r="BI74" s="99">
        <v>4435.2</v>
      </c>
      <c r="BJ74" s="99">
        <v>12</v>
      </c>
      <c r="BK74" s="99">
        <v>4838.3999999999996</v>
      </c>
      <c r="BL74" s="99">
        <v>14</v>
      </c>
      <c r="BM74" s="99">
        <v>5644.8</v>
      </c>
      <c r="BN74" s="99">
        <v>11</v>
      </c>
      <c r="BO74" s="99">
        <v>4435.2</v>
      </c>
      <c r="BP74" s="99">
        <v>13</v>
      </c>
      <c r="BQ74" s="99">
        <v>5241.5999999999995</v>
      </c>
      <c r="BR74" s="99">
        <v>11</v>
      </c>
      <c r="BS74" s="99">
        <v>4435.2</v>
      </c>
      <c r="BT74" s="99">
        <v>15</v>
      </c>
      <c r="BU74" s="99">
        <v>6048</v>
      </c>
      <c r="BV74" s="99">
        <v>17</v>
      </c>
      <c r="BW74" s="99">
        <v>6854.4</v>
      </c>
      <c r="BX74" s="99">
        <v>13</v>
      </c>
      <c r="BY74" s="99">
        <v>5241.5999999999995</v>
      </c>
      <c r="BZ74" s="99">
        <v>13</v>
      </c>
      <c r="CA74" s="99">
        <v>5241.5999999999995</v>
      </c>
      <c r="CB74" s="99">
        <v>14</v>
      </c>
      <c r="CC74" s="99">
        <v>5644.8</v>
      </c>
      <c r="CD74" s="99">
        <v>14</v>
      </c>
      <c r="CE74" s="99">
        <v>5644.8</v>
      </c>
      <c r="CF74" s="99">
        <v>16</v>
      </c>
      <c r="CG74" s="99">
        <v>6451.2</v>
      </c>
      <c r="CH74" s="99">
        <v>15</v>
      </c>
      <c r="CI74" s="99">
        <v>6048</v>
      </c>
      <c r="CJ74" s="99">
        <v>11</v>
      </c>
      <c r="CK74" s="99">
        <v>4435.2</v>
      </c>
      <c r="CL74" s="99">
        <v>15</v>
      </c>
      <c r="CM74" s="99">
        <v>6048</v>
      </c>
      <c r="CN74" s="99">
        <v>14</v>
      </c>
      <c r="CO74" s="99">
        <v>5644.8</v>
      </c>
      <c r="CP74" s="99">
        <v>12</v>
      </c>
      <c r="CQ74" s="99">
        <v>4838.3999999999996</v>
      </c>
      <c r="CR74" s="99">
        <v>10</v>
      </c>
      <c r="CS74" s="99">
        <v>4032</v>
      </c>
      <c r="CT74" s="99">
        <v>11</v>
      </c>
      <c r="CU74" s="99">
        <v>4435.2</v>
      </c>
    </row>
    <row r="75" spans="2:99">
      <c r="C75" s="98" t="s">
        <v>240</v>
      </c>
      <c r="D75" s="99">
        <v>12</v>
      </c>
      <c r="E75" s="99">
        <v>7718.4</v>
      </c>
      <c r="F75" s="99">
        <v>14</v>
      </c>
      <c r="G75" s="99">
        <v>9004.7999999999993</v>
      </c>
      <c r="H75" s="99">
        <v>9</v>
      </c>
      <c r="I75" s="99">
        <v>5788.7999999999993</v>
      </c>
      <c r="J75" s="99">
        <v>8</v>
      </c>
      <c r="K75" s="99">
        <v>5145.5999999999995</v>
      </c>
      <c r="L75" s="99">
        <v>10</v>
      </c>
      <c r="M75" s="99">
        <v>6431.9999999999991</v>
      </c>
      <c r="N75" s="99">
        <v>12</v>
      </c>
      <c r="O75" s="99">
        <v>7718.4</v>
      </c>
      <c r="P75" s="99">
        <v>8</v>
      </c>
      <c r="Q75" s="99">
        <v>5145.5999999999995</v>
      </c>
      <c r="R75" s="99">
        <v>11</v>
      </c>
      <c r="S75" s="99">
        <v>7075.1999999999989</v>
      </c>
      <c r="T75" s="99">
        <v>14</v>
      </c>
      <c r="U75" s="99">
        <v>9004.7999999999993</v>
      </c>
      <c r="V75" s="99">
        <v>14</v>
      </c>
      <c r="W75" s="99">
        <v>9004.7999999999993</v>
      </c>
      <c r="X75" s="99">
        <v>10</v>
      </c>
      <c r="Y75" s="99">
        <v>6431.9999999999991</v>
      </c>
      <c r="Z75" s="99">
        <v>12</v>
      </c>
      <c r="AA75" s="99">
        <v>7718.4</v>
      </c>
      <c r="AB75" s="99">
        <v>12</v>
      </c>
      <c r="AC75" s="99">
        <v>7718.4</v>
      </c>
      <c r="AD75" s="99">
        <v>12</v>
      </c>
      <c r="AE75" s="99">
        <v>7718.4</v>
      </c>
      <c r="AF75" s="99">
        <v>12</v>
      </c>
      <c r="AG75" s="99">
        <v>7718.4</v>
      </c>
      <c r="AH75" s="99">
        <v>16</v>
      </c>
      <c r="AI75" s="99">
        <v>10291.199999999999</v>
      </c>
      <c r="AJ75" s="99">
        <v>12</v>
      </c>
      <c r="AK75" s="99">
        <v>7718.4</v>
      </c>
      <c r="AL75" s="99">
        <v>10</v>
      </c>
      <c r="AM75" s="99">
        <v>6431.9999999999991</v>
      </c>
      <c r="AN75" s="99">
        <v>16</v>
      </c>
      <c r="AO75" s="99">
        <v>10291.199999999999</v>
      </c>
      <c r="AP75" s="99">
        <v>8</v>
      </c>
      <c r="AQ75" s="99">
        <v>5145.5999999999995</v>
      </c>
      <c r="AR75" s="99">
        <v>15</v>
      </c>
      <c r="AS75" s="99">
        <v>9647.9999999999982</v>
      </c>
      <c r="AT75" s="99">
        <v>13</v>
      </c>
      <c r="AU75" s="99">
        <v>8361.5999999999985</v>
      </c>
      <c r="AV75" s="99">
        <v>15</v>
      </c>
      <c r="AW75" s="99">
        <v>9647.9999999999982</v>
      </c>
      <c r="AX75" s="99">
        <v>9</v>
      </c>
      <c r="AY75" s="99">
        <v>5788.7999999999993</v>
      </c>
      <c r="AZ75" s="99">
        <v>12</v>
      </c>
      <c r="BA75" s="99">
        <v>7718.4</v>
      </c>
      <c r="BB75" s="99">
        <v>9</v>
      </c>
      <c r="BC75" s="99">
        <v>5788.7999999999993</v>
      </c>
      <c r="BD75" s="99">
        <v>9</v>
      </c>
      <c r="BE75" s="99">
        <v>5788.7999999999993</v>
      </c>
      <c r="BF75" s="99">
        <v>17</v>
      </c>
      <c r="BG75" s="99">
        <v>10934.4</v>
      </c>
      <c r="BH75" s="99">
        <v>11</v>
      </c>
      <c r="BI75" s="99">
        <v>7075.1999999999989</v>
      </c>
      <c r="BJ75" s="99">
        <v>12</v>
      </c>
      <c r="BK75" s="99">
        <v>7718.4</v>
      </c>
      <c r="BL75" s="99">
        <v>12</v>
      </c>
      <c r="BM75" s="99">
        <v>7718.4</v>
      </c>
      <c r="BN75" s="99">
        <v>9</v>
      </c>
      <c r="BO75" s="99">
        <v>5788.7999999999993</v>
      </c>
      <c r="BP75" s="99">
        <v>14</v>
      </c>
      <c r="BQ75" s="99">
        <v>9004.7999999999993</v>
      </c>
      <c r="BR75" s="99">
        <v>11</v>
      </c>
      <c r="BS75" s="99">
        <v>7075.1999999999989</v>
      </c>
      <c r="BT75" s="99">
        <v>13</v>
      </c>
      <c r="BU75" s="99">
        <v>8361.5999999999985</v>
      </c>
      <c r="BV75" s="99">
        <v>17</v>
      </c>
      <c r="BW75" s="99">
        <v>10934.4</v>
      </c>
      <c r="BX75" s="99">
        <v>13</v>
      </c>
      <c r="BY75" s="99">
        <v>8361.5999999999985</v>
      </c>
      <c r="BZ75" s="99">
        <v>12</v>
      </c>
      <c r="CA75" s="99">
        <v>7718.4</v>
      </c>
      <c r="CB75" s="99">
        <v>12</v>
      </c>
      <c r="CC75" s="99">
        <v>7718.4</v>
      </c>
      <c r="CD75" s="99">
        <v>12</v>
      </c>
      <c r="CE75" s="99">
        <v>7718.4</v>
      </c>
      <c r="CF75" s="99">
        <v>16</v>
      </c>
      <c r="CG75" s="99">
        <v>10291.199999999999</v>
      </c>
      <c r="CH75" s="99">
        <v>16</v>
      </c>
      <c r="CI75" s="99">
        <v>10291.199999999999</v>
      </c>
      <c r="CJ75" s="99">
        <v>10</v>
      </c>
      <c r="CK75" s="99">
        <v>6431.9999999999991</v>
      </c>
      <c r="CL75" s="99">
        <v>14</v>
      </c>
      <c r="CM75" s="99">
        <v>9004.7999999999993</v>
      </c>
      <c r="CN75" s="99">
        <v>13</v>
      </c>
      <c r="CO75" s="99">
        <v>8361.5999999999985</v>
      </c>
      <c r="CP75" s="99">
        <v>12</v>
      </c>
      <c r="CQ75" s="99">
        <v>7718.4</v>
      </c>
      <c r="CR75" s="99">
        <v>9</v>
      </c>
      <c r="CS75" s="99">
        <v>5788.7999999999993</v>
      </c>
      <c r="CT75" s="99">
        <v>10</v>
      </c>
      <c r="CU75" s="99">
        <v>6431.9999999999991</v>
      </c>
    </row>
    <row r="76" spans="2:99">
      <c r="C76" s="98" t="s">
        <v>241</v>
      </c>
      <c r="D76" s="99">
        <v>14</v>
      </c>
      <c r="E76" s="99">
        <v>10903.199999999999</v>
      </c>
      <c r="F76" s="99">
        <v>14</v>
      </c>
      <c r="G76" s="99">
        <v>10903.199999999999</v>
      </c>
      <c r="H76" s="99">
        <v>10</v>
      </c>
      <c r="I76" s="99">
        <v>7788</v>
      </c>
      <c r="J76" s="99">
        <v>8</v>
      </c>
      <c r="K76" s="99">
        <v>6230.4</v>
      </c>
      <c r="L76" s="99">
        <v>11</v>
      </c>
      <c r="M76" s="99">
        <v>8566.7999999999993</v>
      </c>
      <c r="N76" s="99">
        <v>13</v>
      </c>
      <c r="O76" s="99">
        <v>10124.4</v>
      </c>
      <c r="P76" s="99">
        <v>9</v>
      </c>
      <c r="Q76" s="99">
        <v>7009.2</v>
      </c>
      <c r="R76" s="99">
        <v>11</v>
      </c>
      <c r="S76" s="99">
        <v>8566.7999999999993</v>
      </c>
      <c r="T76" s="99">
        <v>16</v>
      </c>
      <c r="U76" s="99">
        <v>12460.8</v>
      </c>
      <c r="V76" s="99">
        <v>13</v>
      </c>
      <c r="W76" s="99">
        <v>10124.4</v>
      </c>
      <c r="X76" s="99">
        <v>9</v>
      </c>
      <c r="Y76" s="99">
        <v>7009.2</v>
      </c>
      <c r="Z76" s="99">
        <v>13</v>
      </c>
      <c r="AA76" s="99">
        <v>10124.4</v>
      </c>
      <c r="AB76" s="99">
        <v>13</v>
      </c>
      <c r="AC76" s="99">
        <v>10124.4</v>
      </c>
      <c r="AD76" s="99">
        <v>11</v>
      </c>
      <c r="AE76" s="99">
        <v>8566.7999999999993</v>
      </c>
      <c r="AF76" s="99">
        <v>14</v>
      </c>
      <c r="AG76" s="99">
        <v>10903.199999999999</v>
      </c>
      <c r="AH76" s="99">
        <v>13</v>
      </c>
      <c r="AI76" s="99">
        <v>10124.4</v>
      </c>
      <c r="AJ76" s="99">
        <v>13</v>
      </c>
      <c r="AK76" s="99">
        <v>10124.4</v>
      </c>
      <c r="AL76" s="99">
        <v>10</v>
      </c>
      <c r="AM76" s="99">
        <v>7788</v>
      </c>
      <c r="AN76" s="99">
        <v>15</v>
      </c>
      <c r="AO76" s="99">
        <v>11682</v>
      </c>
      <c r="AP76" s="99">
        <v>8</v>
      </c>
      <c r="AQ76" s="99">
        <v>6230.4</v>
      </c>
      <c r="AR76" s="99">
        <v>15</v>
      </c>
      <c r="AS76" s="99">
        <v>11682</v>
      </c>
      <c r="AT76" s="99">
        <v>12</v>
      </c>
      <c r="AU76" s="99">
        <v>9345.5999999999985</v>
      </c>
      <c r="AV76" s="99">
        <v>14</v>
      </c>
      <c r="AW76" s="99">
        <v>10903.199999999999</v>
      </c>
      <c r="AX76" s="99">
        <v>8</v>
      </c>
      <c r="AY76" s="99">
        <v>6230.4</v>
      </c>
      <c r="AZ76" s="99">
        <v>12</v>
      </c>
      <c r="BA76" s="99">
        <v>9345.5999999999985</v>
      </c>
      <c r="BB76" s="99">
        <v>8</v>
      </c>
      <c r="BC76" s="99">
        <v>6230.4</v>
      </c>
      <c r="BD76" s="99">
        <v>9</v>
      </c>
      <c r="BE76" s="99">
        <v>7009.2</v>
      </c>
      <c r="BF76" s="99">
        <v>15</v>
      </c>
      <c r="BG76" s="99">
        <v>11682</v>
      </c>
      <c r="BH76" s="99">
        <v>11</v>
      </c>
      <c r="BI76" s="99">
        <v>8566.7999999999993</v>
      </c>
      <c r="BJ76" s="99">
        <v>10</v>
      </c>
      <c r="BK76" s="99">
        <v>7788</v>
      </c>
      <c r="BL76" s="99">
        <v>13</v>
      </c>
      <c r="BM76" s="99">
        <v>10124.4</v>
      </c>
      <c r="BN76" s="99">
        <v>9</v>
      </c>
      <c r="BO76" s="99">
        <v>7009.2</v>
      </c>
      <c r="BP76" s="99">
        <v>12</v>
      </c>
      <c r="BQ76" s="99">
        <v>9345.5999999999985</v>
      </c>
      <c r="BR76" s="99">
        <v>10</v>
      </c>
      <c r="BS76" s="99">
        <v>7788</v>
      </c>
      <c r="BT76" s="99">
        <v>12</v>
      </c>
      <c r="BU76" s="99">
        <v>9345.5999999999985</v>
      </c>
      <c r="BV76" s="99">
        <v>15</v>
      </c>
      <c r="BW76" s="99">
        <v>11682</v>
      </c>
      <c r="BX76" s="99">
        <v>15</v>
      </c>
      <c r="BY76" s="99">
        <v>11682</v>
      </c>
      <c r="BZ76" s="99">
        <v>12</v>
      </c>
      <c r="CA76" s="99">
        <v>9345.5999999999985</v>
      </c>
      <c r="CB76" s="99">
        <v>13</v>
      </c>
      <c r="CC76" s="99">
        <v>10124.4</v>
      </c>
      <c r="CD76" s="99">
        <v>12</v>
      </c>
      <c r="CE76" s="99">
        <v>9345.5999999999985</v>
      </c>
      <c r="CF76" s="99">
        <v>15</v>
      </c>
      <c r="CG76" s="99">
        <v>11682</v>
      </c>
      <c r="CH76" s="99">
        <v>14</v>
      </c>
      <c r="CI76" s="99">
        <v>10903.199999999999</v>
      </c>
      <c r="CJ76" s="99">
        <v>10</v>
      </c>
      <c r="CK76" s="99">
        <v>7788</v>
      </c>
      <c r="CL76" s="99">
        <v>14</v>
      </c>
      <c r="CM76" s="99">
        <v>10903.199999999999</v>
      </c>
      <c r="CN76" s="99">
        <v>11</v>
      </c>
      <c r="CO76" s="99">
        <v>8566.7999999999993</v>
      </c>
      <c r="CP76" s="99">
        <v>12</v>
      </c>
      <c r="CQ76" s="99">
        <v>9345.5999999999985</v>
      </c>
      <c r="CR76" s="99">
        <v>11</v>
      </c>
      <c r="CS76" s="99">
        <v>8566.7999999999993</v>
      </c>
      <c r="CT76" s="99">
        <v>10</v>
      </c>
      <c r="CU76" s="99">
        <v>7788</v>
      </c>
    </row>
    <row r="77" spans="2:99">
      <c r="C77" s="98" t="s">
        <v>242</v>
      </c>
      <c r="D77" s="99">
        <v>14</v>
      </c>
      <c r="E77" s="99">
        <v>3897.5999999999995</v>
      </c>
      <c r="F77" s="99">
        <v>16</v>
      </c>
      <c r="G77" s="99">
        <v>4454.3999999999996</v>
      </c>
      <c r="H77" s="99">
        <v>9</v>
      </c>
      <c r="I77" s="99">
        <v>2505.6</v>
      </c>
      <c r="J77" s="99">
        <v>8</v>
      </c>
      <c r="K77" s="99">
        <v>2227.1999999999998</v>
      </c>
      <c r="L77" s="99">
        <v>11</v>
      </c>
      <c r="M77" s="99">
        <v>3062.3999999999996</v>
      </c>
      <c r="N77" s="99">
        <v>15</v>
      </c>
      <c r="O77" s="99">
        <v>4176</v>
      </c>
      <c r="P77" s="99">
        <v>9</v>
      </c>
      <c r="Q77" s="99">
        <v>2505.6</v>
      </c>
      <c r="R77" s="99">
        <v>12</v>
      </c>
      <c r="S77" s="99">
        <v>3340.7999999999997</v>
      </c>
      <c r="T77" s="99">
        <v>15</v>
      </c>
      <c r="U77" s="99">
        <v>4176</v>
      </c>
      <c r="V77" s="99">
        <v>14</v>
      </c>
      <c r="W77" s="99">
        <v>3897.5999999999995</v>
      </c>
      <c r="X77" s="99">
        <v>10</v>
      </c>
      <c r="Y77" s="99">
        <v>2784</v>
      </c>
      <c r="Z77" s="99">
        <v>14</v>
      </c>
      <c r="AA77" s="99">
        <v>3897.5999999999995</v>
      </c>
      <c r="AB77" s="99">
        <v>14</v>
      </c>
      <c r="AC77" s="99">
        <v>3897.5999999999995</v>
      </c>
      <c r="AD77" s="99">
        <v>12</v>
      </c>
      <c r="AE77" s="99">
        <v>3340.7999999999997</v>
      </c>
      <c r="AF77" s="99">
        <v>13</v>
      </c>
      <c r="AG77" s="99">
        <v>3619.2</v>
      </c>
      <c r="AH77" s="99">
        <v>16</v>
      </c>
      <c r="AI77" s="99">
        <v>4454.3999999999996</v>
      </c>
      <c r="AJ77" s="99">
        <v>14</v>
      </c>
      <c r="AK77" s="99">
        <v>3897.5999999999995</v>
      </c>
      <c r="AL77" s="99">
        <v>11</v>
      </c>
      <c r="AM77" s="99">
        <v>3062.3999999999996</v>
      </c>
      <c r="AN77" s="99">
        <v>16</v>
      </c>
      <c r="AO77" s="99">
        <v>4454.3999999999996</v>
      </c>
      <c r="AP77" s="99">
        <v>9</v>
      </c>
      <c r="AQ77" s="99">
        <v>2505.6</v>
      </c>
      <c r="AR77" s="99">
        <v>17</v>
      </c>
      <c r="AS77" s="99">
        <v>4732.7999999999993</v>
      </c>
      <c r="AT77" s="99">
        <v>12</v>
      </c>
      <c r="AU77" s="99">
        <v>3340.7999999999997</v>
      </c>
      <c r="AV77" s="99">
        <v>16</v>
      </c>
      <c r="AW77" s="99">
        <v>4454.3999999999996</v>
      </c>
      <c r="AX77" s="99">
        <v>8</v>
      </c>
      <c r="AY77" s="99">
        <v>2227.1999999999998</v>
      </c>
      <c r="AZ77" s="99">
        <v>13</v>
      </c>
      <c r="BA77" s="99">
        <v>3619.2</v>
      </c>
      <c r="BB77" s="99">
        <v>10</v>
      </c>
      <c r="BC77" s="99">
        <v>2784</v>
      </c>
      <c r="BD77" s="99">
        <v>9</v>
      </c>
      <c r="BE77" s="99">
        <v>2505.6</v>
      </c>
      <c r="BF77" s="99">
        <v>18</v>
      </c>
      <c r="BG77" s="99">
        <v>5011.2</v>
      </c>
      <c r="BH77" s="99">
        <v>11</v>
      </c>
      <c r="BI77" s="99">
        <v>3062.3999999999996</v>
      </c>
      <c r="BJ77" s="99">
        <v>12</v>
      </c>
      <c r="BK77" s="99">
        <v>3340.7999999999997</v>
      </c>
      <c r="BL77" s="99">
        <v>14</v>
      </c>
      <c r="BM77" s="99">
        <v>3897.5999999999995</v>
      </c>
      <c r="BN77" s="99">
        <v>9</v>
      </c>
      <c r="BO77" s="99">
        <v>2505.6</v>
      </c>
      <c r="BP77" s="99">
        <v>12</v>
      </c>
      <c r="BQ77" s="99">
        <v>3340.7999999999997</v>
      </c>
      <c r="BR77" s="99">
        <v>11</v>
      </c>
      <c r="BS77" s="99">
        <v>3062.3999999999996</v>
      </c>
      <c r="BT77" s="99">
        <v>13</v>
      </c>
      <c r="BU77" s="99">
        <v>3619.2</v>
      </c>
      <c r="BV77" s="99">
        <v>18</v>
      </c>
      <c r="BW77" s="99">
        <v>5011.2</v>
      </c>
      <c r="BX77" s="99">
        <v>15</v>
      </c>
      <c r="BY77" s="99">
        <v>4176</v>
      </c>
      <c r="BZ77" s="99">
        <v>12</v>
      </c>
      <c r="CA77" s="99">
        <v>3340.7999999999997</v>
      </c>
      <c r="CB77" s="99">
        <v>15</v>
      </c>
      <c r="CC77" s="99">
        <v>4176</v>
      </c>
      <c r="CD77" s="99">
        <v>12</v>
      </c>
      <c r="CE77" s="99">
        <v>3340.7999999999997</v>
      </c>
      <c r="CF77" s="99">
        <v>17</v>
      </c>
      <c r="CG77" s="99">
        <v>4732.7999999999993</v>
      </c>
      <c r="CH77" s="99">
        <v>16</v>
      </c>
      <c r="CI77" s="99">
        <v>4454.3999999999996</v>
      </c>
      <c r="CJ77" s="99">
        <v>10</v>
      </c>
      <c r="CK77" s="99">
        <v>2784</v>
      </c>
      <c r="CL77" s="99">
        <v>14</v>
      </c>
      <c r="CM77" s="99">
        <v>3897.5999999999995</v>
      </c>
      <c r="CN77" s="99">
        <v>13</v>
      </c>
      <c r="CO77" s="99">
        <v>3619.2</v>
      </c>
      <c r="CP77" s="99">
        <v>12</v>
      </c>
      <c r="CQ77" s="99">
        <v>3340.7999999999997</v>
      </c>
      <c r="CR77" s="99">
        <v>11</v>
      </c>
      <c r="CS77" s="99">
        <v>3062.3999999999996</v>
      </c>
      <c r="CT77" s="99">
        <v>11</v>
      </c>
      <c r="CU77" s="99">
        <v>3062.3999999999996</v>
      </c>
    </row>
    <row r="78" spans="2:99">
      <c r="C78" s="98" t="s">
        <v>243</v>
      </c>
      <c r="D78" s="99">
        <v>13</v>
      </c>
      <c r="E78" s="99">
        <v>7176</v>
      </c>
      <c r="F78" s="99">
        <v>15</v>
      </c>
      <c r="G78" s="99">
        <v>8280</v>
      </c>
      <c r="H78" s="99">
        <v>9</v>
      </c>
      <c r="I78" s="99">
        <v>4968</v>
      </c>
      <c r="J78" s="99">
        <v>8</v>
      </c>
      <c r="K78" s="99">
        <v>4416</v>
      </c>
      <c r="L78" s="99">
        <v>10</v>
      </c>
      <c r="M78" s="99">
        <v>5520</v>
      </c>
      <c r="N78" s="99">
        <v>13</v>
      </c>
      <c r="O78" s="99">
        <v>7176</v>
      </c>
      <c r="P78" s="99">
        <v>9</v>
      </c>
      <c r="Q78" s="99">
        <v>4968</v>
      </c>
      <c r="R78" s="99">
        <v>12</v>
      </c>
      <c r="S78" s="99">
        <v>6624</v>
      </c>
      <c r="T78" s="99">
        <v>17</v>
      </c>
      <c r="U78" s="99">
        <v>9384</v>
      </c>
      <c r="V78" s="99">
        <v>14</v>
      </c>
      <c r="W78" s="99">
        <v>7728</v>
      </c>
      <c r="X78" s="99">
        <v>9</v>
      </c>
      <c r="Y78" s="99">
        <v>4968</v>
      </c>
      <c r="Z78" s="99">
        <v>12</v>
      </c>
      <c r="AA78" s="99">
        <v>6624</v>
      </c>
      <c r="AB78" s="99">
        <v>13</v>
      </c>
      <c r="AC78" s="99">
        <v>7176</v>
      </c>
      <c r="AD78" s="99">
        <v>13</v>
      </c>
      <c r="AE78" s="99">
        <v>7176</v>
      </c>
      <c r="AF78" s="99">
        <v>14</v>
      </c>
      <c r="AG78" s="99">
        <v>7728</v>
      </c>
      <c r="AH78" s="99">
        <v>16</v>
      </c>
      <c r="AI78" s="99">
        <v>8832</v>
      </c>
      <c r="AJ78" s="99">
        <v>13</v>
      </c>
      <c r="AK78" s="99">
        <v>7176</v>
      </c>
      <c r="AL78" s="99">
        <v>10</v>
      </c>
      <c r="AM78" s="99">
        <v>5520</v>
      </c>
      <c r="AN78" s="99">
        <v>15</v>
      </c>
      <c r="AO78" s="99">
        <v>8280</v>
      </c>
      <c r="AP78" s="99">
        <v>9</v>
      </c>
      <c r="AQ78" s="99">
        <v>4968</v>
      </c>
      <c r="AR78" s="99">
        <v>15</v>
      </c>
      <c r="AS78" s="99">
        <v>8280</v>
      </c>
      <c r="AT78" s="99">
        <v>13</v>
      </c>
      <c r="AU78" s="99">
        <v>7176</v>
      </c>
      <c r="AV78" s="99">
        <v>15</v>
      </c>
      <c r="AW78" s="99">
        <v>8280</v>
      </c>
      <c r="AX78" s="99">
        <v>8</v>
      </c>
      <c r="AY78" s="99">
        <v>4416</v>
      </c>
      <c r="AZ78" s="99">
        <v>14</v>
      </c>
      <c r="BA78" s="99">
        <v>7728</v>
      </c>
      <c r="BB78" s="99">
        <v>8</v>
      </c>
      <c r="BC78" s="99">
        <v>4416</v>
      </c>
      <c r="BD78" s="99">
        <v>9</v>
      </c>
      <c r="BE78" s="99">
        <v>4968</v>
      </c>
      <c r="BF78" s="99">
        <v>18</v>
      </c>
      <c r="BG78" s="99">
        <v>9936</v>
      </c>
      <c r="BH78" s="99">
        <v>10</v>
      </c>
      <c r="BI78" s="99">
        <v>5520</v>
      </c>
      <c r="BJ78" s="99">
        <v>11</v>
      </c>
      <c r="BK78" s="99">
        <v>6072</v>
      </c>
      <c r="BL78" s="99">
        <v>13</v>
      </c>
      <c r="BM78" s="99">
        <v>7176</v>
      </c>
      <c r="BN78" s="99">
        <v>9</v>
      </c>
      <c r="BO78" s="99">
        <v>4968</v>
      </c>
      <c r="BP78" s="99">
        <v>13</v>
      </c>
      <c r="BQ78" s="99">
        <v>7176</v>
      </c>
      <c r="BR78" s="99">
        <v>12</v>
      </c>
      <c r="BS78" s="99">
        <v>6624</v>
      </c>
      <c r="BT78" s="99">
        <v>13</v>
      </c>
      <c r="BU78" s="99">
        <v>7176</v>
      </c>
      <c r="BV78" s="99">
        <v>14</v>
      </c>
      <c r="BW78" s="99">
        <v>7728</v>
      </c>
      <c r="BX78" s="99">
        <v>15</v>
      </c>
      <c r="BY78" s="99">
        <v>8280</v>
      </c>
      <c r="BZ78" s="99">
        <v>12</v>
      </c>
      <c r="CA78" s="99">
        <v>6624</v>
      </c>
      <c r="CB78" s="99">
        <v>13</v>
      </c>
      <c r="CC78" s="99">
        <v>7176</v>
      </c>
      <c r="CD78" s="99">
        <v>13</v>
      </c>
      <c r="CE78" s="99">
        <v>7176</v>
      </c>
      <c r="CF78" s="99">
        <v>16</v>
      </c>
      <c r="CG78" s="99">
        <v>8832</v>
      </c>
      <c r="CH78" s="99">
        <v>16</v>
      </c>
      <c r="CI78" s="99">
        <v>8832</v>
      </c>
      <c r="CJ78" s="99">
        <v>11</v>
      </c>
      <c r="CK78" s="99">
        <v>6072</v>
      </c>
      <c r="CL78" s="99">
        <v>16</v>
      </c>
      <c r="CM78" s="99">
        <v>8832</v>
      </c>
      <c r="CN78" s="99">
        <v>14</v>
      </c>
      <c r="CO78" s="99">
        <v>7728</v>
      </c>
      <c r="CP78" s="99">
        <v>13</v>
      </c>
      <c r="CQ78" s="99">
        <v>7176</v>
      </c>
      <c r="CR78" s="99">
        <v>10</v>
      </c>
      <c r="CS78" s="99">
        <v>5520</v>
      </c>
      <c r="CT78" s="99">
        <v>11</v>
      </c>
      <c r="CU78" s="99">
        <v>6072</v>
      </c>
    </row>
    <row r="79" spans="2:99">
      <c r="C79" s="98" t="s">
        <v>244</v>
      </c>
      <c r="D79" s="99">
        <v>14</v>
      </c>
      <c r="E79" s="99">
        <v>10600.8</v>
      </c>
      <c r="F79" s="99">
        <v>15</v>
      </c>
      <c r="G79" s="99">
        <v>11357.999999999998</v>
      </c>
      <c r="H79" s="99">
        <v>10</v>
      </c>
      <c r="I79" s="99">
        <v>7571.9999999999991</v>
      </c>
      <c r="J79" s="99">
        <v>9</v>
      </c>
      <c r="K79" s="99">
        <v>6814.7999999999993</v>
      </c>
      <c r="L79" s="99">
        <v>9</v>
      </c>
      <c r="M79" s="99">
        <v>6814.7999999999993</v>
      </c>
      <c r="N79" s="99">
        <v>13</v>
      </c>
      <c r="O79" s="99">
        <v>9843.5999999999985</v>
      </c>
      <c r="P79" s="99">
        <v>9</v>
      </c>
      <c r="Q79" s="99">
        <v>6814.7999999999993</v>
      </c>
      <c r="R79" s="99">
        <v>12</v>
      </c>
      <c r="S79" s="99">
        <v>9086.4</v>
      </c>
      <c r="T79" s="99">
        <v>15</v>
      </c>
      <c r="U79" s="99">
        <v>11357.999999999998</v>
      </c>
      <c r="V79" s="99">
        <v>14</v>
      </c>
      <c r="W79" s="99">
        <v>10600.8</v>
      </c>
      <c r="X79" s="99">
        <v>8</v>
      </c>
      <c r="Y79" s="99">
        <v>6057.5999999999995</v>
      </c>
      <c r="Z79" s="99">
        <v>13</v>
      </c>
      <c r="AA79" s="99">
        <v>9843.5999999999985</v>
      </c>
      <c r="AB79" s="99">
        <v>12</v>
      </c>
      <c r="AC79" s="99">
        <v>9086.4</v>
      </c>
      <c r="AD79" s="99">
        <v>12</v>
      </c>
      <c r="AE79" s="99">
        <v>9086.4</v>
      </c>
      <c r="AF79" s="99">
        <v>14</v>
      </c>
      <c r="AG79" s="99">
        <v>10600.8</v>
      </c>
      <c r="AH79" s="99">
        <v>15</v>
      </c>
      <c r="AI79" s="99">
        <v>11357.999999999998</v>
      </c>
      <c r="AJ79" s="99">
        <v>11</v>
      </c>
      <c r="AK79" s="99">
        <v>8329.1999999999989</v>
      </c>
      <c r="AL79" s="99">
        <v>10</v>
      </c>
      <c r="AM79" s="99">
        <v>7571.9999999999991</v>
      </c>
      <c r="AN79" s="99">
        <v>15</v>
      </c>
      <c r="AO79" s="99">
        <v>11357.999999999998</v>
      </c>
      <c r="AP79" s="99">
        <v>10</v>
      </c>
      <c r="AQ79" s="99">
        <v>7571.9999999999991</v>
      </c>
      <c r="AR79" s="99">
        <v>16</v>
      </c>
      <c r="AS79" s="99">
        <v>12115.199999999999</v>
      </c>
      <c r="AT79" s="99">
        <v>11</v>
      </c>
      <c r="AU79" s="99">
        <v>8329.1999999999989</v>
      </c>
      <c r="AV79" s="99">
        <v>15</v>
      </c>
      <c r="AW79" s="99">
        <v>11357.999999999998</v>
      </c>
      <c r="AX79" s="99">
        <v>8</v>
      </c>
      <c r="AY79" s="99">
        <v>6057.5999999999995</v>
      </c>
      <c r="AZ79" s="99">
        <v>12</v>
      </c>
      <c r="BA79" s="99">
        <v>9086.4</v>
      </c>
      <c r="BB79" s="99">
        <v>9</v>
      </c>
      <c r="BC79" s="99">
        <v>6814.7999999999993</v>
      </c>
      <c r="BD79" s="99">
        <v>9</v>
      </c>
      <c r="BE79" s="99">
        <v>6814.7999999999993</v>
      </c>
      <c r="BF79" s="99">
        <v>15</v>
      </c>
      <c r="BG79" s="99">
        <v>11357.999999999998</v>
      </c>
      <c r="BH79" s="99">
        <v>12</v>
      </c>
      <c r="BI79" s="99">
        <v>9086.4</v>
      </c>
      <c r="BJ79" s="99">
        <v>12</v>
      </c>
      <c r="BK79" s="99">
        <v>9086.4</v>
      </c>
      <c r="BL79" s="99">
        <v>14</v>
      </c>
      <c r="BM79" s="99">
        <v>10600.8</v>
      </c>
      <c r="BN79" s="99">
        <v>10</v>
      </c>
      <c r="BO79" s="99">
        <v>7571.9999999999991</v>
      </c>
      <c r="BP79" s="99">
        <v>12</v>
      </c>
      <c r="BQ79" s="99">
        <v>9086.4</v>
      </c>
      <c r="BR79" s="99">
        <v>10</v>
      </c>
      <c r="BS79" s="99">
        <v>7571.9999999999991</v>
      </c>
      <c r="BT79" s="99">
        <v>12</v>
      </c>
      <c r="BU79" s="99">
        <v>9086.4</v>
      </c>
      <c r="BV79" s="99">
        <v>16</v>
      </c>
      <c r="BW79" s="99">
        <v>12115.199999999999</v>
      </c>
      <c r="BX79" s="99">
        <v>14</v>
      </c>
      <c r="BY79" s="99">
        <v>10600.8</v>
      </c>
      <c r="BZ79" s="99">
        <v>10</v>
      </c>
      <c r="CA79" s="99">
        <v>7571.9999999999991</v>
      </c>
      <c r="CB79" s="99">
        <v>13</v>
      </c>
      <c r="CC79" s="99">
        <v>9843.5999999999985</v>
      </c>
      <c r="CD79" s="99">
        <v>12</v>
      </c>
      <c r="CE79" s="99">
        <v>9086.4</v>
      </c>
      <c r="CF79" s="99">
        <v>14</v>
      </c>
      <c r="CG79" s="99">
        <v>10600.8</v>
      </c>
      <c r="CH79" s="99">
        <v>14</v>
      </c>
      <c r="CI79" s="99">
        <v>10600.8</v>
      </c>
      <c r="CJ79" s="99">
        <v>9</v>
      </c>
      <c r="CK79" s="99">
        <v>6814.7999999999993</v>
      </c>
      <c r="CL79" s="99">
        <v>14</v>
      </c>
      <c r="CM79" s="99">
        <v>10600.8</v>
      </c>
      <c r="CN79" s="99">
        <v>13</v>
      </c>
      <c r="CO79" s="99">
        <v>9843.5999999999985</v>
      </c>
      <c r="CP79" s="99">
        <v>13</v>
      </c>
      <c r="CQ79" s="99">
        <v>9843.5999999999985</v>
      </c>
      <c r="CR79" s="99">
        <v>10</v>
      </c>
      <c r="CS79" s="99">
        <v>7571.9999999999991</v>
      </c>
      <c r="CT79" s="99">
        <v>11</v>
      </c>
      <c r="CU79" s="99">
        <v>8329.1999999999989</v>
      </c>
    </row>
    <row r="80" spans="2:99">
      <c r="C80" s="98" t="s">
        <v>245</v>
      </c>
      <c r="D80" s="99">
        <v>13</v>
      </c>
      <c r="E80" s="99">
        <v>10467.599999999999</v>
      </c>
      <c r="F80" s="99">
        <v>15</v>
      </c>
      <c r="G80" s="99">
        <v>12077.999999999998</v>
      </c>
      <c r="H80" s="99">
        <v>10</v>
      </c>
      <c r="I80" s="99">
        <v>8051.9999999999991</v>
      </c>
      <c r="J80" s="99">
        <v>8</v>
      </c>
      <c r="K80" s="99">
        <v>6441.5999999999995</v>
      </c>
      <c r="L80" s="99">
        <v>10</v>
      </c>
      <c r="M80" s="99">
        <v>8051.9999999999991</v>
      </c>
      <c r="N80" s="99">
        <v>14</v>
      </c>
      <c r="O80" s="99">
        <v>11272.8</v>
      </c>
      <c r="P80" s="99">
        <v>9</v>
      </c>
      <c r="Q80" s="99">
        <v>7246.7999999999993</v>
      </c>
      <c r="R80" s="99">
        <v>13</v>
      </c>
      <c r="S80" s="99">
        <v>10467.599999999999</v>
      </c>
      <c r="T80" s="99">
        <v>17</v>
      </c>
      <c r="U80" s="99">
        <v>13688.4</v>
      </c>
      <c r="V80" s="99">
        <v>13</v>
      </c>
      <c r="W80" s="99">
        <v>10467.599999999999</v>
      </c>
      <c r="X80" s="99">
        <v>8</v>
      </c>
      <c r="Y80" s="99">
        <v>6441.5999999999995</v>
      </c>
      <c r="Z80" s="99">
        <v>12</v>
      </c>
      <c r="AA80" s="99">
        <v>9662.4</v>
      </c>
      <c r="AB80" s="99">
        <v>12</v>
      </c>
      <c r="AC80" s="99">
        <v>9662.4</v>
      </c>
      <c r="AD80" s="99">
        <v>12</v>
      </c>
      <c r="AE80" s="99">
        <v>9662.4</v>
      </c>
      <c r="AF80" s="99">
        <v>13</v>
      </c>
      <c r="AG80" s="99">
        <v>10467.599999999999</v>
      </c>
      <c r="AH80" s="99">
        <v>16</v>
      </c>
      <c r="AI80" s="99">
        <v>12883.199999999999</v>
      </c>
      <c r="AJ80" s="99">
        <v>12</v>
      </c>
      <c r="AK80" s="99">
        <v>9662.4</v>
      </c>
      <c r="AL80" s="99">
        <v>10</v>
      </c>
      <c r="AM80" s="99">
        <v>8051.9999999999991</v>
      </c>
      <c r="AN80" s="99">
        <v>14</v>
      </c>
      <c r="AO80" s="99">
        <v>11272.8</v>
      </c>
      <c r="AP80" s="99">
        <v>9</v>
      </c>
      <c r="AQ80" s="99">
        <v>7246.7999999999993</v>
      </c>
      <c r="AR80" s="99">
        <v>16</v>
      </c>
      <c r="AS80" s="99">
        <v>12883.199999999999</v>
      </c>
      <c r="AT80" s="99">
        <v>13</v>
      </c>
      <c r="AU80" s="99">
        <v>10467.599999999999</v>
      </c>
      <c r="AV80" s="99">
        <v>14</v>
      </c>
      <c r="AW80" s="99">
        <v>11272.8</v>
      </c>
      <c r="AX80" s="99">
        <v>9</v>
      </c>
      <c r="AY80" s="99">
        <v>7246.7999999999993</v>
      </c>
      <c r="AZ80" s="99">
        <v>14</v>
      </c>
      <c r="BA80" s="99">
        <v>11272.8</v>
      </c>
      <c r="BB80" s="99">
        <v>10</v>
      </c>
      <c r="BC80" s="99">
        <v>8051.9999999999991</v>
      </c>
      <c r="BD80" s="99">
        <v>8</v>
      </c>
      <c r="BE80" s="99">
        <v>6441.5999999999995</v>
      </c>
      <c r="BF80" s="99">
        <v>16</v>
      </c>
      <c r="BG80" s="99">
        <v>12883.199999999999</v>
      </c>
      <c r="BH80" s="99">
        <v>10</v>
      </c>
      <c r="BI80" s="99">
        <v>8051.9999999999991</v>
      </c>
      <c r="BJ80" s="99">
        <v>12</v>
      </c>
      <c r="BK80" s="99">
        <v>9662.4</v>
      </c>
      <c r="BL80" s="99">
        <v>14</v>
      </c>
      <c r="BM80" s="99">
        <v>11272.8</v>
      </c>
      <c r="BN80" s="99">
        <v>10</v>
      </c>
      <c r="BO80" s="99">
        <v>8051.9999999999991</v>
      </c>
      <c r="BP80" s="99">
        <v>13</v>
      </c>
      <c r="BQ80" s="99">
        <v>10467.599999999999</v>
      </c>
      <c r="BR80" s="99">
        <v>11</v>
      </c>
      <c r="BS80" s="99">
        <v>8857.1999999999989</v>
      </c>
      <c r="BT80" s="99">
        <v>14</v>
      </c>
      <c r="BU80" s="99">
        <v>11272.8</v>
      </c>
      <c r="BV80" s="99">
        <v>17</v>
      </c>
      <c r="BW80" s="99">
        <v>13688.4</v>
      </c>
      <c r="BX80" s="99">
        <v>14</v>
      </c>
      <c r="BY80" s="99">
        <v>11272.8</v>
      </c>
      <c r="BZ80" s="99">
        <v>12</v>
      </c>
      <c r="CA80" s="99">
        <v>9662.4</v>
      </c>
      <c r="CB80" s="99">
        <v>12</v>
      </c>
      <c r="CC80" s="99">
        <v>9662.4</v>
      </c>
      <c r="CD80" s="99">
        <v>13</v>
      </c>
      <c r="CE80" s="99">
        <v>10467.599999999999</v>
      </c>
      <c r="CF80" s="99">
        <v>15</v>
      </c>
      <c r="CG80" s="99">
        <v>12077.999999999998</v>
      </c>
      <c r="CH80" s="99">
        <v>14</v>
      </c>
      <c r="CI80" s="99">
        <v>11272.8</v>
      </c>
      <c r="CJ80" s="99">
        <v>10</v>
      </c>
      <c r="CK80" s="99">
        <v>8051.9999999999991</v>
      </c>
      <c r="CL80" s="99">
        <v>15</v>
      </c>
      <c r="CM80" s="99">
        <v>12077.999999999998</v>
      </c>
      <c r="CN80" s="99">
        <v>12</v>
      </c>
      <c r="CO80" s="99">
        <v>9662.4</v>
      </c>
      <c r="CP80" s="99">
        <v>13</v>
      </c>
      <c r="CQ80" s="99">
        <v>10467.599999999999</v>
      </c>
      <c r="CR80" s="99">
        <v>11</v>
      </c>
      <c r="CS80" s="99">
        <v>8857.1999999999989</v>
      </c>
      <c r="CT80" s="99">
        <v>11</v>
      </c>
      <c r="CU80" s="99">
        <v>8857.1999999999989</v>
      </c>
    </row>
    <row r="81" spans="2:99">
      <c r="C81" s="98" t="s">
        <v>246</v>
      </c>
      <c r="D81" s="99">
        <v>13</v>
      </c>
      <c r="E81" s="99">
        <v>9796.8000000000011</v>
      </c>
      <c r="F81" s="99">
        <v>13</v>
      </c>
      <c r="G81" s="99">
        <v>9796.8000000000011</v>
      </c>
      <c r="H81" s="99">
        <v>10</v>
      </c>
      <c r="I81" s="99">
        <v>7536</v>
      </c>
      <c r="J81" s="99">
        <v>8</v>
      </c>
      <c r="K81" s="99">
        <v>6028.8</v>
      </c>
      <c r="L81" s="99">
        <v>10</v>
      </c>
      <c r="M81" s="99">
        <v>7536</v>
      </c>
      <c r="N81" s="99">
        <v>14</v>
      </c>
      <c r="O81" s="99">
        <v>10550.4</v>
      </c>
      <c r="P81" s="99">
        <v>8</v>
      </c>
      <c r="Q81" s="99">
        <v>6028.8</v>
      </c>
      <c r="R81" s="99">
        <v>12</v>
      </c>
      <c r="S81" s="99">
        <v>9043.2000000000007</v>
      </c>
      <c r="T81" s="99">
        <v>15</v>
      </c>
      <c r="U81" s="99">
        <v>11304</v>
      </c>
      <c r="V81" s="99">
        <v>14</v>
      </c>
      <c r="W81" s="99">
        <v>10550.4</v>
      </c>
      <c r="X81" s="99">
        <v>8</v>
      </c>
      <c r="Y81" s="99">
        <v>6028.8</v>
      </c>
      <c r="Z81" s="99">
        <v>13</v>
      </c>
      <c r="AA81" s="99">
        <v>9796.8000000000011</v>
      </c>
      <c r="AB81" s="99">
        <v>13</v>
      </c>
      <c r="AC81" s="99">
        <v>9796.8000000000011</v>
      </c>
      <c r="AD81" s="99">
        <v>11</v>
      </c>
      <c r="AE81" s="99">
        <v>8289.6</v>
      </c>
      <c r="AF81" s="99">
        <v>13</v>
      </c>
      <c r="AG81" s="99">
        <v>9796.8000000000011</v>
      </c>
      <c r="AH81" s="99">
        <v>16</v>
      </c>
      <c r="AI81" s="99">
        <v>12057.6</v>
      </c>
      <c r="AJ81" s="99">
        <v>12</v>
      </c>
      <c r="AK81" s="99">
        <v>9043.2000000000007</v>
      </c>
      <c r="AL81" s="99">
        <v>10</v>
      </c>
      <c r="AM81" s="99">
        <v>7536</v>
      </c>
      <c r="AN81" s="99">
        <v>16</v>
      </c>
      <c r="AO81" s="99">
        <v>12057.6</v>
      </c>
      <c r="AP81" s="99">
        <v>9</v>
      </c>
      <c r="AQ81" s="99">
        <v>6782.4000000000005</v>
      </c>
      <c r="AR81" s="99">
        <v>15</v>
      </c>
      <c r="AS81" s="99">
        <v>11304</v>
      </c>
      <c r="AT81" s="99">
        <v>13</v>
      </c>
      <c r="AU81" s="99">
        <v>9796.8000000000011</v>
      </c>
      <c r="AV81" s="99">
        <v>15</v>
      </c>
      <c r="AW81" s="99">
        <v>11304</v>
      </c>
      <c r="AX81" s="99">
        <v>9</v>
      </c>
      <c r="AY81" s="99">
        <v>6782.4000000000005</v>
      </c>
      <c r="AZ81" s="99">
        <v>13</v>
      </c>
      <c r="BA81" s="99">
        <v>9796.8000000000011</v>
      </c>
      <c r="BB81" s="99">
        <v>9</v>
      </c>
      <c r="BC81" s="99">
        <v>6782.4000000000005</v>
      </c>
      <c r="BD81" s="99">
        <v>10</v>
      </c>
      <c r="BE81" s="99">
        <v>7536</v>
      </c>
      <c r="BF81" s="99">
        <v>15</v>
      </c>
      <c r="BG81" s="99">
        <v>11304</v>
      </c>
      <c r="BH81" s="99">
        <v>10</v>
      </c>
      <c r="BI81" s="99">
        <v>7536</v>
      </c>
      <c r="BJ81" s="99">
        <v>11</v>
      </c>
      <c r="BK81" s="99">
        <v>8289.6</v>
      </c>
      <c r="BL81" s="99">
        <v>13</v>
      </c>
      <c r="BM81" s="99">
        <v>9796.8000000000011</v>
      </c>
      <c r="BN81" s="99">
        <v>9</v>
      </c>
      <c r="BO81" s="99">
        <v>6782.4000000000005</v>
      </c>
      <c r="BP81" s="99">
        <v>13</v>
      </c>
      <c r="BQ81" s="99">
        <v>9796.8000000000011</v>
      </c>
      <c r="BR81" s="99">
        <v>11</v>
      </c>
      <c r="BS81" s="99">
        <v>8289.6</v>
      </c>
      <c r="BT81" s="99">
        <v>13</v>
      </c>
      <c r="BU81" s="99">
        <v>9796.8000000000011</v>
      </c>
      <c r="BV81" s="99">
        <v>15</v>
      </c>
      <c r="BW81" s="99">
        <v>11304</v>
      </c>
      <c r="BX81" s="99">
        <v>14</v>
      </c>
      <c r="BY81" s="99">
        <v>10550.4</v>
      </c>
      <c r="BZ81" s="99">
        <v>10</v>
      </c>
      <c r="CA81" s="99">
        <v>7536</v>
      </c>
      <c r="CB81" s="99">
        <v>12</v>
      </c>
      <c r="CC81" s="99">
        <v>9043.2000000000007</v>
      </c>
      <c r="CD81" s="99">
        <v>12</v>
      </c>
      <c r="CE81" s="99">
        <v>9043.2000000000007</v>
      </c>
      <c r="CF81" s="99">
        <v>15</v>
      </c>
      <c r="CG81" s="99">
        <v>11304</v>
      </c>
      <c r="CH81" s="99">
        <v>14</v>
      </c>
      <c r="CI81" s="99">
        <v>10550.4</v>
      </c>
      <c r="CJ81" s="99">
        <v>11</v>
      </c>
      <c r="CK81" s="99">
        <v>8289.6</v>
      </c>
      <c r="CL81" s="99">
        <v>15</v>
      </c>
      <c r="CM81" s="99">
        <v>11304</v>
      </c>
      <c r="CN81" s="99">
        <v>12</v>
      </c>
      <c r="CO81" s="99">
        <v>9043.2000000000007</v>
      </c>
      <c r="CP81" s="99">
        <v>12</v>
      </c>
      <c r="CQ81" s="99">
        <v>9043.2000000000007</v>
      </c>
      <c r="CR81" s="99">
        <v>9</v>
      </c>
      <c r="CS81" s="99">
        <v>6782.4000000000005</v>
      </c>
      <c r="CT81" s="99">
        <v>11</v>
      </c>
      <c r="CU81" s="99">
        <v>8289.6</v>
      </c>
    </row>
    <row r="82" spans="2:99">
      <c r="C82" s="98" t="s">
        <v>247</v>
      </c>
      <c r="D82" s="99">
        <v>14</v>
      </c>
      <c r="E82" s="99">
        <v>7123.1999999999989</v>
      </c>
      <c r="F82" s="99">
        <v>14</v>
      </c>
      <c r="G82" s="99">
        <v>7123.1999999999989</v>
      </c>
      <c r="H82" s="99">
        <v>10</v>
      </c>
      <c r="I82" s="99">
        <v>5087.9999999999991</v>
      </c>
      <c r="J82" s="99">
        <v>9</v>
      </c>
      <c r="K82" s="99">
        <v>4579.1999999999989</v>
      </c>
      <c r="L82" s="99">
        <v>11</v>
      </c>
      <c r="M82" s="99">
        <v>5596.7999999999993</v>
      </c>
      <c r="N82" s="99">
        <v>14</v>
      </c>
      <c r="O82" s="99">
        <v>7123.1999999999989</v>
      </c>
      <c r="P82" s="99">
        <v>9</v>
      </c>
      <c r="Q82" s="99">
        <v>4579.1999999999989</v>
      </c>
      <c r="R82" s="99">
        <v>11</v>
      </c>
      <c r="S82" s="99">
        <v>5596.7999999999993</v>
      </c>
      <c r="T82" s="99">
        <v>16</v>
      </c>
      <c r="U82" s="99">
        <v>8140.7999999999984</v>
      </c>
      <c r="V82" s="99">
        <v>14</v>
      </c>
      <c r="W82" s="99">
        <v>7123.1999999999989</v>
      </c>
      <c r="X82" s="99">
        <v>10</v>
      </c>
      <c r="Y82" s="99">
        <v>5087.9999999999991</v>
      </c>
      <c r="Z82" s="99">
        <v>12</v>
      </c>
      <c r="AA82" s="99">
        <v>6105.5999999999985</v>
      </c>
      <c r="AB82" s="99">
        <v>11</v>
      </c>
      <c r="AC82" s="99">
        <v>5596.7999999999993</v>
      </c>
      <c r="AD82" s="99">
        <v>11</v>
      </c>
      <c r="AE82" s="99">
        <v>5596.7999999999993</v>
      </c>
      <c r="AF82" s="99">
        <v>13</v>
      </c>
      <c r="AG82" s="99">
        <v>6614.3999999999987</v>
      </c>
      <c r="AH82" s="99">
        <v>14</v>
      </c>
      <c r="AI82" s="99">
        <v>7123.1999999999989</v>
      </c>
      <c r="AJ82" s="99">
        <v>13</v>
      </c>
      <c r="AK82" s="99">
        <v>6614.3999999999987</v>
      </c>
      <c r="AL82" s="99">
        <v>10</v>
      </c>
      <c r="AM82" s="99">
        <v>5087.9999999999991</v>
      </c>
      <c r="AN82" s="99">
        <v>15</v>
      </c>
      <c r="AO82" s="99">
        <v>7631.9999999999982</v>
      </c>
      <c r="AP82" s="99">
        <v>8</v>
      </c>
      <c r="AQ82" s="99">
        <v>4070.3999999999992</v>
      </c>
      <c r="AR82" s="99">
        <v>17</v>
      </c>
      <c r="AS82" s="99">
        <v>8649.5999999999985</v>
      </c>
      <c r="AT82" s="99">
        <v>13</v>
      </c>
      <c r="AU82" s="99">
        <v>6614.3999999999987</v>
      </c>
      <c r="AV82" s="99">
        <v>14</v>
      </c>
      <c r="AW82" s="99">
        <v>7123.1999999999989</v>
      </c>
      <c r="AX82" s="99">
        <v>9</v>
      </c>
      <c r="AY82" s="99">
        <v>4579.1999999999989</v>
      </c>
      <c r="AZ82" s="99">
        <v>13</v>
      </c>
      <c r="BA82" s="99">
        <v>6614.3999999999987</v>
      </c>
      <c r="BB82" s="99">
        <v>9</v>
      </c>
      <c r="BC82" s="99">
        <v>4579.1999999999989</v>
      </c>
      <c r="BD82" s="99">
        <v>9</v>
      </c>
      <c r="BE82" s="99">
        <v>4579.1999999999989</v>
      </c>
      <c r="BF82" s="99">
        <v>17</v>
      </c>
      <c r="BG82" s="99">
        <v>8649.5999999999985</v>
      </c>
      <c r="BH82" s="99">
        <v>11</v>
      </c>
      <c r="BI82" s="99">
        <v>5596.7999999999993</v>
      </c>
      <c r="BJ82" s="99">
        <v>12</v>
      </c>
      <c r="BK82" s="99">
        <v>6105.5999999999985</v>
      </c>
      <c r="BL82" s="99">
        <v>15</v>
      </c>
      <c r="BM82" s="99">
        <v>7631.9999999999982</v>
      </c>
      <c r="BN82" s="99">
        <v>9</v>
      </c>
      <c r="BO82" s="99">
        <v>4579.1999999999989</v>
      </c>
      <c r="BP82" s="99">
        <v>13</v>
      </c>
      <c r="BQ82" s="99">
        <v>6614.3999999999987</v>
      </c>
      <c r="BR82" s="99">
        <v>11</v>
      </c>
      <c r="BS82" s="99">
        <v>5596.7999999999993</v>
      </c>
      <c r="BT82" s="99">
        <v>14</v>
      </c>
      <c r="BU82" s="99">
        <v>7123.1999999999989</v>
      </c>
      <c r="BV82" s="99">
        <v>15</v>
      </c>
      <c r="BW82" s="99">
        <v>7631.9999999999982</v>
      </c>
      <c r="BX82" s="99">
        <v>13</v>
      </c>
      <c r="BY82" s="99">
        <v>6614.3999999999987</v>
      </c>
      <c r="BZ82" s="99">
        <v>11</v>
      </c>
      <c r="CA82" s="99">
        <v>5596.7999999999993</v>
      </c>
      <c r="CB82" s="99">
        <v>14</v>
      </c>
      <c r="CC82" s="99">
        <v>7123.1999999999989</v>
      </c>
      <c r="CD82" s="99">
        <v>13</v>
      </c>
      <c r="CE82" s="99">
        <v>6614.3999999999987</v>
      </c>
      <c r="CF82" s="99">
        <v>15</v>
      </c>
      <c r="CG82" s="99">
        <v>7631.9999999999982</v>
      </c>
      <c r="CH82" s="99">
        <v>14</v>
      </c>
      <c r="CI82" s="99">
        <v>7123.1999999999989</v>
      </c>
      <c r="CJ82" s="99">
        <v>11</v>
      </c>
      <c r="CK82" s="99">
        <v>5596.7999999999993</v>
      </c>
      <c r="CL82" s="99">
        <v>13</v>
      </c>
      <c r="CM82" s="99">
        <v>6614.3999999999987</v>
      </c>
      <c r="CN82" s="99">
        <v>14</v>
      </c>
      <c r="CO82" s="99">
        <v>7123.1999999999989</v>
      </c>
      <c r="CP82" s="99">
        <v>13</v>
      </c>
      <c r="CQ82" s="99">
        <v>6614.3999999999987</v>
      </c>
      <c r="CR82" s="99">
        <v>11</v>
      </c>
      <c r="CS82" s="99">
        <v>5596.7999999999993</v>
      </c>
      <c r="CT82" s="99">
        <v>11</v>
      </c>
      <c r="CU82" s="99">
        <v>5596.7999999999993</v>
      </c>
    </row>
    <row r="83" spans="2:99">
      <c r="C83" s="98" t="s">
        <v>248</v>
      </c>
      <c r="D83" s="99">
        <v>14</v>
      </c>
      <c r="E83" s="99">
        <v>12045.6</v>
      </c>
      <c r="F83" s="99">
        <v>13</v>
      </c>
      <c r="G83" s="99">
        <v>11185.199999999999</v>
      </c>
      <c r="H83" s="99">
        <v>9</v>
      </c>
      <c r="I83" s="99">
        <v>7743.5999999999995</v>
      </c>
      <c r="J83" s="99">
        <v>9</v>
      </c>
      <c r="K83" s="99">
        <v>7743.5999999999995</v>
      </c>
      <c r="L83" s="99">
        <v>9</v>
      </c>
      <c r="M83" s="99">
        <v>7743.5999999999995</v>
      </c>
      <c r="N83" s="99">
        <v>13</v>
      </c>
      <c r="O83" s="99">
        <v>11185.199999999999</v>
      </c>
      <c r="P83" s="99">
        <v>8</v>
      </c>
      <c r="Q83" s="99">
        <v>6883.2</v>
      </c>
      <c r="R83" s="99">
        <v>11</v>
      </c>
      <c r="S83" s="99">
        <v>9464.4</v>
      </c>
      <c r="T83" s="99">
        <v>14</v>
      </c>
      <c r="U83" s="99">
        <v>12045.6</v>
      </c>
      <c r="V83" s="99">
        <v>14</v>
      </c>
      <c r="W83" s="99">
        <v>12045.6</v>
      </c>
      <c r="X83" s="99">
        <v>9</v>
      </c>
      <c r="Y83" s="99">
        <v>7743.5999999999995</v>
      </c>
      <c r="Z83" s="99">
        <v>13</v>
      </c>
      <c r="AA83" s="99">
        <v>11185.199999999999</v>
      </c>
      <c r="AB83" s="99">
        <v>13</v>
      </c>
      <c r="AC83" s="99">
        <v>11185.199999999999</v>
      </c>
      <c r="AD83" s="99">
        <v>11</v>
      </c>
      <c r="AE83" s="99">
        <v>9464.4</v>
      </c>
      <c r="AF83" s="99">
        <v>14</v>
      </c>
      <c r="AG83" s="99">
        <v>12045.6</v>
      </c>
      <c r="AH83" s="99">
        <v>14</v>
      </c>
      <c r="AI83" s="99">
        <v>12045.6</v>
      </c>
      <c r="AJ83" s="99">
        <v>12</v>
      </c>
      <c r="AK83" s="99">
        <v>10324.799999999999</v>
      </c>
      <c r="AL83" s="99">
        <v>11</v>
      </c>
      <c r="AM83" s="99">
        <v>9464.4</v>
      </c>
      <c r="AN83" s="99">
        <v>14</v>
      </c>
      <c r="AO83" s="99">
        <v>12045.6</v>
      </c>
      <c r="AP83" s="99">
        <v>9</v>
      </c>
      <c r="AQ83" s="99">
        <v>7743.5999999999995</v>
      </c>
      <c r="AR83" s="99">
        <v>16</v>
      </c>
      <c r="AS83" s="99">
        <v>13766.4</v>
      </c>
      <c r="AT83" s="99">
        <v>12</v>
      </c>
      <c r="AU83" s="99">
        <v>10324.799999999999</v>
      </c>
      <c r="AV83" s="99">
        <v>16</v>
      </c>
      <c r="AW83" s="99">
        <v>13766.4</v>
      </c>
      <c r="AX83" s="99">
        <v>8</v>
      </c>
      <c r="AY83" s="99">
        <v>6883.2</v>
      </c>
      <c r="AZ83" s="99">
        <v>14</v>
      </c>
      <c r="BA83" s="99">
        <v>12045.6</v>
      </c>
      <c r="BB83" s="99">
        <v>9</v>
      </c>
      <c r="BC83" s="99">
        <v>7743.5999999999995</v>
      </c>
      <c r="BD83" s="99">
        <v>8</v>
      </c>
      <c r="BE83" s="99">
        <v>6883.2</v>
      </c>
      <c r="BF83" s="99">
        <v>17</v>
      </c>
      <c r="BG83" s="99">
        <v>14626.8</v>
      </c>
      <c r="BH83" s="99">
        <v>10</v>
      </c>
      <c r="BI83" s="99">
        <v>8604</v>
      </c>
      <c r="BJ83" s="99">
        <v>10</v>
      </c>
      <c r="BK83" s="99">
        <v>8604</v>
      </c>
      <c r="BL83" s="99">
        <v>13</v>
      </c>
      <c r="BM83" s="99">
        <v>11185.199999999999</v>
      </c>
      <c r="BN83" s="99">
        <v>9</v>
      </c>
      <c r="BO83" s="99">
        <v>7743.5999999999995</v>
      </c>
      <c r="BP83" s="99">
        <v>11</v>
      </c>
      <c r="BQ83" s="99">
        <v>9464.4</v>
      </c>
      <c r="BR83" s="99">
        <v>11</v>
      </c>
      <c r="BS83" s="99">
        <v>9464.4</v>
      </c>
      <c r="BT83" s="99">
        <v>13</v>
      </c>
      <c r="BU83" s="99">
        <v>11185.199999999999</v>
      </c>
      <c r="BV83" s="99">
        <v>16</v>
      </c>
      <c r="BW83" s="99">
        <v>13766.4</v>
      </c>
      <c r="BX83" s="99">
        <v>13</v>
      </c>
      <c r="BY83" s="99">
        <v>11185.199999999999</v>
      </c>
      <c r="BZ83" s="99">
        <v>12</v>
      </c>
      <c r="CA83" s="99">
        <v>10324.799999999999</v>
      </c>
      <c r="CB83" s="99">
        <v>13</v>
      </c>
      <c r="CC83" s="99">
        <v>11185.199999999999</v>
      </c>
      <c r="CD83" s="99">
        <v>12</v>
      </c>
      <c r="CE83" s="99">
        <v>10324.799999999999</v>
      </c>
      <c r="CF83" s="99">
        <v>16</v>
      </c>
      <c r="CG83" s="99">
        <v>13766.4</v>
      </c>
      <c r="CH83" s="99">
        <v>13</v>
      </c>
      <c r="CI83" s="99">
        <v>11185.199999999999</v>
      </c>
      <c r="CJ83" s="99">
        <v>11</v>
      </c>
      <c r="CK83" s="99">
        <v>9464.4</v>
      </c>
      <c r="CL83" s="99">
        <v>13</v>
      </c>
      <c r="CM83" s="99">
        <v>11185.199999999999</v>
      </c>
      <c r="CN83" s="99">
        <v>14</v>
      </c>
      <c r="CO83" s="99">
        <v>12045.6</v>
      </c>
      <c r="CP83" s="99">
        <v>11</v>
      </c>
      <c r="CQ83" s="99">
        <v>9464.4</v>
      </c>
      <c r="CR83" s="99">
        <v>9</v>
      </c>
      <c r="CS83" s="99">
        <v>7743.5999999999995</v>
      </c>
      <c r="CT83" s="99">
        <v>10</v>
      </c>
      <c r="CU83" s="99">
        <v>8604</v>
      </c>
    </row>
    <row r="84" spans="2:99">
      <c r="C84" s="98" t="s">
        <v>249</v>
      </c>
      <c r="D84" s="99">
        <v>14</v>
      </c>
      <c r="E84" s="99">
        <v>10936.8</v>
      </c>
      <c r="F84" s="99">
        <v>15</v>
      </c>
      <c r="G84" s="99">
        <v>11717.999999999998</v>
      </c>
      <c r="H84" s="99">
        <v>9</v>
      </c>
      <c r="I84" s="99">
        <v>7030.7999999999993</v>
      </c>
      <c r="J84" s="99">
        <v>8</v>
      </c>
      <c r="K84" s="99">
        <v>6249.5999999999995</v>
      </c>
      <c r="L84" s="99">
        <v>9</v>
      </c>
      <c r="M84" s="99">
        <v>7030.7999999999993</v>
      </c>
      <c r="N84" s="99">
        <v>14</v>
      </c>
      <c r="O84" s="99">
        <v>10936.8</v>
      </c>
      <c r="P84" s="99">
        <v>8</v>
      </c>
      <c r="Q84" s="99">
        <v>6249.5999999999995</v>
      </c>
      <c r="R84" s="99">
        <v>11</v>
      </c>
      <c r="S84" s="99">
        <v>8593.1999999999989</v>
      </c>
      <c r="T84" s="99">
        <v>15</v>
      </c>
      <c r="U84" s="99">
        <v>11717.999999999998</v>
      </c>
      <c r="V84" s="99">
        <v>14</v>
      </c>
      <c r="W84" s="99">
        <v>10936.8</v>
      </c>
      <c r="X84" s="99">
        <v>9</v>
      </c>
      <c r="Y84" s="99">
        <v>7030.7999999999993</v>
      </c>
      <c r="Z84" s="99">
        <v>12</v>
      </c>
      <c r="AA84" s="99">
        <v>9374.4</v>
      </c>
      <c r="AB84" s="99">
        <v>13</v>
      </c>
      <c r="AC84" s="99">
        <v>10155.599999999999</v>
      </c>
      <c r="AD84" s="99">
        <v>13</v>
      </c>
      <c r="AE84" s="99">
        <v>10155.599999999999</v>
      </c>
      <c r="AF84" s="99">
        <v>14</v>
      </c>
      <c r="AG84" s="99">
        <v>10936.8</v>
      </c>
      <c r="AH84" s="99">
        <v>16</v>
      </c>
      <c r="AI84" s="99">
        <v>12499.199999999999</v>
      </c>
      <c r="AJ84" s="99">
        <v>13</v>
      </c>
      <c r="AK84" s="99">
        <v>10155.599999999999</v>
      </c>
      <c r="AL84" s="99">
        <v>11</v>
      </c>
      <c r="AM84" s="99">
        <v>8593.1999999999989</v>
      </c>
      <c r="AN84" s="99">
        <v>15</v>
      </c>
      <c r="AO84" s="99">
        <v>11717.999999999998</v>
      </c>
      <c r="AP84" s="99">
        <v>9</v>
      </c>
      <c r="AQ84" s="99">
        <v>7030.7999999999993</v>
      </c>
      <c r="AR84" s="99">
        <v>15</v>
      </c>
      <c r="AS84" s="99">
        <v>11717.999999999998</v>
      </c>
      <c r="AT84" s="99">
        <v>13</v>
      </c>
      <c r="AU84" s="99">
        <v>10155.599999999999</v>
      </c>
      <c r="AV84" s="99">
        <v>14</v>
      </c>
      <c r="AW84" s="99">
        <v>10936.8</v>
      </c>
      <c r="AX84" s="99">
        <v>8</v>
      </c>
      <c r="AY84" s="99">
        <v>6249.5999999999995</v>
      </c>
      <c r="AZ84" s="99">
        <v>12</v>
      </c>
      <c r="BA84" s="99">
        <v>9374.4</v>
      </c>
      <c r="BB84" s="99">
        <v>8</v>
      </c>
      <c r="BC84" s="99">
        <v>6249.5999999999995</v>
      </c>
      <c r="BD84" s="99">
        <v>9</v>
      </c>
      <c r="BE84" s="99">
        <v>7030.7999999999993</v>
      </c>
      <c r="BF84" s="99">
        <v>17</v>
      </c>
      <c r="BG84" s="99">
        <v>13280.4</v>
      </c>
      <c r="BH84" s="99">
        <v>10</v>
      </c>
      <c r="BI84" s="99">
        <v>7811.9999999999991</v>
      </c>
      <c r="BJ84" s="99">
        <v>11</v>
      </c>
      <c r="BK84" s="99">
        <v>8593.1999999999989</v>
      </c>
      <c r="BL84" s="99">
        <v>13</v>
      </c>
      <c r="BM84" s="99">
        <v>10155.599999999999</v>
      </c>
      <c r="BN84" s="99">
        <v>9</v>
      </c>
      <c r="BO84" s="99">
        <v>7030.7999999999993</v>
      </c>
      <c r="BP84" s="99">
        <v>12</v>
      </c>
      <c r="BQ84" s="99">
        <v>9374.4</v>
      </c>
      <c r="BR84" s="99">
        <v>11</v>
      </c>
      <c r="BS84" s="99">
        <v>8593.1999999999989</v>
      </c>
      <c r="BT84" s="99">
        <v>12</v>
      </c>
      <c r="BU84" s="99">
        <v>9374.4</v>
      </c>
      <c r="BV84" s="99">
        <v>17</v>
      </c>
      <c r="BW84" s="99">
        <v>13280.4</v>
      </c>
      <c r="BX84" s="99">
        <v>12</v>
      </c>
      <c r="BY84" s="99">
        <v>9374.4</v>
      </c>
      <c r="BZ84" s="99">
        <v>11</v>
      </c>
      <c r="CA84" s="99">
        <v>8593.1999999999989</v>
      </c>
      <c r="CB84" s="99">
        <v>14</v>
      </c>
      <c r="CC84" s="99">
        <v>10936.8</v>
      </c>
      <c r="CD84" s="99">
        <v>12</v>
      </c>
      <c r="CE84" s="99">
        <v>9374.4</v>
      </c>
      <c r="CF84" s="99">
        <v>16</v>
      </c>
      <c r="CG84" s="99">
        <v>12499.199999999999</v>
      </c>
      <c r="CH84" s="99">
        <v>14</v>
      </c>
      <c r="CI84" s="99">
        <v>10936.8</v>
      </c>
      <c r="CJ84" s="99">
        <v>9</v>
      </c>
      <c r="CK84" s="99">
        <v>7030.7999999999993</v>
      </c>
      <c r="CL84" s="99">
        <v>14</v>
      </c>
      <c r="CM84" s="99">
        <v>10936.8</v>
      </c>
      <c r="CN84" s="99">
        <v>11</v>
      </c>
      <c r="CO84" s="99">
        <v>8593.1999999999989</v>
      </c>
      <c r="CP84" s="99">
        <v>14</v>
      </c>
      <c r="CQ84" s="99">
        <v>10936.8</v>
      </c>
      <c r="CR84" s="99">
        <v>11</v>
      </c>
      <c r="CS84" s="99">
        <v>8593.1999999999989</v>
      </c>
      <c r="CT84" s="99">
        <v>9</v>
      </c>
      <c r="CU84" s="99">
        <v>7030.7999999999993</v>
      </c>
    </row>
    <row r="85" spans="2:99">
      <c r="C85" s="98" t="s">
        <v>250</v>
      </c>
      <c r="D85" s="99">
        <v>13</v>
      </c>
      <c r="E85" s="99">
        <v>1950</v>
      </c>
      <c r="F85" s="99">
        <v>16</v>
      </c>
      <c r="G85" s="99">
        <v>2400</v>
      </c>
      <c r="H85" s="99">
        <v>11</v>
      </c>
      <c r="I85" s="99">
        <v>1650</v>
      </c>
      <c r="J85" s="99">
        <v>9</v>
      </c>
      <c r="K85" s="99">
        <v>1350</v>
      </c>
      <c r="L85" s="99">
        <v>10</v>
      </c>
      <c r="M85" s="99">
        <v>1500</v>
      </c>
      <c r="N85" s="99">
        <v>15</v>
      </c>
      <c r="O85" s="99">
        <v>2250</v>
      </c>
      <c r="P85" s="99">
        <v>9</v>
      </c>
      <c r="Q85" s="99">
        <v>1350</v>
      </c>
      <c r="R85" s="99">
        <v>14</v>
      </c>
      <c r="S85" s="99">
        <v>2100</v>
      </c>
      <c r="T85" s="99">
        <v>15</v>
      </c>
      <c r="U85" s="99">
        <v>2250</v>
      </c>
      <c r="V85" s="99">
        <v>15</v>
      </c>
      <c r="W85" s="99">
        <v>2250</v>
      </c>
      <c r="X85" s="99">
        <v>10</v>
      </c>
      <c r="Y85" s="99">
        <v>1500</v>
      </c>
      <c r="Z85" s="99">
        <v>14</v>
      </c>
      <c r="AA85" s="99">
        <v>2100</v>
      </c>
      <c r="AB85" s="99">
        <v>13</v>
      </c>
      <c r="AC85" s="99">
        <v>1950</v>
      </c>
      <c r="AD85" s="99">
        <v>13</v>
      </c>
      <c r="AE85" s="99">
        <v>1950</v>
      </c>
      <c r="AF85" s="99">
        <v>15</v>
      </c>
      <c r="AG85" s="99">
        <v>2250</v>
      </c>
      <c r="AH85" s="99">
        <v>16</v>
      </c>
      <c r="AI85" s="99">
        <v>2400</v>
      </c>
      <c r="AJ85" s="99">
        <v>13</v>
      </c>
      <c r="AK85" s="99">
        <v>1950</v>
      </c>
      <c r="AL85" s="99">
        <v>12</v>
      </c>
      <c r="AM85" s="99">
        <v>1800</v>
      </c>
      <c r="AN85" s="99">
        <v>17</v>
      </c>
      <c r="AO85" s="99">
        <v>2550</v>
      </c>
      <c r="AP85" s="99">
        <v>9</v>
      </c>
      <c r="AQ85" s="99">
        <v>1350</v>
      </c>
      <c r="AR85" s="99">
        <v>17</v>
      </c>
      <c r="AS85" s="99">
        <v>2550</v>
      </c>
      <c r="AT85" s="99">
        <v>14</v>
      </c>
      <c r="AU85" s="99">
        <v>2100</v>
      </c>
      <c r="AV85" s="99">
        <v>16</v>
      </c>
      <c r="AW85" s="99">
        <v>2400</v>
      </c>
      <c r="AX85" s="99">
        <v>10</v>
      </c>
      <c r="AY85" s="99">
        <v>1500</v>
      </c>
      <c r="AZ85" s="99">
        <v>13</v>
      </c>
      <c r="BA85" s="99">
        <v>1950</v>
      </c>
      <c r="BB85" s="99">
        <v>9</v>
      </c>
      <c r="BC85" s="99">
        <v>1350</v>
      </c>
      <c r="BD85" s="99">
        <v>9</v>
      </c>
      <c r="BE85" s="99">
        <v>1350</v>
      </c>
      <c r="BF85" s="99">
        <v>17</v>
      </c>
      <c r="BG85" s="99">
        <v>2550</v>
      </c>
      <c r="BH85" s="99">
        <v>12</v>
      </c>
      <c r="BI85" s="99">
        <v>1800</v>
      </c>
      <c r="BJ85" s="99">
        <v>12</v>
      </c>
      <c r="BK85" s="99">
        <v>1800</v>
      </c>
      <c r="BL85" s="99">
        <v>16</v>
      </c>
      <c r="BM85" s="99">
        <v>2400</v>
      </c>
      <c r="BN85" s="99">
        <v>10</v>
      </c>
      <c r="BO85" s="99">
        <v>1500</v>
      </c>
      <c r="BP85" s="99">
        <v>14</v>
      </c>
      <c r="BQ85" s="99">
        <v>2100</v>
      </c>
      <c r="BR85" s="99">
        <v>12</v>
      </c>
      <c r="BS85" s="99">
        <v>1800</v>
      </c>
      <c r="BT85" s="99">
        <v>15</v>
      </c>
      <c r="BU85" s="99">
        <v>2250</v>
      </c>
      <c r="BV85" s="99">
        <v>17</v>
      </c>
      <c r="BW85" s="99">
        <v>2550</v>
      </c>
      <c r="BX85" s="99">
        <v>15</v>
      </c>
      <c r="BY85" s="99">
        <v>2250</v>
      </c>
      <c r="BZ85" s="99">
        <v>13</v>
      </c>
      <c r="CA85" s="99">
        <v>1950</v>
      </c>
      <c r="CB85" s="99">
        <v>13</v>
      </c>
      <c r="CC85" s="99">
        <v>1950</v>
      </c>
      <c r="CD85" s="99">
        <v>13</v>
      </c>
      <c r="CE85" s="99">
        <v>1950</v>
      </c>
      <c r="CF85" s="99">
        <v>15</v>
      </c>
      <c r="CG85" s="99">
        <v>2250</v>
      </c>
      <c r="CH85" s="99">
        <v>14</v>
      </c>
      <c r="CI85" s="99">
        <v>2100</v>
      </c>
      <c r="CJ85" s="99">
        <v>12</v>
      </c>
      <c r="CK85" s="99">
        <v>1800</v>
      </c>
      <c r="CL85" s="99">
        <v>16</v>
      </c>
      <c r="CM85" s="99">
        <v>2400</v>
      </c>
      <c r="CN85" s="99">
        <v>14</v>
      </c>
      <c r="CO85" s="99">
        <v>2100</v>
      </c>
      <c r="CP85" s="99">
        <v>13</v>
      </c>
      <c r="CQ85" s="99">
        <v>1950</v>
      </c>
      <c r="CR85" s="99">
        <v>10</v>
      </c>
      <c r="CS85" s="99">
        <v>1500</v>
      </c>
      <c r="CT85" s="99">
        <v>10</v>
      </c>
      <c r="CU85" s="99">
        <v>1500</v>
      </c>
    </row>
    <row r="86" spans="2:99">
      <c r="C86" s="98" t="s">
        <v>251</v>
      </c>
      <c r="D86" s="99">
        <v>14</v>
      </c>
      <c r="E86" s="99">
        <v>7560</v>
      </c>
      <c r="F86" s="99">
        <v>15</v>
      </c>
      <c r="G86" s="99">
        <v>8100</v>
      </c>
      <c r="H86" s="99">
        <v>10</v>
      </c>
      <c r="I86" s="99">
        <v>5400</v>
      </c>
      <c r="J86" s="99">
        <v>8</v>
      </c>
      <c r="K86" s="99">
        <v>4320</v>
      </c>
      <c r="L86" s="99">
        <v>10</v>
      </c>
      <c r="M86" s="99">
        <v>5400</v>
      </c>
      <c r="N86" s="99">
        <v>15</v>
      </c>
      <c r="O86" s="99">
        <v>8100</v>
      </c>
      <c r="P86" s="99">
        <v>10</v>
      </c>
      <c r="Q86" s="99">
        <v>5400</v>
      </c>
      <c r="R86" s="99">
        <v>12</v>
      </c>
      <c r="S86" s="99">
        <v>6480</v>
      </c>
      <c r="T86" s="99">
        <v>15</v>
      </c>
      <c r="U86" s="99">
        <v>8100</v>
      </c>
      <c r="V86" s="99">
        <v>15</v>
      </c>
      <c r="W86" s="99">
        <v>8100</v>
      </c>
      <c r="X86" s="99">
        <v>9</v>
      </c>
      <c r="Y86" s="99">
        <v>4860</v>
      </c>
      <c r="Z86" s="99">
        <v>14</v>
      </c>
      <c r="AA86" s="99">
        <v>7560</v>
      </c>
      <c r="AB86" s="99">
        <v>12</v>
      </c>
      <c r="AC86" s="99">
        <v>6480</v>
      </c>
      <c r="AD86" s="99">
        <v>12</v>
      </c>
      <c r="AE86" s="99">
        <v>6480</v>
      </c>
      <c r="AF86" s="99">
        <v>14</v>
      </c>
      <c r="AG86" s="99">
        <v>7560</v>
      </c>
      <c r="AH86" s="99">
        <v>14</v>
      </c>
      <c r="AI86" s="99">
        <v>7560</v>
      </c>
      <c r="AJ86" s="99">
        <v>12</v>
      </c>
      <c r="AK86" s="99">
        <v>6480</v>
      </c>
      <c r="AL86" s="99">
        <v>11</v>
      </c>
      <c r="AM86" s="99">
        <v>5940</v>
      </c>
      <c r="AN86" s="99">
        <v>14</v>
      </c>
      <c r="AO86" s="99">
        <v>7560</v>
      </c>
      <c r="AP86" s="99">
        <v>10</v>
      </c>
      <c r="AQ86" s="99">
        <v>5400</v>
      </c>
      <c r="AR86" s="99">
        <v>16</v>
      </c>
      <c r="AS86" s="99">
        <v>8640</v>
      </c>
      <c r="AT86" s="99">
        <v>13</v>
      </c>
      <c r="AU86" s="99">
        <v>7020</v>
      </c>
      <c r="AV86" s="99">
        <v>15</v>
      </c>
      <c r="AW86" s="99">
        <v>8100</v>
      </c>
      <c r="AX86" s="99">
        <v>8</v>
      </c>
      <c r="AY86" s="99">
        <v>4320</v>
      </c>
      <c r="AZ86" s="99">
        <v>13</v>
      </c>
      <c r="BA86" s="99">
        <v>7020</v>
      </c>
      <c r="BB86" s="99">
        <v>9</v>
      </c>
      <c r="BC86" s="99">
        <v>4860</v>
      </c>
      <c r="BD86" s="99">
        <v>9</v>
      </c>
      <c r="BE86" s="99">
        <v>4860</v>
      </c>
      <c r="BF86" s="99">
        <v>15</v>
      </c>
      <c r="BG86" s="99">
        <v>8100</v>
      </c>
      <c r="BH86" s="99">
        <v>12</v>
      </c>
      <c r="BI86" s="99">
        <v>6480</v>
      </c>
      <c r="BJ86" s="99">
        <v>11</v>
      </c>
      <c r="BK86" s="99">
        <v>5940</v>
      </c>
      <c r="BL86" s="99">
        <v>13</v>
      </c>
      <c r="BM86" s="99">
        <v>7020</v>
      </c>
      <c r="BN86" s="99">
        <v>10</v>
      </c>
      <c r="BO86" s="99">
        <v>5400</v>
      </c>
      <c r="BP86" s="99">
        <v>12</v>
      </c>
      <c r="BQ86" s="99">
        <v>6480</v>
      </c>
      <c r="BR86" s="99">
        <v>12</v>
      </c>
      <c r="BS86" s="99">
        <v>6480</v>
      </c>
      <c r="BT86" s="99">
        <v>14</v>
      </c>
      <c r="BU86" s="99">
        <v>7560</v>
      </c>
      <c r="BV86" s="99">
        <v>17</v>
      </c>
      <c r="BW86" s="99">
        <v>9180</v>
      </c>
      <c r="BX86" s="99">
        <v>14</v>
      </c>
      <c r="BY86" s="99">
        <v>7560</v>
      </c>
      <c r="BZ86" s="99">
        <v>11</v>
      </c>
      <c r="CA86" s="99">
        <v>5940</v>
      </c>
      <c r="CB86" s="99">
        <v>14</v>
      </c>
      <c r="CC86" s="99">
        <v>7560</v>
      </c>
      <c r="CD86" s="99">
        <v>14</v>
      </c>
      <c r="CE86" s="99">
        <v>7560</v>
      </c>
      <c r="CF86" s="99">
        <v>14</v>
      </c>
      <c r="CG86" s="99">
        <v>7560</v>
      </c>
      <c r="CH86" s="99">
        <v>14</v>
      </c>
      <c r="CI86" s="99">
        <v>7560</v>
      </c>
      <c r="CJ86" s="99">
        <v>11</v>
      </c>
      <c r="CK86" s="99">
        <v>5940</v>
      </c>
      <c r="CL86" s="99">
        <v>14</v>
      </c>
      <c r="CM86" s="99">
        <v>7560</v>
      </c>
      <c r="CN86" s="99">
        <v>14</v>
      </c>
      <c r="CO86" s="99">
        <v>7560</v>
      </c>
      <c r="CP86" s="99">
        <v>13</v>
      </c>
      <c r="CQ86" s="99">
        <v>7020</v>
      </c>
      <c r="CR86" s="99">
        <v>10</v>
      </c>
      <c r="CS86" s="99">
        <v>5400</v>
      </c>
      <c r="CT86" s="99">
        <v>10</v>
      </c>
      <c r="CU86" s="99">
        <v>5400</v>
      </c>
    </row>
    <row r="87" spans="2:99">
      <c r="B87" s="98" t="s">
        <v>131</v>
      </c>
      <c r="C87" s="98" t="s">
        <v>252</v>
      </c>
      <c r="D87" s="99">
        <v>17</v>
      </c>
      <c r="E87" s="99">
        <v>33231.599999999999</v>
      </c>
      <c r="F87" s="99">
        <v>11</v>
      </c>
      <c r="G87" s="99">
        <v>21502.799999999999</v>
      </c>
      <c r="H87" s="99">
        <v>18</v>
      </c>
      <c r="I87" s="99">
        <v>35186.400000000001</v>
      </c>
      <c r="J87" s="99">
        <v>13</v>
      </c>
      <c r="K87" s="99">
        <v>25412.399999999998</v>
      </c>
      <c r="L87" s="99">
        <v>9</v>
      </c>
      <c r="M87" s="99">
        <v>17593.2</v>
      </c>
      <c r="N87" s="99">
        <v>14</v>
      </c>
      <c r="O87" s="99">
        <v>27367.200000000001</v>
      </c>
      <c r="P87" s="99">
        <v>9</v>
      </c>
      <c r="Q87" s="99">
        <v>17593.2</v>
      </c>
      <c r="R87" s="99">
        <v>16</v>
      </c>
      <c r="S87" s="99">
        <v>31276.799999999999</v>
      </c>
      <c r="T87" s="99">
        <v>13</v>
      </c>
      <c r="U87" s="99">
        <v>25412.399999999998</v>
      </c>
      <c r="V87" s="99">
        <v>9</v>
      </c>
      <c r="W87" s="99">
        <v>17593.2</v>
      </c>
      <c r="X87" s="99">
        <v>12</v>
      </c>
      <c r="Y87" s="99">
        <v>23457.599999999999</v>
      </c>
      <c r="Z87" s="99">
        <v>16</v>
      </c>
      <c r="AA87" s="99">
        <v>31276.799999999999</v>
      </c>
      <c r="AB87" s="99">
        <v>12</v>
      </c>
      <c r="AC87" s="99">
        <v>23457.599999999999</v>
      </c>
      <c r="AD87" s="99">
        <v>15</v>
      </c>
      <c r="AE87" s="99">
        <v>29322</v>
      </c>
      <c r="AF87" s="99">
        <v>15</v>
      </c>
      <c r="AG87" s="99">
        <v>29322</v>
      </c>
      <c r="AH87" s="99">
        <v>17</v>
      </c>
      <c r="AI87" s="99">
        <v>33231.599999999999</v>
      </c>
      <c r="AJ87" s="99">
        <v>10</v>
      </c>
      <c r="AK87" s="99">
        <v>19548</v>
      </c>
      <c r="AL87" s="99">
        <v>11</v>
      </c>
      <c r="AM87" s="99">
        <v>21502.799999999999</v>
      </c>
      <c r="AN87" s="99">
        <v>13</v>
      </c>
      <c r="AO87" s="99">
        <v>25412.399999999998</v>
      </c>
      <c r="AP87" s="99">
        <v>16</v>
      </c>
      <c r="AQ87" s="99">
        <v>31276.799999999999</v>
      </c>
      <c r="AR87" s="99">
        <v>17</v>
      </c>
      <c r="AS87" s="99">
        <v>33231.599999999999</v>
      </c>
      <c r="AT87" s="99">
        <v>20</v>
      </c>
      <c r="AU87" s="99">
        <v>39096</v>
      </c>
      <c r="AV87" s="99">
        <v>16</v>
      </c>
      <c r="AW87" s="99">
        <v>31276.799999999999</v>
      </c>
      <c r="AX87" s="99">
        <v>15</v>
      </c>
      <c r="AY87" s="99">
        <v>29322</v>
      </c>
      <c r="AZ87" s="99">
        <v>13</v>
      </c>
      <c r="BA87" s="99">
        <v>25412.399999999998</v>
      </c>
      <c r="BB87" s="99">
        <v>12</v>
      </c>
      <c r="BC87" s="99">
        <v>23457.599999999999</v>
      </c>
      <c r="BD87" s="99">
        <v>20</v>
      </c>
      <c r="BE87" s="99">
        <v>39096</v>
      </c>
      <c r="BF87" s="99">
        <v>16</v>
      </c>
      <c r="BG87" s="99">
        <v>31276.799999999999</v>
      </c>
      <c r="BH87" s="99">
        <v>13</v>
      </c>
      <c r="BI87" s="99">
        <v>25412.399999999998</v>
      </c>
      <c r="BJ87" s="99">
        <v>12</v>
      </c>
      <c r="BK87" s="99">
        <v>23457.599999999999</v>
      </c>
      <c r="BL87" s="99">
        <v>14</v>
      </c>
      <c r="BM87" s="99">
        <v>27367.200000000001</v>
      </c>
      <c r="BN87" s="99">
        <v>14</v>
      </c>
      <c r="BO87" s="99">
        <v>27367.200000000001</v>
      </c>
      <c r="BP87" s="99">
        <v>20</v>
      </c>
      <c r="BQ87" s="99">
        <v>39096</v>
      </c>
      <c r="BR87" s="99">
        <v>15</v>
      </c>
      <c r="BS87" s="99">
        <v>29322</v>
      </c>
      <c r="BT87" s="99">
        <v>11</v>
      </c>
      <c r="BU87" s="99">
        <v>21502.799999999999</v>
      </c>
      <c r="BV87" s="99">
        <v>16</v>
      </c>
      <c r="BW87" s="99">
        <v>31276.799999999999</v>
      </c>
      <c r="BX87" s="99">
        <v>18</v>
      </c>
      <c r="BY87" s="99">
        <v>35186.400000000001</v>
      </c>
      <c r="BZ87" s="99">
        <v>20</v>
      </c>
      <c r="CA87" s="99">
        <v>39096</v>
      </c>
      <c r="CB87" s="99">
        <v>16</v>
      </c>
      <c r="CC87" s="99">
        <v>31276.799999999999</v>
      </c>
      <c r="CD87" s="99">
        <v>21</v>
      </c>
      <c r="CE87" s="99">
        <v>41050.799999999996</v>
      </c>
      <c r="CF87" s="99">
        <v>16</v>
      </c>
      <c r="CG87" s="99">
        <v>31276.799999999999</v>
      </c>
      <c r="CH87" s="99">
        <v>17</v>
      </c>
      <c r="CI87" s="99">
        <v>33231.599999999999</v>
      </c>
      <c r="CJ87" s="99">
        <v>13</v>
      </c>
      <c r="CK87" s="99">
        <v>25412.399999999998</v>
      </c>
      <c r="CL87" s="99">
        <v>19</v>
      </c>
      <c r="CM87" s="99">
        <v>37141.199999999997</v>
      </c>
      <c r="CN87" s="99">
        <v>18</v>
      </c>
      <c r="CO87" s="99">
        <v>35186.400000000001</v>
      </c>
      <c r="CP87" s="99">
        <v>15</v>
      </c>
      <c r="CQ87" s="99">
        <v>29322</v>
      </c>
      <c r="CR87" s="99">
        <v>17</v>
      </c>
      <c r="CS87" s="99">
        <v>33231.599999999999</v>
      </c>
      <c r="CT87" s="99">
        <v>18</v>
      </c>
      <c r="CU87" s="99">
        <v>35186.400000000001</v>
      </c>
    </row>
    <row r="88" spans="2:99">
      <c r="C88" s="98" t="s">
        <v>253</v>
      </c>
      <c r="D88" s="99">
        <v>18</v>
      </c>
      <c r="E88" s="99">
        <v>34063.199999999997</v>
      </c>
      <c r="F88" s="99">
        <v>11</v>
      </c>
      <c r="G88" s="99">
        <v>20816.399999999998</v>
      </c>
      <c r="H88" s="99">
        <v>17</v>
      </c>
      <c r="I88" s="99">
        <v>32170.799999999999</v>
      </c>
      <c r="J88" s="99">
        <v>14</v>
      </c>
      <c r="K88" s="99">
        <v>26493.599999999999</v>
      </c>
      <c r="L88" s="99">
        <v>10</v>
      </c>
      <c r="M88" s="99">
        <v>18924</v>
      </c>
      <c r="N88" s="99">
        <v>15</v>
      </c>
      <c r="O88" s="99">
        <v>28385.999999999996</v>
      </c>
      <c r="P88" s="99">
        <v>10</v>
      </c>
      <c r="Q88" s="99">
        <v>18924</v>
      </c>
      <c r="R88" s="99">
        <v>16</v>
      </c>
      <c r="S88" s="99">
        <v>30278.399999999998</v>
      </c>
      <c r="T88" s="99">
        <v>14</v>
      </c>
      <c r="U88" s="99">
        <v>26493.599999999999</v>
      </c>
      <c r="V88" s="99">
        <v>10</v>
      </c>
      <c r="W88" s="99">
        <v>18924</v>
      </c>
      <c r="X88" s="99">
        <v>13</v>
      </c>
      <c r="Y88" s="99">
        <v>24601.199999999997</v>
      </c>
      <c r="Z88" s="99">
        <v>18</v>
      </c>
      <c r="AA88" s="99">
        <v>34063.199999999997</v>
      </c>
      <c r="AB88" s="99">
        <v>12</v>
      </c>
      <c r="AC88" s="99">
        <v>22708.799999999999</v>
      </c>
      <c r="AD88" s="99">
        <v>16</v>
      </c>
      <c r="AE88" s="99">
        <v>30278.399999999998</v>
      </c>
      <c r="AF88" s="99">
        <v>13</v>
      </c>
      <c r="AG88" s="99">
        <v>24601.199999999997</v>
      </c>
      <c r="AH88" s="99">
        <v>17</v>
      </c>
      <c r="AI88" s="99">
        <v>32170.799999999999</v>
      </c>
      <c r="AJ88" s="99">
        <v>11</v>
      </c>
      <c r="AK88" s="99">
        <v>20816.399999999998</v>
      </c>
      <c r="AL88" s="99">
        <v>12</v>
      </c>
      <c r="AM88" s="99">
        <v>22708.799999999999</v>
      </c>
      <c r="AN88" s="99">
        <v>13</v>
      </c>
      <c r="AO88" s="99">
        <v>24601.199999999997</v>
      </c>
      <c r="AP88" s="99">
        <v>16</v>
      </c>
      <c r="AQ88" s="99">
        <v>30278.399999999998</v>
      </c>
      <c r="AR88" s="99">
        <v>18</v>
      </c>
      <c r="AS88" s="99">
        <v>34063.199999999997</v>
      </c>
      <c r="AT88" s="99">
        <v>21</v>
      </c>
      <c r="AU88" s="99">
        <v>39740.399999999994</v>
      </c>
      <c r="AV88" s="99">
        <v>19</v>
      </c>
      <c r="AW88" s="99">
        <v>35955.599999999999</v>
      </c>
      <c r="AX88" s="99">
        <v>15</v>
      </c>
      <c r="AY88" s="99">
        <v>28385.999999999996</v>
      </c>
      <c r="AZ88" s="99">
        <v>13</v>
      </c>
      <c r="BA88" s="99">
        <v>24601.199999999997</v>
      </c>
      <c r="BB88" s="99">
        <v>12</v>
      </c>
      <c r="BC88" s="99">
        <v>22708.799999999999</v>
      </c>
      <c r="BD88" s="99">
        <v>21</v>
      </c>
      <c r="BE88" s="99">
        <v>39740.399999999994</v>
      </c>
      <c r="BF88" s="99">
        <v>16</v>
      </c>
      <c r="BG88" s="99">
        <v>30278.399999999998</v>
      </c>
      <c r="BH88" s="99">
        <v>13</v>
      </c>
      <c r="BI88" s="99">
        <v>24601.199999999997</v>
      </c>
      <c r="BJ88" s="99">
        <v>13</v>
      </c>
      <c r="BK88" s="99">
        <v>24601.199999999997</v>
      </c>
      <c r="BL88" s="99">
        <v>15</v>
      </c>
      <c r="BM88" s="99">
        <v>28385.999999999996</v>
      </c>
      <c r="BN88" s="99">
        <v>14</v>
      </c>
      <c r="BO88" s="99">
        <v>26493.599999999999</v>
      </c>
      <c r="BP88" s="99">
        <v>20</v>
      </c>
      <c r="BQ88" s="99">
        <v>37848</v>
      </c>
      <c r="BR88" s="99">
        <v>17</v>
      </c>
      <c r="BS88" s="99">
        <v>32170.799999999999</v>
      </c>
      <c r="BT88" s="99">
        <v>10</v>
      </c>
      <c r="BU88" s="99">
        <v>18924</v>
      </c>
      <c r="BV88" s="99">
        <v>17</v>
      </c>
      <c r="BW88" s="99">
        <v>32170.799999999999</v>
      </c>
      <c r="BX88" s="99">
        <v>19</v>
      </c>
      <c r="BY88" s="99">
        <v>35955.599999999999</v>
      </c>
      <c r="BZ88" s="99">
        <v>18</v>
      </c>
      <c r="CA88" s="99">
        <v>34063.199999999997</v>
      </c>
      <c r="CB88" s="99">
        <v>18</v>
      </c>
      <c r="CC88" s="99">
        <v>34063.199999999997</v>
      </c>
      <c r="CD88" s="99">
        <v>17</v>
      </c>
      <c r="CE88" s="99">
        <v>32170.799999999999</v>
      </c>
      <c r="CF88" s="99">
        <v>14</v>
      </c>
      <c r="CG88" s="99">
        <v>26493.599999999999</v>
      </c>
      <c r="CH88" s="99">
        <v>17</v>
      </c>
      <c r="CI88" s="99">
        <v>32170.799999999999</v>
      </c>
      <c r="CJ88" s="99">
        <v>13</v>
      </c>
      <c r="CK88" s="99">
        <v>24601.199999999997</v>
      </c>
      <c r="CL88" s="99">
        <v>20</v>
      </c>
      <c r="CM88" s="99">
        <v>37848</v>
      </c>
      <c r="CN88" s="99">
        <v>20</v>
      </c>
      <c r="CO88" s="99">
        <v>37848</v>
      </c>
      <c r="CP88" s="99">
        <v>15</v>
      </c>
      <c r="CQ88" s="99">
        <v>28385.999999999996</v>
      </c>
      <c r="CR88" s="99">
        <v>18</v>
      </c>
      <c r="CS88" s="99">
        <v>34063.199999999997</v>
      </c>
      <c r="CT88" s="99">
        <v>18</v>
      </c>
      <c r="CU88" s="99">
        <v>34063.199999999997</v>
      </c>
    </row>
    <row r="89" spans="2:99">
      <c r="C89" s="98" t="s">
        <v>254</v>
      </c>
      <c r="D89" s="99">
        <v>15</v>
      </c>
      <c r="E89" s="99">
        <v>35964</v>
      </c>
      <c r="F89" s="99">
        <v>10</v>
      </c>
      <c r="G89" s="99">
        <v>23976</v>
      </c>
      <c r="H89" s="99">
        <v>15</v>
      </c>
      <c r="I89" s="99">
        <v>35964</v>
      </c>
      <c r="J89" s="99">
        <v>13</v>
      </c>
      <c r="K89" s="99">
        <v>31168.799999999999</v>
      </c>
      <c r="L89" s="99">
        <v>10</v>
      </c>
      <c r="M89" s="99">
        <v>23976</v>
      </c>
      <c r="N89" s="99">
        <v>16</v>
      </c>
      <c r="O89" s="99">
        <v>38361.599999999999</v>
      </c>
      <c r="P89" s="99">
        <v>9</v>
      </c>
      <c r="Q89" s="99">
        <v>21578.399999999998</v>
      </c>
      <c r="R89" s="99">
        <v>14</v>
      </c>
      <c r="S89" s="99">
        <v>33566.400000000001</v>
      </c>
      <c r="T89" s="99">
        <v>13</v>
      </c>
      <c r="U89" s="99">
        <v>31168.799999999999</v>
      </c>
      <c r="V89" s="99">
        <v>9</v>
      </c>
      <c r="W89" s="99">
        <v>21578.399999999998</v>
      </c>
      <c r="X89" s="99">
        <v>13</v>
      </c>
      <c r="Y89" s="99">
        <v>31168.799999999999</v>
      </c>
      <c r="Z89" s="99">
        <v>17</v>
      </c>
      <c r="AA89" s="99">
        <v>40759.199999999997</v>
      </c>
      <c r="AB89" s="99">
        <v>12</v>
      </c>
      <c r="AC89" s="99">
        <v>28771.199999999997</v>
      </c>
      <c r="AD89" s="99">
        <v>13</v>
      </c>
      <c r="AE89" s="99">
        <v>31168.799999999999</v>
      </c>
      <c r="AF89" s="99">
        <v>14</v>
      </c>
      <c r="AG89" s="99">
        <v>33566.400000000001</v>
      </c>
      <c r="AH89" s="99">
        <v>16</v>
      </c>
      <c r="AI89" s="99">
        <v>38361.599999999999</v>
      </c>
      <c r="AJ89" s="99">
        <v>10</v>
      </c>
      <c r="AK89" s="99">
        <v>23976</v>
      </c>
      <c r="AL89" s="99">
        <v>10</v>
      </c>
      <c r="AM89" s="99">
        <v>23976</v>
      </c>
      <c r="AN89" s="99">
        <v>11</v>
      </c>
      <c r="AO89" s="99">
        <v>26373.599999999999</v>
      </c>
      <c r="AP89" s="99">
        <v>14</v>
      </c>
      <c r="AQ89" s="99">
        <v>33566.400000000001</v>
      </c>
      <c r="AR89" s="99">
        <v>20</v>
      </c>
      <c r="AS89" s="99">
        <v>47952</v>
      </c>
      <c r="AT89" s="99">
        <v>18</v>
      </c>
      <c r="AU89" s="99">
        <v>43156.799999999996</v>
      </c>
      <c r="AV89" s="99">
        <v>17</v>
      </c>
      <c r="AW89" s="99">
        <v>40759.199999999997</v>
      </c>
      <c r="AX89" s="99">
        <v>14</v>
      </c>
      <c r="AY89" s="99">
        <v>33566.400000000001</v>
      </c>
      <c r="AZ89" s="99">
        <v>12</v>
      </c>
      <c r="BA89" s="99">
        <v>28771.199999999997</v>
      </c>
      <c r="BB89" s="99">
        <v>13</v>
      </c>
      <c r="BC89" s="99">
        <v>31168.799999999999</v>
      </c>
      <c r="BD89" s="99">
        <v>19</v>
      </c>
      <c r="BE89" s="99">
        <v>45554.400000000001</v>
      </c>
      <c r="BF89" s="99">
        <v>16</v>
      </c>
      <c r="BG89" s="99">
        <v>38361.599999999999</v>
      </c>
      <c r="BH89" s="99">
        <v>13</v>
      </c>
      <c r="BI89" s="99">
        <v>31168.799999999999</v>
      </c>
      <c r="BJ89" s="99">
        <v>11</v>
      </c>
      <c r="BK89" s="99">
        <v>26373.599999999999</v>
      </c>
      <c r="BL89" s="99">
        <v>13</v>
      </c>
      <c r="BM89" s="99">
        <v>31168.799999999999</v>
      </c>
      <c r="BN89" s="99">
        <v>14</v>
      </c>
      <c r="BO89" s="99">
        <v>33566.400000000001</v>
      </c>
      <c r="BP89" s="99">
        <v>18</v>
      </c>
      <c r="BQ89" s="99">
        <v>43156.799999999996</v>
      </c>
      <c r="BR89" s="99">
        <v>17</v>
      </c>
      <c r="BS89" s="99">
        <v>40759.199999999997</v>
      </c>
      <c r="BT89" s="99">
        <v>10</v>
      </c>
      <c r="BU89" s="99">
        <v>23976</v>
      </c>
      <c r="BV89" s="99">
        <v>15</v>
      </c>
      <c r="BW89" s="99">
        <v>35964</v>
      </c>
      <c r="BX89" s="99">
        <v>17</v>
      </c>
      <c r="BY89" s="99">
        <v>40759.199999999997</v>
      </c>
      <c r="BZ89" s="99">
        <v>20</v>
      </c>
      <c r="CA89" s="99">
        <v>47952</v>
      </c>
      <c r="CB89" s="99">
        <v>16</v>
      </c>
      <c r="CC89" s="99">
        <v>38361.599999999999</v>
      </c>
      <c r="CD89" s="99">
        <v>18</v>
      </c>
      <c r="CE89" s="99">
        <v>43156.799999999996</v>
      </c>
      <c r="CF89" s="99">
        <v>13</v>
      </c>
      <c r="CG89" s="99">
        <v>31168.799999999999</v>
      </c>
      <c r="CH89" s="99">
        <v>14</v>
      </c>
      <c r="CI89" s="99">
        <v>33566.400000000001</v>
      </c>
      <c r="CJ89" s="99">
        <v>12</v>
      </c>
      <c r="CK89" s="99">
        <v>28771.199999999997</v>
      </c>
      <c r="CL89" s="99">
        <v>16</v>
      </c>
      <c r="CM89" s="99">
        <v>38361.599999999999</v>
      </c>
      <c r="CN89" s="99">
        <v>19</v>
      </c>
      <c r="CO89" s="99">
        <v>45554.400000000001</v>
      </c>
      <c r="CP89" s="99">
        <v>16</v>
      </c>
      <c r="CQ89" s="99">
        <v>38361.599999999999</v>
      </c>
      <c r="CR89" s="99">
        <v>17</v>
      </c>
      <c r="CS89" s="99">
        <v>40759.199999999997</v>
      </c>
      <c r="CT89" s="99">
        <v>18</v>
      </c>
      <c r="CU89" s="99">
        <v>43156.799999999996</v>
      </c>
    </row>
    <row r="90" spans="2:99">
      <c r="C90" s="98" t="s">
        <v>255</v>
      </c>
      <c r="D90" s="99">
        <v>15</v>
      </c>
      <c r="E90" s="99">
        <v>32958</v>
      </c>
      <c r="F90" s="99">
        <v>11</v>
      </c>
      <c r="G90" s="99">
        <v>24169.199999999997</v>
      </c>
      <c r="H90" s="99">
        <v>16</v>
      </c>
      <c r="I90" s="99">
        <v>35155.199999999997</v>
      </c>
      <c r="J90" s="99">
        <v>12</v>
      </c>
      <c r="K90" s="99">
        <v>26366.399999999998</v>
      </c>
      <c r="L90" s="99">
        <v>9</v>
      </c>
      <c r="M90" s="99">
        <v>19774.8</v>
      </c>
      <c r="N90" s="99">
        <v>13</v>
      </c>
      <c r="O90" s="99">
        <v>28563.599999999999</v>
      </c>
      <c r="P90" s="99">
        <v>10</v>
      </c>
      <c r="Q90" s="99">
        <v>21972</v>
      </c>
      <c r="R90" s="99">
        <v>14</v>
      </c>
      <c r="S90" s="99">
        <v>30760.799999999996</v>
      </c>
      <c r="T90" s="99">
        <v>15</v>
      </c>
      <c r="U90" s="99">
        <v>32958</v>
      </c>
      <c r="V90" s="99">
        <v>9</v>
      </c>
      <c r="W90" s="99">
        <v>19774.8</v>
      </c>
      <c r="X90" s="99">
        <v>11</v>
      </c>
      <c r="Y90" s="99">
        <v>24169.199999999997</v>
      </c>
      <c r="Z90" s="99">
        <v>17</v>
      </c>
      <c r="AA90" s="99">
        <v>37352.399999999994</v>
      </c>
      <c r="AB90" s="99">
        <v>13</v>
      </c>
      <c r="AC90" s="99">
        <v>28563.599999999999</v>
      </c>
      <c r="AD90" s="99">
        <v>14</v>
      </c>
      <c r="AE90" s="99">
        <v>30760.799999999996</v>
      </c>
      <c r="AF90" s="99">
        <v>13</v>
      </c>
      <c r="AG90" s="99">
        <v>28563.599999999999</v>
      </c>
      <c r="AH90" s="99">
        <v>17</v>
      </c>
      <c r="AI90" s="99">
        <v>37352.399999999994</v>
      </c>
      <c r="AJ90" s="99">
        <v>11</v>
      </c>
      <c r="AK90" s="99">
        <v>24169.199999999997</v>
      </c>
      <c r="AL90" s="99">
        <v>11</v>
      </c>
      <c r="AM90" s="99">
        <v>24169.199999999997</v>
      </c>
      <c r="AN90" s="99">
        <v>12</v>
      </c>
      <c r="AO90" s="99">
        <v>26366.399999999998</v>
      </c>
      <c r="AP90" s="99">
        <v>16</v>
      </c>
      <c r="AQ90" s="99">
        <v>35155.199999999997</v>
      </c>
      <c r="AR90" s="99">
        <v>17</v>
      </c>
      <c r="AS90" s="99">
        <v>37352.399999999994</v>
      </c>
      <c r="AT90" s="99">
        <v>17</v>
      </c>
      <c r="AU90" s="99">
        <v>37352.399999999994</v>
      </c>
      <c r="AV90" s="99">
        <v>16</v>
      </c>
      <c r="AW90" s="99">
        <v>35155.199999999997</v>
      </c>
      <c r="AX90" s="99">
        <v>15</v>
      </c>
      <c r="AY90" s="99">
        <v>32958</v>
      </c>
      <c r="AZ90" s="99">
        <v>14</v>
      </c>
      <c r="BA90" s="99">
        <v>30760.799999999996</v>
      </c>
      <c r="BB90" s="99">
        <v>12</v>
      </c>
      <c r="BC90" s="99">
        <v>26366.399999999998</v>
      </c>
      <c r="BD90" s="99">
        <v>20</v>
      </c>
      <c r="BE90" s="99">
        <v>43944</v>
      </c>
      <c r="BF90" s="99">
        <v>15</v>
      </c>
      <c r="BG90" s="99">
        <v>32958</v>
      </c>
      <c r="BH90" s="99">
        <v>13</v>
      </c>
      <c r="BI90" s="99">
        <v>28563.599999999999</v>
      </c>
      <c r="BJ90" s="99">
        <v>11</v>
      </c>
      <c r="BK90" s="99">
        <v>24169.199999999997</v>
      </c>
      <c r="BL90" s="99">
        <v>14</v>
      </c>
      <c r="BM90" s="99">
        <v>30760.799999999996</v>
      </c>
      <c r="BN90" s="99">
        <v>15</v>
      </c>
      <c r="BO90" s="99">
        <v>32958</v>
      </c>
      <c r="BP90" s="99">
        <v>19</v>
      </c>
      <c r="BQ90" s="99">
        <v>41746.799999999996</v>
      </c>
      <c r="BR90" s="99">
        <v>16</v>
      </c>
      <c r="BS90" s="99">
        <v>35155.199999999997</v>
      </c>
      <c r="BT90" s="99">
        <v>10</v>
      </c>
      <c r="BU90" s="99">
        <v>21972</v>
      </c>
      <c r="BV90" s="99">
        <v>18</v>
      </c>
      <c r="BW90" s="99">
        <v>39549.599999999999</v>
      </c>
      <c r="BX90" s="99">
        <v>18</v>
      </c>
      <c r="BY90" s="99">
        <v>39549.599999999999</v>
      </c>
      <c r="BZ90" s="99">
        <v>20</v>
      </c>
      <c r="CA90" s="99">
        <v>43944</v>
      </c>
      <c r="CB90" s="99">
        <v>16</v>
      </c>
      <c r="CC90" s="99">
        <v>35155.199999999997</v>
      </c>
      <c r="CD90" s="99">
        <v>17</v>
      </c>
      <c r="CE90" s="99">
        <v>37352.399999999994</v>
      </c>
      <c r="CF90" s="99">
        <v>14</v>
      </c>
      <c r="CG90" s="99">
        <v>30760.799999999996</v>
      </c>
      <c r="CH90" s="99">
        <v>16</v>
      </c>
      <c r="CI90" s="99">
        <v>35155.199999999997</v>
      </c>
      <c r="CJ90" s="99">
        <v>10</v>
      </c>
      <c r="CK90" s="99">
        <v>21972</v>
      </c>
      <c r="CL90" s="99">
        <v>18</v>
      </c>
      <c r="CM90" s="99">
        <v>39549.599999999999</v>
      </c>
      <c r="CN90" s="99">
        <v>17</v>
      </c>
      <c r="CO90" s="99">
        <v>37352.399999999994</v>
      </c>
      <c r="CP90" s="99">
        <v>16</v>
      </c>
      <c r="CQ90" s="99">
        <v>35155.199999999997</v>
      </c>
      <c r="CR90" s="99">
        <v>18</v>
      </c>
      <c r="CS90" s="99">
        <v>39549.599999999999</v>
      </c>
      <c r="CT90" s="99">
        <v>19</v>
      </c>
      <c r="CU90" s="99">
        <v>41746.799999999996</v>
      </c>
    </row>
    <row r="91" spans="2:99">
      <c r="C91" s="98" t="s">
        <v>256</v>
      </c>
      <c r="D91" s="99">
        <v>15</v>
      </c>
      <c r="E91" s="99">
        <v>34451.999999999993</v>
      </c>
      <c r="F91" s="99">
        <v>10</v>
      </c>
      <c r="G91" s="99">
        <v>22967.999999999996</v>
      </c>
      <c r="H91" s="99">
        <v>16</v>
      </c>
      <c r="I91" s="99">
        <v>36748.799999999996</v>
      </c>
      <c r="J91" s="99">
        <v>11</v>
      </c>
      <c r="K91" s="99">
        <v>25264.799999999996</v>
      </c>
      <c r="L91" s="99">
        <v>10</v>
      </c>
      <c r="M91" s="99">
        <v>22967.999999999996</v>
      </c>
      <c r="N91" s="99">
        <v>13</v>
      </c>
      <c r="O91" s="99">
        <v>29858.399999999998</v>
      </c>
      <c r="P91" s="99">
        <v>10</v>
      </c>
      <c r="Q91" s="99">
        <v>22967.999999999996</v>
      </c>
      <c r="R91" s="99">
        <v>15</v>
      </c>
      <c r="S91" s="99">
        <v>34451.999999999993</v>
      </c>
      <c r="T91" s="99">
        <v>14</v>
      </c>
      <c r="U91" s="99">
        <v>32155.199999999997</v>
      </c>
      <c r="V91" s="99">
        <v>9</v>
      </c>
      <c r="W91" s="99">
        <v>20671.199999999997</v>
      </c>
      <c r="X91" s="99">
        <v>13</v>
      </c>
      <c r="Y91" s="99">
        <v>29858.399999999998</v>
      </c>
      <c r="Z91" s="99">
        <v>16</v>
      </c>
      <c r="AA91" s="99">
        <v>36748.799999999996</v>
      </c>
      <c r="AB91" s="99">
        <v>13</v>
      </c>
      <c r="AC91" s="99">
        <v>29858.399999999998</v>
      </c>
      <c r="AD91" s="99">
        <v>15</v>
      </c>
      <c r="AE91" s="99">
        <v>34451.999999999993</v>
      </c>
      <c r="AF91" s="99">
        <v>14</v>
      </c>
      <c r="AG91" s="99">
        <v>32155.199999999997</v>
      </c>
      <c r="AH91" s="99">
        <v>18</v>
      </c>
      <c r="AI91" s="99">
        <v>41342.399999999994</v>
      </c>
      <c r="AJ91" s="99">
        <v>10</v>
      </c>
      <c r="AK91" s="99">
        <v>22967.999999999996</v>
      </c>
      <c r="AL91" s="99">
        <v>10</v>
      </c>
      <c r="AM91" s="99">
        <v>22967.999999999996</v>
      </c>
      <c r="AN91" s="99">
        <v>12</v>
      </c>
      <c r="AO91" s="99">
        <v>27561.599999999999</v>
      </c>
      <c r="AP91" s="99">
        <v>13</v>
      </c>
      <c r="AQ91" s="99">
        <v>29858.399999999998</v>
      </c>
      <c r="AR91" s="99">
        <v>19</v>
      </c>
      <c r="AS91" s="99">
        <v>43639.199999999997</v>
      </c>
      <c r="AT91" s="99">
        <v>20</v>
      </c>
      <c r="AU91" s="99">
        <v>45935.999999999993</v>
      </c>
      <c r="AV91" s="99">
        <v>17</v>
      </c>
      <c r="AW91" s="99">
        <v>39045.599999999999</v>
      </c>
      <c r="AX91" s="99">
        <v>15</v>
      </c>
      <c r="AY91" s="99">
        <v>34451.999999999993</v>
      </c>
      <c r="AZ91" s="99">
        <v>14</v>
      </c>
      <c r="BA91" s="99">
        <v>32155.199999999997</v>
      </c>
      <c r="BB91" s="99">
        <v>11</v>
      </c>
      <c r="BC91" s="99">
        <v>25264.799999999996</v>
      </c>
      <c r="BD91" s="99">
        <v>21</v>
      </c>
      <c r="BE91" s="99">
        <v>48232.799999999996</v>
      </c>
      <c r="BF91" s="99">
        <v>16</v>
      </c>
      <c r="BG91" s="99">
        <v>36748.799999999996</v>
      </c>
      <c r="BH91" s="99">
        <v>12</v>
      </c>
      <c r="BI91" s="99">
        <v>27561.599999999999</v>
      </c>
      <c r="BJ91" s="99">
        <v>12</v>
      </c>
      <c r="BK91" s="99">
        <v>27561.599999999999</v>
      </c>
      <c r="BL91" s="99">
        <v>13</v>
      </c>
      <c r="BM91" s="99">
        <v>29858.399999999998</v>
      </c>
      <c r="BN91" s="99">
        <v>14</v>
      </c>
      <c r="BO91" s="99">
        <v>32155.199999999997</v>
      </c>
      <c r="BP91" s="99">
        <v>18</v>
      </c>
      <c r="BQ91" s="99">
        <v>41342.399999999994</v>
      </c>
      <c r="BR91" s="99">
        <v>15</v>
      </c>
      <c r="BS91" s="99">
        <v>34451.999999999993</v>
      </c>
      <c r="BT91" s="99">
        <v>11</v>
      </c>
      <c r="BU91" s="99">
        <v>25264.799999999996</v>
      </c>
      <c r="BV91" s="99">
        <v>15</v>
      </c>
      <c r="BW91" s="99">
        <v>34451.999999999993</v>
      </c>
      <c r="BX91" s="99">
        <v>17</v>
      </c>
      <c r="BY91" s="99">
        <v>39045.599999999999</v>
      </c>
      <c r="BZ91" s="99">
        <v>17</v>
      </c>
      <c r="CA91" s="99">
        <v>39045.599999999999</v>
      </c>
      <c r="CB91" s="99">
        <v>17</v>
      </c>
      <c r="CC91" s="99">
        <v>39045.599999999999</v>
      </c>
      <c r="CD91" s="99">
        <v>17</v>
      </c>
      <c r="CE91" s="99">
        <v>39045.599999999999</v>
      </c>
      <c r="CF91" s="99">
        <v>14</v>
      </c>
      <c r="CG91" s="99">
        <v>32155.199999999997</v>
      </c>
      <c r="CH91" s="99">
        <v>15</v>
      </c>
      <c r="CI91" s="99">
        <v>34451.999999999993</v>
      </c>
      <c r="CJ91" s="99">
        <v>11</v>
      </c>
      <c r="CK91" s="99">
        <v>25264.799999999996</v>
      </c>
      <c r="CL91" s="99">
        <v>18</v>
      </c>
      <c r="CM91" s="99">
        <v>41342.399999999994</v>
      </c>
      <c r="CN91" s="99">
        <v>17</v>
      </c>
      <c r="CO91" s="99">
        <v>39045.599999999999</v>
      </c>
      <c r="CP91" s="99">
        <v>15</v>
      </c>
      <c r="CQ91" s="99">
        <v>34451.999999999993</v>
      </c>
      <c r="CR91" s="99">
        <v>18</v>
      </c>
      <c r="CS91" s="99">
        <v>41342.399999999994</v>
      </c>
      <c r="CT91" s="99">
        <v>17</v>
      </c>
      <c r="CU91" s="99">
        <v>39045.599999999999</v>
      </c>
    </row>
    <row r="92" spans="2:99">
      <c r="C92" s="98" t="s">
        <v>257</v>
      </c>
      <c r="D92" s="99">
        <v>18</v>
      </c>
      <c r="E92" s="99">
        <v>25574.399999999998</v>
      </c>
      <c r="F92" s="99">
        <v>13</v>
      </c>
      <c r="G92" s="99">
        <v>18470.399999999998</v>
      </c>
      <c r="H92" s="99">
        <v>18</v>
      </c>
      <c r="I92" s="99">
        <v>25574.399999999998</v>
      </c>
      <c r="J92" s="99">
        <v>15</v>
      </c>
      <c r="K92" s="99">
        <v>21312</v>
      </c>
      <c r="L92" s="99">
        <v>10</v>
      </c>
      <c r="M92" s="99">
        <v>14208</v>
      </c>
      <c r="N92" s="99">
        <v>16</v>
      </c>
      <c r="O92" s="99">
        <v>22732.799999999999</v>
      </c>
      <c r="P92" s="99">
        <v>11</v>
      </c>
      <c r="Q92" s="99">
        <v>15628.8</v>
      </c>
      <c r="R92" s="99">
        <v>17</v>
      </c>
      <c r="S92" s="99">
        <v>24153.599999999999</v>
      </c>
      <c r="T92" s="99">
        <v>15</v>
      </c>
      <c r="U92" s="99">
        <v>21312</v>
      </c>
      <c r="V92" s="99">
        <v>10</v>
      </c>
      <c r="W92" s="99">
        <v>14208</v>
      </c>
      <c r="X92" s="99">
        <v>13</v>
      </c>
      <c r="Y92" s="99">
        <v>18470.399999999998</v>
      </c>
      <c r="Z92" s="99">
        <v>16</v>
      </c>
      <c r="AA92" s="99">
        <v>22732.799999999999</v>
      </c>
      <c r="AB92" s="99">
        <v>12</v>
      </c>
      <c r="AC92" s="99">
        <v>17049.599999999999</v>
      </c>
      <c r="AD92" s="99">
        <v>16</v>
      </c>
      <c r="AE92" s="99">
        <v>22732.799999999999</v>
      </c>
      <c r="AF92" s="99">
        <v>15</v>
      </c>
      <c r="AG92" s="99">
        <v>21312</v>
      </c>
      <c r="AH92" s="99">
        <v>18</v>
      </c>
      <c r="AI92" s="99">
        <v>25574.399999999998</v>
      </c>
      <c r="AJ92" s="99">
        <v>11</v>
      </c>
      <c r="AK92" s="99">
        <v>15628.8</v>
      </c>
      <c r="AL92" s="99">
        <v>11</v>
      </c>
      <c r="AM92" s="99">
        <v>15628.8</v>
      </c>
      <c r="AN92" s="99">
        <v>12</v>
      </c>
      <c r="AO92" s="99">
        <v>17049.599999999999</v>
      </c>
      <c r="AP92" s="99">
        <v>14</v>
      </c>
      <c r="AQ92" s="99">
        <v>19891.2</v>
      </c>
      <c r="AR92" s="99">
        <v>19</v>
      </c>
      <c r="AS92" s="99">
        <v>26995.200000000001</v>
      </c>
      <c r="AT92" s="99">
        <v>18</v>
      </c>
      <c r="AU92" s="99">
        <v>25574.399999999998</v>
      </c>
      <c r="AV92" s="99">
        <v>17</v>
      </c>
      <c r="AW92" s="99">
        <v>24153.599999999999</v>
      </c>
      <c r="AX92" s="99">
        <v>15</v>
      </c>
      <c r="AY92" s="99">
        <v>21312</v>
      </c>
      <c r="AZ92" s="99">
        <v>15</v>
      </c>
      <c r="BA92" s="99">
        <v>21312</v>
      </c>
      <c r="BB92" s="99">
        <v>13</v>
      </c>
      <c r="BC92" s="99">
        <v>18470.399999999998</v>
      </c>
      <c r="BD92" s="99">
        <v>22</v>
      </c>
      <c r="BE92" s="99">
        <v>31257.599999999999</v>
      </c>
      <c r="BF92" s="99">
        <v>19</v>
      </c>
      <c r="BG92" s="99">
        <v>26995.200000000001</v>
      </c>
      <c r="BH92" s="99">
        <v>13</v>
      </c>
      <c r="BI92" s="99">
        <v>18470.399999999998</v>
      </c>
      <c r="BJ92" s="99">
        <v>13</v>
      </c>
      <c r="BK92" s="99">
        <v>18470.399999999998</v>
      </c>
      <c r="BL92" s="99">
        <v>14</v>
      </c>
      <c r="BM92" s="99">
        <v>19891.2</v>
      </c>
      <c r="BN92" s="99">
        <v>16</v>
      </c>
      <c r="BO92" s="99">
        <v>22732.799999999999</v>
      </c>
      <c r="BP92" s="99">
        <v>22</v>
      </c>
      <c r="BQ92" s="99">
        <v>31257.599999999999</v>
      </c>
      <c r="BR92" s="99">
        <v>17</v>
      </c>
      <c r="BS92" s="99">
        <v>24153.599999999999</v>
      </c>
      <c r="BT92" s="99">
        <v>10</v>
      </c>
      <c r="BU92" s="99">
        <v>14208</v>
      </c>
      <c r="BV92" s="99">
        <v>19</v>
      </c>
      <c r="BW92" s="99">
        <v>26995.200000000001</v>
      </c>
      <c r="BX92" s="99">
        <v>19</v>
      </c>
      <c r="BY92" s="99">
        <v>26995.200000000001</v>
      </c>
      <c r="BZ92" s="99">
        <v>21</v>
      </c>
      <c r="CA92" s="99">
        <v>29836.799999999999</v>
      </c>
      <c r="CB92" s="99">
        <v>19</v>
      </c>
      <c r="CC92" s="99">
        <v>26995.200000000001</v>
      </c>
      <c r="CD92" s="99">
        <v>19</v>
      </c>
      <c r="CE92" s="99">
        <v>26995.200000000001</v>
      </c>
      <c r="CF92" s="99">
        <v>14</v>
      </c>
      <c r="CG92" s="99">
        <v>19891.2</v>
      </c>
      <c r="CH92" s="99">
        <v>19</v>
      </c>
      <c r="CI92" s="99">
        <v>26995.200000000001</v>
      </c>
      <c r="CJ92" s="99">
        <v>12</v>
      </c>
      <c r="CK92" s="99">
        <v>17049.599999999999</v>
      </c>
      <c r="CL92" s="99">
        <v>19</v>
      </c>
      <c r="CM92" s="99">
        <v>26995.200000000001</v>
      </c>
      <c r="CN92" s="99">
        <v>20</v>
      </c>
      <c r="CO92" s="99">
        <v>28416</v>
      </c>
      <c r="CP92" s="99">
        <v>16</v>
      </c>
      <c r="CQ92" s="99">
        <v>22732.799999999999</v>
      </c>
      <c r="CR92" s="99">
        <v>17</v>
      </c>
      <c r="CS92" s="99">
        <v>24153.599999999999</v>
      </c>
      <c r="CT92" s="99">
        <v>17</v>
      </c>
      <c r="CU92" s="99">
        <v>24153.599999999999</v>
      </c>
    </row>
    <row r="93" spans="2:99">
      <c r="C93" s="98" t="s">
        <v>258</v>
      </c>
      <c r="D93" s="99">
        <v>16</v>
      </c>
      <c r="E93" s="99">
        <v>28358.399999999998</v>
      </c>
      <c r="F93" s="99">
        <v>11</v>
      </c>
      <c r="G93" s="99">
        <v>19496.399999999998</v>
      </c>
      <c r="H93" s="99">
        <v>16</v>
      </c>
      <c r="I93" s="99">
        <v>28358.399999999998</v>
      </c>
      <c r="J93" s="99">
        <v>14</v>
      </c>
      <c r="K93" s="99">
        <v>24813.599999999999</v>
      </c>
      <c r="L93" s="99">
        <v>10</v>
      </c>
      <c r="M93" s="99">
        <v>17724</v>
      </c>
      <c r="N93" s="99">
        <v>16</v>
      </c>
      <c r="O93" s="99">
        <v>28358.399999999998</v>
      </c>
      <c r="P93" s="99">
        <v>11</v>
      </c>
      <c r="Q93" s="99">
        <v>19496.399999999998</v>
      </c>
      <c r="R93" s="99">
        <v>16</v>
      </c>
      <c r="S93" s="99">
        <v>28358.399999999998</v>
      </c>
      <c r="T93" s="99">
        <v>16</v>
      </c>
      <c r="U93" s="99">
        <v>28358.399999999998</v>
      </c>
      <c r="V93" s="99">
        <v>9</v>
      </c>
      <c r="W93" s="99">
        <v>15951.599999999999</v>
      </c>
      <c r="X93" s="99">
        <v>14</v>
      </c>
      <c r="Y93" s="99">
        <v>24813.599999999999</v>
      </c>
      <c r="Z93" s="99">
        <v>16</v>
      </c>
      <c r="AA93" s="99">
        <v>28358.399999999998</v>
      </c>
      <c r="AB93" s="99">
        <v>12</v>
      </c>
      <c r="AC93" s="99">
        <v>21268.799999999999</v>
      </c>
      <c r="AD93" s="99">
        <v>14</v>
      </c>
      <c r="AE93" s="99">
        <v>24813.599999999999</v>
      </c>
      <c r="AF93" s="99">
        <v>14</v>
      </c>
      <c r="AG93" s="99">
        <v>24813.599999999999</v>
      </c>
      <c r="AH93" s="99">
        <v>19</v>
      </c>
      <c r="AI93" s="99">
        <v>33675.599999999999</v>
      </c>
      <c r="AJ93" s="99">
        <v>10</v>
      </c>
      <c r="AK93" s="99">
        <v>17724</v>
      </c>
      <c r="AL93" s="99">
        <v>11</v>
      </c>
      <c r="AM93" s="99">
        <v>19496.399999999998</v>
      </c>
      <c r="AN93" s="99">
        <v>12</v>
      </c>
      <c r="AO93" s="99">
        <v>21268.799999999999</v>
      </c>
      <c r="AP93" s="99">
        <v>15</v>
      </c>
      <c r="AQ93" s="99">
        <v>26585.999999999996</v>
      </c>
      <c r="AR93" s="99">
        <v>19</v>
      </c>
      <c r="AS93" s="99">
        <v>33675.599999999999</v>
      </c>
      <c r="AT93" s="99">
        <v>21</v>
      </c>
      <c r="AU93" s="99">
        <v>37220.399999999994</v>
      </c>
      <c r="AV93" s="99">
        <v>18</v>
      </c>
      <c r="AW93" s="99">
        <v>31903.199999999997</v>
      </c>
      <c r="AX93" s="99">
        <v>15</v>
      </c>
      <c r="AY93" s="99">
        <v>26585.999999999996</v>
      </c>
      <c r="AZ93" s="99">
        <v>14</v>
      </c>
      <c r="BA93" s="99">
        <v>24813.599999999999</v>
      </c>
      <c r="BB93" s="99">
        <v>12</v>
      </c>
      <c r="BC93" s="99">
        <v>21268.799999999999</v>
      </c>
      <c r="BD93" s="99">
        <v>20</v>
      </c>
      <c r="BE93" s="99">
        <v>35448</v>
      </c>
      <c r="BF93" s="99">
        <v>17</v>
      </c>
      <c r="BG93" s="99">
        <v>30130.799999999999</v>
      </c>
      <c r="BH93" s="99">
        <v>13</v>
      </c>
      <c r="BI93" s="99">
        <v>23041.199999999997</v>
      </c>
      <c r="BJ93" s="99">
        <v>13</v>
      </c>
      <c r="BK93" s="99">
        <v>23041.199999999997</v>
      </c>
      <c r="BL93" s="99">
        <v>14</v>
      </c>
      <c r="BM93" s="99">
        <v>24813.599999999999</v>
      </c>
      <c r="BN93" s="99">
        <v>16</v>
      </c>
      <c r="BO93" s="99">
        <v>28358.399999999998</v>
      </c>
      <c r="BP93" s="99">
        <v>22</v>
      </c>
      <c r="BQ93" s="99">
        <v>38992.799999999996</v>
      </c>
      <c r="BR93" s="99">
        <v>17</v>
      </c>
      <c r="BS93" s="99">
        <v>30130.799999999999</v>
      </c>
      <c r="BT93" s="99">
        <v>10</v>
      </c>
      <c r="BU93" s="99">
        <v>17724</v>
      </c>
      <c r="BV93" s="99">
        <v>15</v>
      </c>
      <c r="BW93" s="99">
        <v>26585.999999999996</v>
      </c>
      <c r="BX93" s="99">
        <v>17</v>
      </c>
      <c r="BY93" s="99">
        <v>30130.799999999999</v>
      </c>
      <c r="BZ93" s="99">
        <v>21</v>
      </c>
      <c r="CA93" s="99">
        <v>37220.399999999994</v>
      </c>
      <c r="CB93" s="99">
        <v>18</v>
      </c>
      <c r="CC93" s="99">
        <v>31903.199999999997</v>
      </c>
      <c r="CD93" s="99">
        <v>18</v>
      </c>
      <c r="CE93" s="99">
        <v>31903.199999999997</v>
      </c>
      <c r="CF93" s="99">
        <v>17</v>
      </c>
      <c r="CG93" s="99">
        <v>30130.799999999999</v>
      </c>
      <c r="CH93" s="99">
        <v>17</v>
      </c>
      <c r="CI93" s="99">
        <v>30130.799999999999</v>
      </c>
      <c r="CJ93" s="99">
        <v>12</v>
      </c>
      <c r="CK93" s="99">
        <v>21268.799999999999</v>
      </c>
      <c r="CL93" s="99">
        <v>21</v>
      </c>
      <c r="CM93" s="99">
        <v>37220.399999999994</v>
      </c>
      <c r="CN93" s="99">
        <v>18</v>
      </c>
      <c r="CO93" s="99">
        <v>31903.199999999997</v>
      </c>
      <c r="CP93" s="99">
        <v>16</v>
      </c>
      <c r="CQ93" s="99">
        <v>28358.399999999998</v>
      </c>
      <c r="CR93" s="99">
        <v>16</v>
      </c>
      <c r="CS93" s="99">
        <v>28358.399999999998</v>
      </c>
      <c r="CT93" s="99">
        <v>18</v>
      </c>
      <c r="CU93" s="99">
        <v>31903.199999999997</v>
      </c>
    </row>
    <row r="94" spans="2:99">
      <c r="C94" s="98" t="s">
        <v>259</v>
      </c>
      <c r="D94" s="99">
        <v>17</v>
      </c>
      <c r="E94" s="99">
        <v>40718.399999999994</v>
      </c>
      <c r="F94" s="99">
        <v>10</v>
      </c>
      <c r="G94" s="99">
        <v>23952</v>
      </c>
      <c r="H94" s="99">
        <v>15</v>
      </c>
      <c r="I94" s="99">
        <v>35928</v>
      </c>
      <c r="J94" s="99">
        <v>13</v>
      </c>
      <c r="K94" s="99">
        <v>31137.599999999999</v>
      </c>
      <c r="L94" s="99">
        <v>10</v>
      </c>
      <c r="M94" s="99">
        <v>23952</v>
      </c>
      <c r="N94" s="99">
        <v>13</v>
      </c>
      <c r="O94" s="99">
        <v>31137.599999999999</v>
      </c>
      <c r="P94" s="99">
        <v>9</v>
      </c>
      <c r="Q94" s="99">
        <v>21556.799999999999</v>
      </c>
      <c r="R94" s="99">
        <v>15</v>
      </c>
      <c r="S94" s="99">
        <v>35928</v>
      </c>
      <c r="T94" s="99">
        <v>13</v>
      </c>
      <c r="U94" s="99">
        <v>31137.599999999999</v>
      </c>
      <c r="V94" s="99">
        <v>10</v>
      </c>
      <c r="W94" s="99">
        <v>23952</v>
      </c>
      <c r="X94" s="99">
        <v>13</v>
      </c>
      <c r="Y94" s="99">
        <v>31137.599999999999</v>
      </c>
      <c r="Z94" s="99">
        <v>16</v>
      </c>
      <c r="AA94" s="99">
        <v>38323.199999999997</v>
      </c>
      <c r="AB94" s="99">
        <v>13</v>
      </c>
      <c r="AC94" s="99">
        <v>31137.599999999999</v>
      </c>
      <c r="AD94" s="99">
        <v>13</v>
      </c>
      <c r="AE94" s="99">
        <v>31137.599999999999</v>
      </c>
      <c r="AF94" s="99">
        <v>13</v>
      </c>
      <c r="AG94" s="99">
        <v>31137.599999999999</v>
      </c>
      <c r="AH94" s="99">
        <v>16</v>
      </c>
      <c r="AI94" s="99">
        <v>38323.199999999997</v>
      </c>
      <c r="AJ94" s="99">
        <v>10</v>
      </c>
      <c r="AK94" s="99">
        <v>23952</v>
      </c>
      <c r="AL94" s="99">
        <v>10</v>
      </c>
      <c r="AM94" s="99">
        <v>23952</v>
      </c>
      <c r="AN94" s="99">
        <v>12</v>
      </c>
      <c r="AO94" s="99">
        <v>28742.399999999998</v>
      </c>
      <c r="AP94" s="99">
        <v>13</v>
      </c>
      <c r="AQ94" s="99">
        <v>31137.599999999999</v>
      </c>
      <c r="AR94" s="99">
        <v>17</v>
      </c>
      <c r="AS94" s="99">
        <v>40718.399999999994</v>
      </c>
      <c r="AT94" s="99">
        <v>19</v>
      </c>
      <c r="AU94" s="99">
        <v>45508.799999999996</v>
      </c>
      <c r="AV94" s="99">
        <v>18</v>
      </c>
      <c r="AW94" s="99">
        <v>43113.599999999999</v>
      </c>
      <c r="AX94" s="99">
        <v>13</v>
      </c>
      <c r="AY94" s="99">
        <v>31137.599999999999</v>
      </c>
      <c r="AZ94" s="99">
        <v>14</v>
      </c>
      <c r="BA94" s="99">
        <v>33532.799999999996</v>
      </c>
      <c r="BB94" s="99">
        <v>13</v>
      </c>
      <c r="BC94" s="99">
        <v>31137.599999999999</v>
      </c>
      <c r="BD94" s="99">
        <v>19</v>
      </c>
      <c r="BE94" s="99">
        <v>45508.799999999996</v>
      </c>
      <c r="BF94" s="99">
        <v>16</v>
      </c>
      <c r="BG94" s="99">
        <v>38323.199999999997</v>
      </c>
      <c r="BH94" s="99">
        <v>12</v>
      </c>
      <c r="BI94" s="99">
        <v>28742.399999999998</v>
      </c>
      <c r="BJ94" s="99">
        <v>11</v>
      </c>
      <c r="BK94" s="99">
        <v>26347.199999999997</v>
      </c>
      <c r="BL94" s="99">
        <v>15</v>
      </c>
      <c r="BM94" s="99">
        <v>35928</v>
      </c>
      <c r="BN94" s="99">
        <v>15</v>
      </c>
      <c r="BO94" s="99">
        <v>35928</v>
      </c>
      <c r="BP94" s="99">
        <v>18</v>
      </c>
      <c r="BQ94" s="99">
        <v>43113.599999999999</v>
      </c>
      <c r="BR94" s="99">
        <v>14</v>
      </c>
      <c r="BS94" s="99">
        <v>33532.799999999996</v>
      </c>
      <c r="BT94" s="99">
        <v>10</v>
      </c>
      <c r="BU94" s="99">
        <v>23952</v>
      </c>
      <c r="BV94" s="99">
        <v>17</v>
      </c>
      <c r="BW94" s="99">
        <v>40718.399999999994</v>
      </c>
      <c r="BX94" s="99">
        <v>17</v>
      </c>
      <c r="BY94" s="99">
        <v>40718.399999999994</v>
      </c>
      <c r="BZ94" s="99">
        <v>19</v>
      </c>
      <c r="CA94" s="99">
        <v>45508.799999999996</v>
      </c>
      <c r="CB94" s="99">
        <v>17</v>
      </c>
      <c r="CC94" s="99">
        <v>40718.399999999994</v>
      </c>
      <c r="CD94" s="99">
        <v>20</v>
      </c>
      <c r="CE94" s="99">
        <v>47904</v>
      </c>
      <c r="CF94" s="99">
        <v>14</v>
      </c>
      <c r="CG94" s="99">
        <v>33532.799999999996</v>
      </c>
      <c r="CH94" s="99">
        <v>16</v>
      </c>
      <c r="CI94" s="99">
        <v>38323.199999999997</v>
      </c>
      <c r="CJ94" s="99">
        <v>11</v>
      </c>
      <c r="CK94" s="99">
        <v>26347.199999999997</v>
      </c>
      <c r="CL94" s="99">
        <v>19</v>
      </c>
      <c r="CM94" s="99">
        <v>45508.799999999996</v>
      </c>
      <c r="CN94" s="99">
        <v>18</v>
      </c>
      <c r="CO94" s="99">
        <v>43113.599999999999</v>
      </c>
      <c r="CP94" s="99">
        <v>13</v>
      </c>
      <c r="CQ94" s="99">
        <v>31137.599999999999</v>
      </c>
      <c r="CR94" s="99">
        <v>17</v>
      </c>
      <c r="CS94" s="99">
        <v>40718.399999999994</v>
      </c>
      <c r="CT94" s="99">
        <v>16</v>
      </c>
      <c r="CU94" s="99">
        <v>38323.199999999997</v>
      </c>
    </row>
    <row r="95" spans="2:99">
      <c r="B95" s="98" t="s">
        <v>132</v>
      </c>
      <c r="C95" s="98" t="s">
        <v>260</v>
      </c>
      <c r="D95" s="99">
        <v>3</v>
      </c>
      <c r="E95" s="99">
        <v>5198.3999999999996</v>
      </c>
      <c r="F95" s="99">
        <v>4</v>
      </c>
      <c r="G95" s="99">
        <v>6931.2</v>
      </c>
      <c r="H95" s="99">
        <v>4</v>
      </c>
      <c r="I95" s="99">
        <v>6931.2</v>
      </c>
      <c r="J95" s="99">
        <v>3</v>
      </c>
      <c r="K95" s="99">
        <v>5198.3999999999996</v>
      </c>
      <c r="L95" s="99">
        <v>3</v>
      </c>
      <c r="M95" s="99">
        <v>5198.3999999999996</v>
      </c>
      <c r="N95" s="99">
        <v>4</v>
      </c>
      <c r="O95" s="99">
        <v>6931.2</v>
      </c>
      <c r="P95" s="99">
        <v>5</v>
      </c>
      <c r="Q95" s="99">
        <v>8664</v>
      </c>
      <c r="R95" s="99">
        <v>5</v>
      </c>
      <c r="S95" s="99">
        <v>8664</v>
      </c>
      <c r="T95" s="99">
        <v>4</v>
      </c>
      <c r="U95" s="99">
        <v>6931.2</v>
      </c>
      <c r="V95" s="99">
        <v>4</v>
      </c>
      <c r="W95" s="99">
        <v>6931.2</v>
      </c>
      <c r="X95" s="99">
        <v>4</v>
      </c>
      <c r="Y95" s="99">
        <v>6931.2</v>
      </c>
      <c r="Z95" s="99">
        <v>4</v>
      </c>
      <c r="AA95" s="99">
        <v>6931.2</v>
      </c>
      <c r="AB95" s="99">
        <v>5</v>
      </c>
      <c r="AC95" s="99">
        <v>8664</v>
      </c>
      <c r="AD95" s="99">
        <v>3</v>
      </c>
      <c r="AE95" s="99">
        <v>5198.3999999999996</v>
      </c>
      <c r="AF95" s="99">
        <v>3</v>
      </c>
      <c r="AG95" s="99">
        <v>5198.3999999999996</v>
      </c>
      <c r="AH95" s="99">
        <v>3</v>
      </c>
      <c r="AI95" s="99">
        <v>5198.3999999999996</v>
      </c>
      <c r="AJ95" s="99">
        <v>4</v>
      </c>
      <c r="AK95" s="99">
        <v>6931.2</v>
      </c>
      <c r="AL95" s="99">
        <v>3</v>
      </c>
      <c r="AM95" s="99">
        <v>5198.3999999999996</v>
      </c>
      <c r="AN95" s="99">
        <v>4</v>
      </c>
      <c r="AO95" s="99">
        <v>6931.2</v>
      </c>
      <c r="AP95" s="99">
        <v>3</v>
      </c>
      <c r="AQ95" s="99">
        <v>5198.3999999999996</v>
      </c>
      <c r="AR95" s="99">
        <v>5</v>
      </c>
      <c r="AS95" s="99">
        <v>8664</v>
      </c>
      <c r="AT95" s="99">
        <v>4</v>
      </c>
      <c r="AU95" s="99">
        <v>6931.2</v>
      </c>
      <c r="AV95" s="99">
        <v>3</v>
      </c>
      <c r="AW95" s="99">
        <v>5198.3999999999996</v>
      </c>
      <c r="AX95" s="99">
        <v>3</v>
      </c>
      <c r="AY95" s="99">
        <v>5198.3999999999996</v>
      </c>
      <c r="AZ95" s="99">
        <v>4</v>
      </c>
      <c r="BA95" s="99">
        <v>6931.2</v>
      </c>
      <c r="BB95" s="99">
        <v>4</v>
      </c>
      <c r="BC95" s="99">
        <v>6931.2</v>
      </c>
      <c r="BD95" s="99">
        <v>3</v>
      </c>
      <c r="BE95" s="99">
        <v>5198.3999999999996</v>
      </c>
      <c r="BF95" s="99">
        <v>4</v>
      </c>
      <c r="BG95" s="99">
        <v>6931.2</v>
      </c>
      <c r="BH95" s="99">
        <v>4</v>
      </c>
      <c r="BI95" s="99">
        <v>6931.2</v>
      </c>
      <c r="BJ95" s="99">
        <v>3</v>
      </c>
      <c r="BK95" s="99">
        <v>5198.3999999999996</v>
      </c>
      <c r="BL95" s="99">
        <v>4</v>
      </c>
      <c r="BM95" s="99">
        <v>6931.2</v>
      </c>
      <c r="BN95" s="99">
        <v>4</v>
      </c>
      <c r="BO95" s="99">
        <v>6931.2</v>
      </c>
      <c r="BP95" s="99">
        <v>3</v>
      </c>
      <c r="BQ95" s="99">
        <v>5198.3999999999996</v>
      </c>
      <c r="BR95" s="99">
        <v>4</v>
      </c>
      <c r="BS95" s="99">
        <v>6931.2</v>
      </c>
      <c r="BT95" s="99">
        <v>5</v>
      </c>
      <c r="BU95" s="99">
        <v>8664</v>
      </c>
      <c r="BV95" s="99">
        <v>5</v>
      </c>
      <c r="BW95" s="99">
        <v>8664</v>
      </c>
      <c r="BX95" s="99">
        <v>3</v>
      </c>
      <c r="BY95" s="99">
        <v>5198.3999999999996</v>
      </c>
      <c r="BZ95" s="99">
        <v>5</v>
      </c>
      <c r="CA95" s="99">
        <v>8664</v>
      </c>
      <c r="CB95" s="99">
        <v>3</v>
      </c>
      <c r="CC95" s="99">
        <v>5198.3999999999996</v>
      </c>
      <c r="CD95" s="99">
        <v>3</v>
      </c>
      <c r="CE95" s="99">
        <v>5198.3999999999996</v>
      </c>
      <c r="CF95" s="99">
        <v>5</v>
      </c>
      <c r="CG95" s="99">
        <v>8664</v>
      </c>
      <c r="CH95" s="99">
        <v>3</v>
      </c>
      <c r="CI95" s="99">
        <v>5198.3999999999996</v>
      </c>
      <c r="CJ95" s="99">
        <v>3</v>
      </c>
      <c r="CK95" s="99">
        <v>5198.3999999999996</v>
      </c>
      <c r="CL95" s="99">
        <v>4</v>
      </c>
      <c r="CM95" s="99">
        <v>6931.2</v>
      </c>
      <c r="CN95" s="99">
        <v>4</v>
      </c>
      <c r="CO95" s="99">
        <v>6931.2</v>
      </c>
      <c r="CP95" s="99">
        <v>5</v>
      </c>
      <c r="CQ95" s="99">
        <v>8664</v>
      </c>
      <c r="CR95" s="99">
        <v>5</v>
      </c>
      <c r="CS95" s="99">
        <v>8664</v>
      </c>
      <c r="CT95" s="99">
        <v>4</v>
      </c>
      <c r="CU95" s="99">
        <v>6931.2</v>
      </c>
    </row>
    <row r="96" spans="2:99">
      <c r="C96" s="98" t="s">
        <v>261</v>
      </c>
      <c r="D96" s="99">
        <v>2</v>
      </c>
      <c r="E96" s="99">
        <v>1646.3999999999999</v>
      </c>
      <c r="F96" s="99">
        <v>5</v>
      </c>
      <c r="G96" s="99">
        <v>4116</v>
      </c>
      <c r="H96" s="99">
        <v>4</v>
      </c>
      <c r="I96" s="99">
        <v>3292.7999999999997</v>
      </c>
      <c r="J96" s="99">
        <v>3</v>
      </c>
      <c r="K96" s="99">
        <v>2469.6</v>
      </c>
      <c r="L96" s="99">
        <v>3</v>
      </c>
      <c r="M96" s="99">
        <v>2469.6</v>
      </c>
      <c r="N96" s="99">
        <v>4</v>
      </c>
      <c r="O96" s="99">
        <v>3292.7999999999997</v>
      </c>
      <c r="P96" s="99">
        <v>5</v>
      </c>
      <c r="Q96" s="99">
        <v>4116</v>
      </c>
      <c r="R96" s="99">
        <v>5</v>
      </c>
      <c r="S96" s="99">
        <v>4116</v>
      </c>
      <c r="T96" s="99">
        <v>5</v>
      </c>
      <c r="U96" s="99">
        <v>4116</v>
      </c>
      <c r="V96" s="99">
        <v>4</v>
      </c>
      <c r="W96" s="99">
        <v>3292.7999999999997</v>
      </c>
      <c r="X96" s="99">
        <v>5</v>
      </c>
      <c r="Y96" s="99">
        <v>4116</v>
      </c>
      <c r="Z96" s="99">
        <v>3</v>
      </c>
      <c r="AA96" s="99">
        <v>2469.6</v>
      </c>
      <c r="AB96" s="99">
        <v>5</v>
      </c>
      <c r="AC96" s="99">
        <v>4116</v>
      </c>
      <c r="AD96" s="99">
        <v>3</v>
      </c>
      <c r="AE96" s="99">
        <v>2469.6</v>
      </c>
      <c r="AF96" s="99">
        <v>3</v>
      </c>
      <c r="AG96" s="99">
        <v>2469.6</v>
      </c>
      <c r="AH96" s="99">
        <v>3</v>
      </c>
      <c r="AI96" s="99">
        <v>2469.6</v>
      </c>
      <c r="AJ96" s="99">
        <v>4</v>
      </c>
      <c r="AK96" s="99">
        <v>3292.7999999999997</v>
      </c>
      <c r="AL96" s="99">
        <v>3</v>
      </c>
      <c r="AM96" s="99">
        <v>2469.6</v>
      </c>
      <c r="AN96" s="99">
        <v>5</v>
      </c>
      <c r="AO96" s="99">
        <v>4116</v>
      </c>
      <c r="AP96" s="99">
        <v>4</v>
      </c>
      <c r="AQ96" s="99">
        <v>3292.7999999999997</v>
      </c>
      <c r="AR96" s="99">
        <v>5</v>
      </c>
      <c r="AS96" s="99">
        <v>4116</v>
      </c>
      <c r="AT96" s="99">
        <v>4</v>
      </c>
      <c r="AU96" s="99">
        <v>3292.7999999999997</v>
      </c>
      <c r="AV96" s="99">
        <v>3</v>
      </c>
      <c r="AW96" s="99">
        <v>2469.6</v>
      </c>
      <c r="AX96" s="99">
        <v>3</v>
      </c>
      <c r="AY96" s="99">
        <v>2469.6</v>
      </c>
      <c r="AZ96" s="99">
        <v>4</v>
      </c>
      <c r="BA96" s="99">
        <v>3292.7999999999997</v>
      </c>
      <c r="BB96" s="99">
        <v>5</v>
      </c>
      <c r="BC96" s="99">
        <v>4116</v>
      </c>
      <c r="BD96" s="99">
        <v>3</v>
      </c>
      <c r="BE96" s="99">
        <v>2469.6</v>
      </c>
      <c r="BF96" s="99">
        <v>5</v>
      </c>
      <c r="BG96" s="99">
        <v>4116</v>
      </c>
      <c r="BH96" s="99">
        <v>3</v>
      </c>
      <c r="BI96" s="99">
        <v>2469.6</v>
      </c>
      <c r="BJ96" s="99">
        <v>3</v>
      </c>
      <c r="BK96" s="99">
        <v>2469.6</v>
      </c>
      <c r="BL96" s="99">
        <v>4</v>
      </c>
      <c r="BM96" s="99">
        <v>3292.7999999999997</v>
      </c>
      <c r="BN96" s="99">
        <v>4</v>
      </c>
      <c r="BO96" s="99">
        <v>3292.7999999999997</v>
      </c>
      <c r="BP96" s="99">
        <v>3</v>
      </c>
      <c r="BQ96" s="99">
        <v>2469.6</v>
      </c>
      <c r="BR96" s="99">
        <v>4</v>
      </c>
      <c r="BS96" s="99">
        <v>3292.7999999999997</v>
      </c>
      <c r="BT96" s="99">
        <v>5</v>
      </c>
      <c r="BU96" s="99">
        <v>4116</v>
      </c>
      <c r="BV96" s="99">
        <v>5</v>
      </c>
      <c r="BW96" s="99">
        <v>4116</v>
      </c>
      <c r="BX96" s="99">
        <v>2</v>
      </c>
      <c r="BY96" s="99">
        <v>1646.3999999999999</v>
      </c>
      <c r="BZ96" s="99">
        <v>5</v>
      </c>
      <c r="CA96" s="99">
        <v>4116</v>
      </c>
      <c r="CB96" s="99">
        <v>4</v>
      </c>
      <c r="CC96" s="99">
        <v>3292.7999999999997</v>
      </c>
      <c r="CD96" s="99">
        <v>3</v>
      </c>
      <c r="CE96" s="99">
        <v>2469.6</v>
      </c>
      <c r="CF96" s="99">
        <v>6</v>
      </c>
      <c r="CG96" s="99">
        <v>4939.2</v>
      </c>
      <c r="CH96" s="99">
        <v>3</v>
      </c>
      <c r="CI96" s="99">
        <v>2469.6</v>
      </c>
      <c r="CJ96" s="99">
        <v>3</v>
      </c>
      <c r="CK96" s="99">
        <v>2469.6</v>
      </c>
      <c r="CL96" s="99">
        <v>5</v>
      </c>
      <c r="CM96" s="99">
        <v>4116</v>
      </c>
      <c r="CN96" s="99">
        <v>4</v>
      </c>
      <c r="CO96" s="99">
        <v>3292.7999999999997</v>
      </c>
      <c r="CP96" s="99">
        <v>5</v>
      </c>
      <c r="CQ96" s="99">
        <v>4116</v>
      </c>
      <c r="CR96" s="99">
        <v>5</v>
      </c>
      <c r="CS96" s="99">
        <v>4116</v>
      </c>
      <c r="CT96" s="99">
        <v>4</v>
      </c>
      <c r="CU96" s="99">
        <v>3292.7999999999997</v>
      </c>
    </row>
    <row r="97" spans="2:99">
      <c r="C97" s="98" t="s">
        <v>262</v>
      </c>
      <c r="D97" s="99">
        <v>2</v>
      </c>
      <c r="E97" s="99">
        <v>3657.6</v>
      </c>
      <c r="F97" s="99">
        <v>4</v>
      </c>
      <c r="G97" s="99">
        <v>7315.2</v>
      </c>
      <c r="H97" s="99">
        <v>4</v>
      </c>
      <c r="I97" s="99">
        <v>7315.2</v>
      </c>
      <c r="J97" s="99">
        <v>2</v>
      </c>
      <c r="K97" s="99">
        <v>3657.6</v>
      </c>
      <c r="L97" s="99">
        <v>3</v>
      </c>
      <c r="M97" s="99">
        <v>5486.4</v>
      </c>
      <c r="N97" s="99">
        <v>3</v>
      </c>
      <c r="O97" s="99">
        <v>5486.4</v>
      </c>
      <c r="P97" s="99">
        <v>4</v>
      </c>
      <c r="Q97" s="99">
        <v>7315.2</v>
      </c>
      <c r="R97" s="99">
        <v>4</v>
      </c>
      <c r="S97" s="99">
        <v>7315.2</v>
      </c>
      <c r="T97" s="99">
        <v>4</v>
      </c>
      <c r="U97" s="99">
        <v>7315.2</v>
      </c>
      <c r="V97" s="99">
        <v>4</v>
      </c>
      <c r="W97" s="99">
        <v>7315.2</v>
      </c>
      <c r="X97" s="99">
        <v>4</v>
      </c>
      <c r="Y97" s="99">
        <v>7315.2</v>
      </c>
      <c r="Z97" s="99">
        <v>4</v>
      </c>
      <c r="AA97" s="99">
        <v>7315.2</v>
      </c>
      <c r="AB97" s="99">
        <v>5</v>
      </c>
      <c r="AC97" s="99">
        <v>9144</v>
      </c>
      <c r="AD97" s="99">
        <v>3</v>
      </c>
      <c r="AE97" s="99">
        <v>5486.4</v>
      </c>
      <c r="AF97" s="99">
        <v>3</v>
      </c>
      <c r="AG97" s="99">
        <v>5486.4</v>
      </c>
      <c r="AH97" s="99">
        <v>3</v>
      </c>
      <c r="AI97" s="99">
        <v>5486.4</v>
      </c>
      <c r="AJ97" s="99">
        <v>4</v>
      </c>
      <c r="AK97" s="99">
        <v>7315.2</v>
      </c>
      <c r="AL97" s="99">
        <v>3</v>
      </c>
      <c r="AM97" s="99">
        <v>5486.4</v>
      </c>
      <c r="AN97" s="99">
        <v>5</v>
      </c>
      <c r="AO97" s="99">
        <v>9144</v>
      </c>
      <c r="AP97" s="99">
        <v>4</v>
      </c>
      <c r="AQ97" s="99">
        <v>7315.2</v>
      </c>
      <c r="AR97" s="99">
        <v>4</v>
      </c>
      <c r="AS97" s="99">
        <v>7315.2</v>
      </c>
      <c r="AT97" s="99">
        <v>4</v>
      </c>
      <c r="AU97" s="99">
        <v>7315.2</v>
      </c>
      <c r="AV97" s="99">
        <v>3</v>
      </c>
      <c r="AW97" s="99">
        <v>5486.4</v>
      </c>
      <c r="AX97" s="99">
        <v>3</v>
      </c>
      <c r="AY97" s="99">
        <v>5486.4</v>
      </c>
      <c r="AZ97" s="99">
        <v>4</v>
      </c>
      <c r="BA97" s="99">
        <v>7315.2</v>
      </c>
      <c r="BB97" s="99">
        <v>4</v>
      </c>
      <c r="BC97" s="99">
        <v>7315.2</v>
      </c>
      <c r="BD97" s="99">
        <v>3</v>
      </c>
      <c r="BE97" s="99">
        <v>5486.4</v>
      </c>
      <c r="BF97" s="99">
        <v>4</v>
      </c>
      <c r="BG97" s="99">
        <v>7315.2</v>
      </c>
      <c r="BH97" s="99">
        <v>3</v>
      </c>
      <c r="BI97" s="99">
        <v>5486.4</v>
      </c>
      <c r="BJ97" s="99">
        <v>3</v>
      </c>
      <c r="BK97" s="99">
        <v>5486.4</v>
      </c>
      <c r="BL97" s="99">
        <v>4</v>
      </c>
      <c r="BM97" s="99">
        <v>7315.2</v>
      </c>
      <c r="BN97" s="99">
        <v>4</v>
      </c>
      <c r="BO97" s="99">
        <v>7315.2</v>
      </c>
      <c r="BP97" s="99">
        <v>4</v>
      </c>
      <c r="BQ97" s="99">
        <v>7315.2</v>
      </c>
      <c r="BR97" s="99">
        <v>3</v>
      </c>
      <c r="BS97" s="99">
        <v>5486.4</v>
      </c>
      <c r="BT97" s="99">
        <v>4</v>
      </c>
      <c r="BU97" s="99">
        <v>7315.2</v>
      </c>
      <c r="BV97" s="99">
        <v>5</v>
      </c>
      <c r="BW97" s="99">
        <v>9144</v>
      </c>
      <c r="BX97" s="99">
        <v>2</v>
      </c>
      <c r="BY97" s="99">
        <v>3657.6</v>
      </c>
      <c r="BZ97" s="99">
        <v>5</v>
      </c>
      <c r="CA97" s="99">
        <v>9144</v>
      </c>
      <c r="CB97" s="99">
        <v>3</v>
      </c>
      <c r="CC97" s="99">
        <v>5486.4</v>
      </c>
      <c r="CD97" s="99">
        <v>3</v>
      </c>
      <c r="CE97" s="99">
        <v>5486.4</v>
      </c>
      <c r="CF97" s="99">
        <v>5</v>
      </c>
      <c r="CG97" s="99">
        <v>9144</v>
      </c>
      <c r="CH97" s="99">
        <v>3</v>
      </c>
      <c r="CI97" s="99">
        <v>5486.4</v>
      </c>
      <c r="CJ97" s="99">
        <v>3</v>
      </c>
      <c r="CK97" s="99">
        <v>5486.4</v>
      </c>
      <c r="CL97" s="99">
        <v>4</v>
      </c>
      <c r="CM97" s="99">
        <v>7315.2</v>
      </c>
      <c r="CN97" s="99">
        <v>3</v>
      </c>
      <c r="CO97" s="99">
        <v>5486.4</v>
      </c>
      <c r="CP97" s="99">
        <v>5</v>
      </c>
      <c r="CQ97" s="99">
        <v>9144</v>
      </c>
      <c r="CR97" s="99">
        <v>5</v>
      </c>
      <c r="CS97" s="99">
        <v>9144</v>
      </c>
      <c r="CT97" s="99">
        <v>4</v>
      </c>
      <c r="CU97" s="99">
        <v>7315.2</v>
      </c>
    </row>
    <row r="98" spans="2:99">
      <c r="C98" s="98" t="s">
        <v>263</v>
      </c>
      <c r="D98" s="99">
        <v>3</v>
      </c>
      <c r="E98" s="99">
        <v>3790.7999999999997</v>
      </c>
      <c r="F98" s="99">
        <v>4</v>
      </c>
      <c r="G98" s="99">
        <v>5054.3999999999996</v>
      </c>
      <c r="H98" s="99">
        <v>3</v>
      </c>
      <c r="I98" s="99">
        <v>3790.7999999999997</v>
      </c>
      <c r="J98" s="99">
        <v>3</v>
      </c>
      <c r="K98" s="99">
        <v>3790.7999999999997</v>
      </c>
      <c r="L98" s="99">
        <v>3</v>
      </c>
      <c r="M98" s="99">
        <v>3790.7999999999997</v>
      </c>
      <c r="N98" s="99">
        <v>4</v>
      </c>
      <c r="O98" s="99">
        <v>5054.3999999999996</v>
      </c>
      <c r="P98" s="99">
        <v>5</v>
      </c>
      <c r="Q98" s="99">
        <v>6318</v>
      </c>
      <c r="R98" s="99">
        <v>5</v>
      </c>
      <c r="S98" s="99">
        <v>6318</v>
      </c>
      <c r="T98" s="99">
        <v>5</v>
      </c>
      <c r="U98" s="99">
        <v>6318</v>
      </c>
      <c r="V98" s="99">
        <v>4</v>
      </c>
      <c r="W98" s="99">
        <v>5054.3999999999996</v>
      </c>
      <c r="X98" s="99">
        <v>5</v>
      </c>
      <c r="Y98" s="99">
        <v>6318</v>
      </c>
      <c r="Z98" s="99">
        <v>4</v>
      </c>
      <c r="AA98" s="99">
        <v>5054.3999999999996</v>
      </c>
      <c r="AB98" s="99">
        <v>5</v>
      </c>
      <c r="AC98" s="99">
        <v>6318</v>
      </c>
      <c r="AD98" s="99">
        <v>3</v>
      </c>
      <c r="AE98" s="99">
        <v>3790.7999999999997</v>
      </c>
      <c r="AF98" s="99">
        <v>3</v>
      </c>
      <c r="AG98" s="99">
        <v>3790.7999999999997</v>
      </c>
      <c r="AH98" s="99">
        <v>3</v>
      </c>
      <c r="AI98" s="99">
        <v>3790.7999999999997</v>
      </c>
      <c r="AJ98" s="99">
        <v>4</v>
      </c>
      <c r="AK98" s="99">
        <v>5054.3999999999996</v>
      </c>
      <c r="AL98" s="99">
        <v>3</v>
      </c>
      <c r="AM98" s="99">
        <v>3790.7999999999997</v>
      </c>
      <c r="AN98" s="99">
        <v>5</v>
      </c>
      <c r="AO98" s="99">
        <v>6318</v>
      </c>
      <c r="AP98" s="99">
        <v>3</v>
      </c>
      <c r="AQ98" s="99">
        <v>3790.7999999999997</v>
      </c>
      <c r="AR98" s="99">
        <v>4</v>
      </c>
      <c r="AS98" s="99">
        <v>5054.3999999999996</v>
      </c>
      <c r="AT98" s="99">
        <v>4</v>
      </c>
      <c r="AU98" s="99">
        <v>5054.3999999999996</v>
      </c>
      <c r="AV98" s="99">
        <v>3</v>
      </c>
      <c r="AW98" s="99">
        <v>3790.7999999999997</v>
      </c>
      <c r="AX98" s="99">
        <v>3</v>
      </c>
      <c r="AY98" s="99">
        <v>3790.7999999999997</v>
      </c>
      <c r="AZ98" s="99">
        <v>4</v>
      </c>
      <c r="BA98" s="99">
        <v>5054.3999999999996</v>
      </c>
      <c r="BB98" s="99">
        <v>5</v>
      </c>
      <c r="BC98" s="99">
        <v>6318</v>
      </c>
      <c r="BD98" s="99">
        <v>3</v>
      </c>
      <c r="BE98" s="99">
        <v>3790.7999999999997</v>
      </c>
      <c r="BF98" s="99">
        <v>4</v>
      </c>
      <c r="BG98" s="99">
        <v>5054.3999999999996</v>
      </c>
      <c r="BH98" s="99">
        <v>3</v>
      </c>
      <c r="BI98" s="99">
        <v>3790.7999999999997</v>
      </c>
      <c r="BJ98" s="99">
        <v>3</v>
      </c>
      <c r="BK98" s="99">
        <v>3790.7999999999997</v>
      </c>
      <c r="BL98" s="99">
        <v>4</v>
      </c>
      <c r="BM98" s="99">
        <v>5054.3999999999996</v>
      </c>
      <c r="BN98" s="99">
        <v>4</v>
      </c>
      <c r="BO98" s="99">
        <v>5054.3999999999996</v>
      </c>
      <c r="BP98" s="99">
        <v>4</v>
      </c>
      <c r="BQ98" s="99">
        <v>5054.3999999999996</v>
      </c>
      <c r="BR98" s="99">
        <v>4</v>
      </c>
      <c r="BS98" s="99">
        <v>5054.3999999999996</v>
      </c>
      <c r="BT98" s="99">
        <v>4</v>
      </c>
      <c r="BU98" s="99">
        <v>5054.3999999999996</v>
      </c>
      <c r="BV98" s="99">
        <v>6</v>
      </c>
      <c r="BW98" s="99">
        <v>7581.5999999999995</v>
      </c>
      <c r="BX98" s="99">
        <v>3</v>
      </c>
      <c r="BY98" s="99">
        <v>3790.7999999999997</v>
      </c>
      <c r="BZ98" s="99">
        <v>6</v>
      </c>
      <c r="CA98" s="99">
        <v>7581.5999999999995</v>
      </c>
      <c r="CB98" s="99">
        <v>3</v>
      </c>
      <c r="CC98" s="99">
        <v>3790.7999999999997</v>
      </c>
      <c r="CD98" s="99">
        <v>3</v>
      </c>
      <c r="CE98" s="99">
        <v>3790.7999999999997</v>
      </c>
      <c r="CF98" s="99">
        <v>5</v>
      </c>
      <c r="CG98" s="99">
        <v>6318</v>
      </c>
      <c r="CH98" s="99">
        <v>3</v>
      </c>
      <c r="CI98" s="99">
        <v>3790.7999999999997</v>
      </c>
      <c r="CJ98" s="99">
        <v>3</v>
      </c>
      <c r="CK98" s="99">
        <v>3790.7999999999997</v>
      </c>
      <c r="CL98" s="99">
        <v>5</v>
      </c>
      <c r="CM98" s="99">
        <v>6318</v>
      </c>
      <c r="CN98" s="99">
        <v>4</v>
      </c>
      <c r="CO98" s="99">
        <v>5054.3999999999996</v>
      </c>
      <c r="CP98" s="99">
        <v>4</v>
      </c>
      <c r="CQ98" s="99">
        <v>5054.3999999999996</v>
      </c>
      <c r="CR98" s="99">
        <v>5</v>
      </c>
      <c r="CS98" s="99">
        <v>6318</v>
      </c>
      <c r="CT98" s="99">
        <v>4</v>
      </c>
      <c r="CU98" s="99">
        <v>5054.3999999999996</v>
      </c>
    </row>
    <row r="99" spans="2:99">
      <c r="C99" s="98" t="s">
        <v>264</v>
      </c>
      <c r="D99" s="99">
        <v>2</v>
      </c>
      <c r="E99" s="99">
        <v>10963.199999999999</v>
      </c>
      <c r="F99" s="99">
        <v>3</v>
      </c>
      <c r="G99" s="99">
        <v>16444.8</v>
      </c>
      <c r="H99" s="99">
        <v>3</v>
      </c>
      <c r="I99" s="99">
        <v>16444.8</v>
      </c>
      <c r="J99" s="99">
        <v>2</v>
      </c>
      <c r="K99" s="99">
        <v>10963.199999999999</v>
      </c>
      <c r="L99" s="99">
        <v>2</v>
      </c>
      <c r="M99" s="99">
        <v>10963.199999999999</v>
      </c>
      <c r="N99" s="99">
        <v>3</v>
      </c>
      <c r="O99" s="99">
        <v>16444.8</v>
      </c>
      <c r="P99" s="99">
        <v>4</v>
      </c>
      <c r="Q99" s="99">
        <v>21926.399999999998</v>
      </c>
      <c r="R99" s="99">
        <v>4</v>
      </c>
      <c r="S99" s="99">
        <v>21926.399999999998</v>
      </c>
      <c r="T99" s="99">
        <v>3</v>
      </c>
      <c r="U99" s="99">
        <v>16444.8</v>
      </c>
      <c r="V99" s="99">
        <v>3</v>
      </c>
      <c r="W99" s="99">
        <v>16444.8</v>
      </c>
      <c r="X99" s="99">
        <v>3</v>
      </c>
      <c r="Y99" s="99">
        <v>16444.8</v>
      </c>
      <c r="Z99" s="99">
        <v>3</v>
      </c>
      <c r="AA99" s="99">
        <v>16444.8</v>
      </c>
      <c r="AB99" s="99">
        <v>4</v>
      </c>
      <c r="AC99" s="99">
        <v>21926.399999999998</v>
      </c>
      <c r="AD99" s="99">
        <v>3</v>
      </c>
      <c r="AE99" s="99">
        <v>16444.8</v>
      </c>
      <c r="AF99" s="99">
        <v>3</v>
      </c>
      <c r="AG99" s="99">
        <v>16444.8</v>
      </c>
      <c r="AH99" s="99">
        <v>2</v>
      </c>
      <c r="AI99" s="99">
        <v>10963.199999999999</v>
      </c>
      <c r="AJ99" s="99">
        <v>3</v>
      </c>
      <c r="AK99" s="99">
        <v>16444.8</v>
      </c>
      <c r="AL99" s="99">
        <v>3</v>
      </c>
      <c r="AM99" s="99">
        <v>16444.8</v>
      </c>
      <c r="AN99" s="99">
        <v>4</v>
      </c>
      <c r="AO99" s="99">
        <v>21926.399999999998</v>
      </c>
      <c r="AP99" s="99">
        <v>3</v>
      </c>
      <c r="AQ99" s="99">
        <v>16444.8</v>
      </c>
      <c r="AR99" s="99">
        <v>3</v>
      </c>
      <c r="AS99" s="99">
        <v>16444.8</v>
      </c>
      <c r="AT99" s="99">
        <v>3</v>
      </c>
      <c r="AU99" s="99">
        <v>16444.8</v>
      </c>
      <c r="AV99" s="99">
        <v>2</v>
      </c>
      <c r="AW99" s="99">
        <v>10963.199999999999</v>
      </c>
      <c r="AX99" s="99">
        <v>3</v>
      </c>
      <c r="AY99" s="99">
        <v>16444.8</v>
      </c>
      <c r="AZ99" s="99">
        <v>3</v>
      </c>
      <c r="BA99" s="99">
        <v>16444.8</v>
      </c>
      <c r="BB99" s="99">
        <v>3</v>
      </c>
      <c r="BC99" s="99">
        <v>16444.8</v>
      </c>
      <c r="BD99" s="99">
        <v>2</v>
      </c>
      <c r="BE99" s="99">
        <v>10963.199999999999</v>
      </c>
      <c r="BF99" s="99">
        <v>4</v>
      </c>
      <c r="BG99" s="99">
        <v>21926.399999999998</v>
      </c>
      <c r="BH99" s="99">
        <v>3</v>
      </c>
      <c r="BI99" s="99">
        <v>16444.8</v>
      </c>
      <c r="BJ99" s="99">
        <v>2</v>
      </c>
      <c r="BK99" s="99">
        <v>10963.199999999999</v>
      </c>
      <c r="BL99" s="99">
        <v>3</v>
      </c>
      <c r="BM99" s="99">
        <v>16444.8</v>
      </c>
      <c r="BN99" s="99">
        <v>3</v>
      </c>
      <c r="BO99" s="99">
        <v>16444.8</v>
      </c>
      <c r="BP99" s="99">
        <v>3</v>
      </c>
      <c r="BQ99" s="99">
        <v>16444.8</v>
      </c>
      <c r="BR99" s="99">
        <v>3</v>
      </c>
      <c r="BS99" s="99">
        <v>16444.8</v>
      </c>
      <c r="BT99" s="99">
        <v>3</v>
      </c>
      <c r="BU99" s="99">
        <v>16444.8</v>
      </c>
      <c r="BV99" s="99">
        <v>4</v>
      </c>
      <c r="BW99" s="99">
        <v>21926.399999999998</v>
      </c>
      <c r="BX99" s="99">
        <v>2</v>
      </c>
      <c r="BY99" s="99">
        <v>10963.199999999999</v>
      </c>
      <c r="BZ99" s="99">
        <v>4</v>
      </c>
      <c r="CA99" s="99">
        <v>21926.399999999998</v>
      </c>
      <c r="CB99" s="99">
        <v>2</v>
      </c>
      <c r="CC99" s="99">
        <v>10963.199999999999</v>
      </c>
      <c r="CD99" s="99">
        <v>2</v>
      </c>
      <c r="CE99" s="99">
        <v>10963.199999999999</v>
      </c>
      <c r="CF99" s="99">
        <v>4</v>
      </c>
      <c r="CG99" s="99">
        <v>21926.399999999998</v>
      </c>
      <c r="CH99" s="99">
        <v>2</v>
      </c>
      <c r="CI99" s="99">
        <v>10963.199999999999</v>
      </c>
      <c r="CJ99" s="99">
        <v>2</v>
      </c>
      <c r="CK99" s="99">
        <v>10963.199999999999</v>
      </c>
      <c r="CL99" s="99">
        <v>4</v>
      </c>
      <c r="CM99" s="99">
        <v>21926.399999999998</v>
      </c>
      <c r="CN99" s="99">
        <v>3</v>
      </c>
      <c r="CO99" s="99">
        <v>16444.8</v>
      </c>
      <c r="CP99" s="99">
        <v>4</v>
      </c>
      <c r="CQ99" s="99">
        <v>21926.399999999998</v>
      </c>
      <c r="CR99" s="99">
        <v>4</v>
      </c>
      <c r="CS99" s="99">
        <v>21926.399999999998</v>
      </c>
      <c r="CT99" s="99">
        <v>3</v>
      </c>
      <c r="CU99" s="99">
        <v>16444.8</v>
      </c>
    </row>
    <row r="100" spans="2:99">
      <c r="C100" s="98" t="s">
        <v>265</v>
      </c>
      <c r="D100" s="99">
        <v>3</v>
      </c>
      <c r="E100" s="99">
        <v>4867.2</v>
      </c>
      <c r="F100" s="99">
        <v>4</v>
      </c>
      <c r="G100" s="99">
        <v>6489.5999999999995</v>
      </c>
      <c r="H100" s="99">
        <v>4</v>
      </c>
      <c r="I100" s="99">
        <v>6489.5999999999995</v>
      </c>
      <c r="J100" s="99">
        <v>3</v>
      </c>
      <c r="K100" s="99">
        <v>4867.2</v>
      </c>
      <c r="L100" s="99">
        <v>3</v>
      </c>
      <c r="M100" s="99">
        <v>4867.2</v>
      </c>
      <c r="N100" s="99">
        <v>4</v>
      </c>
      <c r="O100" s="99">
        <v>6489.5999999999995</v>
      </c>
      <c r="P100" s="99">
        <v>5</v>
      </c>
      <c r="Q100" s="99">
        <v>8111.9999999999991</v>
      </c>
      <c r="R100" s="99">
        <v>5</v>
      </c>
      <c r="S100" s="99">
        <v>8111.9999999999991</v>
      </c>
      <c r="T100" s="99">
        <v>4</v>
      </c>
      <c r="U100" s="99">
        <v>6489.5999999999995</v>
      </c>
      <c r="V100" s="99">
        <v>4</v>
      </c>
      <c r="W100" s="99">
        <v>6489.5999999999995</v>
      </c>
      <c r="X100" s="99">
        <v>5</v>
      </c>
      <c r="Y100" s="99">
        <v>8111.9999999999991</v>
      </c>
      <c r="Z100" s="99">
        <v>4</v>
      </c>
      <c r="AA100" s="99">
        <v>6489.5999999999995</v>
      </c>
      <c r="AB100" s="99">
        <v>5</v>
      </c>
      <c r="AC100" s="99">
        <v>8111.9999999999991</v>
      </c>
      <c r="AD100" s="99">
        <v>3</v>
      </c>
      <c r="AE100" s="99">
        <v>4867.2</v>
      </c>
      <c r="AF100" s="99">
        <v>3</v>
      </c>
      <c r="AG100" s="99">
        <v>4867.2</v>
      </c>
      <c r="AH100" s="99">
        <v>3</v>
      </c>
      <c r="AI100" s="99">
        <v>4867.2</v>
      </c>
      <c r="AJ100" s="99">
        <v>4</v>
      </c>
      <c r="AK100" s="99">
        <v>6489.5999999999995</v>
      </c>
      <c r="AL100" s="99">
        <v>3</v>
      </c>
      <c r="AM100" s="99">
        <v>4867.2</v>
      </c>
      <c r="AN100" s="99">
        <v>5</v>
      </c>
      <c r="AO100" s="99">
        <v>8111.9999999999991</v>
      </c>
      <c r="AP100" s="99">
        <v>3</v>
      </c>
      <c r="AQ100" s="99">
        <v>4867.2</v>
      </c>
      <c r="AR100" s="99">
        <v>5</v>
      </c>
      <c r="AS100" s="99">
        <v>8111.9999999999991</v>
      </c>
      <c r="AT100" s="99">
        <v>3</v>
      </c>
      <c r="AU100" s="99">
        <v>4867.2</v>
      </c>
      <c r="AV100" s="99">
        <v>3</v>
      </c>
      <c r="AW100" s="99">
        <v>4867.2</v>
      </c>
      <c r="AX100" s="99">
        <v>3</v>
      </c>
      <c r="AY100" s="99">
        <v>4867.2</v>
      </c>
      <c r="AZ100" s="99">
        <v>4</v>
      </c>
      <c r="BA100" s="99">
        <v>6489.5999999999995</v>
      </c>
      <c r="BB100" s="99">
        <v>4</v>
      </c>
      <c r="BC100" s="99">
        <v>6489.5999999999995</v>
      </c>
      <c r="BD100" s="99">
        <v>3</v>
      </c>
      <c r="BE100" s="99">
        <v>4867.2</v>
      </c>
      <c r="BF100" s="99">
        <v>5</v>
      </c>
      <c r="BG100" s="99">
        <v>8111.9999999999991</v>
      </c>
      <c r="BH100" s="99">
        <v>3</v>
      </c>
      <c r="BI100" s="99">
        <v>4867.2</v>
      </c>
      <c r="BJ100" s="99">
        <v>3</v>
      </c>
      <c r="BK100" s="99">
        <v>4867.2</v>
      </c>
      <c r="BL100" s="99">
        <v>4</v>
      </c>
      <c r="BM100" s="99">
        <v>6489.5999999999995</v>
      </c>
      <c r="BN100" s="99">
        <v>4</v>
      </c>
      <c r="BO100" s="99">
        <v>6489.5999999999995</v>
      </c>
      <c r="BP100" s="99">
        <v>3</v>
      </c>
      <c r="BQ100" s="99">
        <v>4867.2</v>
      </c>
      <c r="BR100" s="99">
        <v>3</v>
      </c>
      <c r="BS100" s="99">
        <v>4867.2</v>
      </c>
      <c r="BT100" s="99">
        <v>5</v>
      </c>
      <c r="BU100" s="99">
        <v>8111.9999999999991</v>
      </c>
      <c r="BV100" s="99">
        <v>5</v>
      </c>
      <c r="BW100" s="99">
        <v>8111.9999999999991</v>
      </c>
      <c r="BX100" s="99">
        <v>3</v>
      </c>
      <c r="BY100" s="99">
        <v>4867.2</v>
      </c>
      <c r="BZ100" s="99">
        <v>5</v>
      </c>
      <c r="CA100" s="99">
        <v>8111.9999999999991</v>
      </c>
      <c r="CB100" s="99">
        <v>4</v>
      </c>
      <c r="CC100" s="99">
        <v>6489.5999999999995</v>
      </c>
      <c r="CD100" s="99">
        <v>3</v>
      </c>
      <c r="CE100" s="99">
        <v>4867.2</v>
      </c>
      <c r="CF100" s="99">
        <v>5</v>
      </c>
      <c r="CG100" s="99">
        <v>8111.9999999999991</v>
      </c>
      <c r="CH100" s="99">
        <v>3</v>
      </c>
      <c r="CI100" s="99">
        <v>4867.2</v>
      </c>
      <c r="CJ100" s="99">
        <v>3</v>
      </c>
      <c r="CK100" s="99">
        <v>4867.2</v>
      </c>
      <c r="CL100" s="99">
        <v>5</v>
      </c>
      <c r="CM100" s="99">
        <v>8111.9999999999991</v>
      </c>
      <c r="CN100" s="99">
        <v>4</v>
      </c>
      <c r="CO100" s="99">
        <v>6489.5999999999995</v>
      </c>
      <c r="CP100" s="99">
        <v>4</v>
      </c>
      <c r="CQ100" s="99">
        <v>6489.5999999999995</v>
      </c>
      <c r="CR100" s="99">
        <v>5</v>
      </c>
      <c r="CS100" s="99">
        <v>8111.9999999999991</v>
      </c>
      <c r="CT100" s="99">
        <v>3</v>
      </c>
      <c r="CU100" s="99">
        <v>4867.2</v>
      </c>
    </row>
    <row r="101" spans="2:99">
      <c r="C101" s="98" t="s">
        <v>266</v>
      </c>
      <c r="D101" s="99">
        <v>2</v>
      </c>
      <c r="E101" s="99">
        <v>2380.7999999999997</v>
      </c>
      <c r="F101" s="99">
        <v>4</v>
      </c>
      <c r="G101" s="99">
        <v>4761.5999999999995</v>
      </c>
      <c r="H101" s="99">
        <v>4</v>
      </c>
      <c r="I101" s="99">
        <v>4761.5999999999995</v>
      </c>
      <c r="J101" s="99">
        <v>3</v>
      </c>
      <c r="K101" s="99">
        <v>3571.2</v>
      </c>
      <c r="L101" s="99">
        <v>3</v>
      </c>
      <c r="M101" s="99">
        <v>3571.2</v>
      </c>
      <c r="N101" s="99">
        <v>4</v>
      </c>
      <c r="O101" s="99">
        <v>4761.5999999999995</v>
      </c>
      <c r="P101" s="99">
        <v>5</v>
      </c>
      <c r="Q101" s="99">
        <v>5951.9999999999991</v>
      </c>
      <c r="R101" s="99">
        <v>5</v>
      </c>
      <c r="S101" s="99">
        <v>5951.9999999999991</v>
      </c>
      <c r="T101" s="99">
        <v>5</v>
      </c>
      <c r="U101" s="99">
        <v>5951.9999999999991</v>
      </c>
      <c r="V101" s="99">
        <v>4</v>
      </c>
      <c r="W101" s="99">
        <v>4761.5999999999995</v>
      </c>
      <c r="X101" s="99">
        <v>4</v>
      </c>
      <c r="Y101" s="99">
        <v>4761.5999999999995</v>
      </c>
      <c r="Z101" s="99">
        <v>4</v>
      </c>
      <c r="AA101" s="99">
        <v>4761.5999999999995</v>
      </c>
      <c r="AB101" s="99">
        <v>5</v>
      </c>
      <c r="AC101" s="99">
        <v>5951.9999999999991</v>
      </c>
      <c r="AD101" s="99">
        <v>3</v>
      </c>
      <c r="AE101" s="99">
        <v>3571.2</v>
      </c>
      <c r="AF101" s="99">
        <v>3</v>
      </c>
      <c r="AG101" s="99">
        <v>3571.2</v>
      </c>
      <c r="AH101" s="99">
        <v>3</v>
      </c>
      <c r="AI101" s="99">
        <v>3571.2</v>
      </c>
      <c r="AJ101" s="99">
        <v>4</v>
      </c>
      <c r="AK101" s="99">
        <v>4761.5999999999995</v>
      </c>
      <c r="AL101" s="99">
        <v>3</v>
      </c>
      <c r="AM101" s="99">
        <v>3571.2</v>
      </c>
      <c r="AN101" s="99">
        <v>5</v>
      </c>
      <c r="AO101" s="99">
        <v>5951.9999999999991</v>
      </c>
      <c r="AP101" s="99">
        <v>3</v>
      </c>
      <c r="AQ101" s="99">
        <v>3571.2</v>
      </c>
      <c r="AR101" s="99">
        <v>5</v>
      </c>
      <c r="AS101" s="99">
        <v>5951.9999999999991</v>
      </c>
      <c r="AT101" s="99">
        <v>3</v>
      </c>
      <c r="AU101" s="99">
        <v>3571.2</v>
      </c>
      <c r="AV101" s="99">
        <v>3</v>
      </c>
      <c r="AW101" s="99">
        <v>3571.2</v>
      </c>
      <c r="AX101" s="99">
        <v>3</v>
      </c>
      <c r="AY101" s="99">
        <v>3571.2</v>
      </c>
      <c r="AZ101" s="99">
        <v>4</v>
      </c>
      <c r="BA101" s="99">
        <v>4761.5999999999995</v>
      </c>
      <c r="BB101" s="99">
        <v>5</v>
      </c>
      <c r="BC101" s="99">
        <v>5951.9999999999991</v>
      </c>
      <c r="BD101" s="99">
        <v>3</v>
      </c>
      <c r="BE101" s="99">
        <v>3571.2</v>
      </c>
      <c r="BF101" s="99">
        <v>5</v>
      </c>
      <c r="BG101" s="99">
        <v>5951.9999999999991</v>
      </c>
      <c r="BH101" s="99">
        <v>3</v>
      </c>
      <c r="BI101" s="99">
        <v>3571.2</v>
      </c>
      <c r="BJ101" s="99">
        <v>3</v>
      </c>
      <c r="BK101" s="99">
        <v>3571.2</v>
      </c>
      <c r="BL101" s="99">
        <v>4</v>
      </c>
      <c r="BM101" s="99">
        <v>4761.5999999999995</v>
      </c>
      <c r="BN101" s="99">
        <v>4</v>
      </c>
      <c r="BO101" s="99">
        <v>4761.5999999999995</v>
      </c>
      <c r="BP101" s="99">
        <v>4</v>
      </c>
      <c r="BQ101" s="99">
        <v>4761.5999999999995</v>
      </c>
      <c r="BR101" s="99">
        <v>4</v>
      </c>
      <c r="BS101" s="99">
        <v>4761.5999999999995</v>
      </c>
      <c r="BT101" s="99">
        <v>4</v>
      </c>
      <c r="BU101" s="99">
        <v>4761.5999999999995</v>
      </c>
      <c r="BV101" s="99">
        <v>5</v>
      </c>
      <c r="BW101" s="99">
        <v>5951.9999999999991</v>
      </c>
      <c r="BX101" s="99">
        <v>3</v>
      </c>
      <c r="BY101" s="99">
        <v>3571.2</v>
      </c>
      <c r="BZ101" s="99">
        <v>5</v>
      </c>
      <c r="CA101" s="99">
        <v>5951.9999999999991</v>
      </c>
      <c r="CB101" s="99">
        <v>4</v>
      </c>
      <c r="CC101" s="99">
        <v>4761.5999999999995</v>
      </c>
      <c r="CD101" s="99">
        <v>3</v>
      </c>
      <c r="CE101" s="99">
        <v>3571.2</v>
      </c>
      <c r="CF101" s="99">
        <v>5</v>
      </c>
      <c r="CG101" s="99">
        <v>5951.9999999999991</v>
      </c>
      <c r="CH101" s="99">
        <v>3</v>
      </c>
      <c r="CI101" s="99">
        <v>3571.2</v>
      </c>
      <c r="CJ101" s="99">
        <v>3</v>
      </c>
      <c r="CK101" s="99">
        <v>3571.2</v>
      </c>
      <c r="CL101" s="99">
        <v>4</v>
      </c>
      <c r="CM101" s="99">
        <v>4761.5999999999995</v>
      </c>
      <c r="CN101" s="99">
        <v>4</v>
      </c>
      <c r="CO101" s="99">
        <v>4761.5999999999995</v>
      </c>
      <c r="CP101" s="99">
        <v>4</v>
      </c>
      <c r="CQ101" s="99">
        <v>4761.5999999999995</v>
      </c>
      <c r="CR101" s="99">
        <v>5</v>
      </c>
      <c r="CS101" s="99">
        <v>5951.9999999999991</v>
      </c>
      <c r="CT101" s="99">
        <v>4</v>
      </c>
      <c r="CU101" s="99">
        <v>4761.5999999999995</v>
      </c>
    </row>
    <row r="102" spans="2:99">
      <c r="C102" s="98" t="s">
        <v>267</v>
      </c>
      <c r="D102" s="99">
        <v>3</v>
      </c>
      <c r="E102" s="99">
        <v>5817.5999999999995</v>
      </c>
      <c r="F102" s="99">
        <v>4</v>
      </c>
      <c r="G102" s="99">
        <v>7756.7999999999993</v>
      </c>
      <c r="H102" s="99">
        <v>3</v>
      </c>
      <c r="I102" s="99">
        <v>5817.5999999999995</v>
      </c>
      <c r="J102" s="99">
        <v>3</v>
      </c>
      <c r="K102" s="99">
        <v>5817.5999999999995</v>
      </c>
      <c r="L102" s="99">
        <v>3</v>
      </c>
      <c r="M102" s="99">
        <v>5817.5999999999995</v>
      </c>
      <c r="N102" s="99">
        <v>3</v>
      </c>
      <c r="O102" s="99">
        <v>5817.5999999999995</v>
      </c>
      <c r="P102" s="99">
        <v>5</v>
      </c>
      <c r="Q102" s="99">
        <v>9696</v>
      </c>
      <c r="R102" s="99">
        <v>5</v>
      </c>
      <c r="S102" s="99">
        <v>9696</v>
      </c>
      <c r="T102" s="99">
        <v>4</v>
      </c>
      <c r="U102" s="99">
        <v>7756.7999999999993</v>
      </c>
      <c r="V102" s="99">
        <v>3</v>
      </c>
      <c r="W102" s="99">
        <v>5817.5999999999995</v>
      </c>
      <c r="X102" s="99">
        <v>5</v>
      </c>
      <c r="Y102" s="99">
        <v>9696</v>
      </c>
      <c r="Z102" s="99">
        <v>4</v>
      </c>
      <c r="AA102" s="99">
        <v>7756.7999999999993</v>
      </c>
      <c r="AB102" s="99">
        <v>4</v>
      </c>
      <c r="AC102" s="99">
        <v>7756.7999999999993</v>
      </c>
      <c r="AD102" s="99">
        <v>3</v>
      </c>
      <c r="AE102" s="99">
        <v>5817.5999999999995</v>
      </c>
      <c r="AF102" s="99">
        <v>3</v>
      </c>
      <c r="AG102" s="99">
        <v>5817.5999999999995</v>
      </c>
      <c r="AH102" s="99">
        <v>3</v>
      </c>
      <c r="AI102" s="99">
        <v>5817.5999999999995</v>
      </c>
      <c r="AJ102" s="99">
        <v>4</v>
      </c>
      <c r="AK102" s="99">
        <v>7756.7999999999993</v>
      </c>
      <c r="AL102" s="99">
        <v>3</v>
      </c>
      <c r="AM102" s="99">
        <v>5817.5999999999995</v>
      </c>
      <c r="AN102" s="99">
        <v>5</v>
      </c>
      <c r="AO102" s="99">
        <v>9696</v>
      </c>
      <c r="AP102" s="99">
        <v>4</v>
      </c>
      <c r="AQ102" s="99">
        <v>7756.7999999999993</v>
      </c>
      <c r="AR102" s="99">
        <v>5</v>
      </c>
      <c r="AS102" s="99">
        <v>9696</v>
      </c>
      <c r="AT102" s="99">
        <v>3</v>
      </c>
      <c r="AU102" s="99">
        <v>5817.5999999999995</v>
      </c>
      <c r="AV102" s="99">
        <v>3</v>
      </c>
      <c r="AW102" s="99">
        <v>5817.5999999999995</v>
      </c>
      <c r="AX102" s="99">
        <v>3</v>
      </c>
      <c r="AY102" s="99">
        <v>5817.5999999999995</v>
      </c>
      <c r="AZ102" s="99">
        <v>4</v>
      </c>
      <c r="BA102" s="99">
        <v>7756.7999999999993</v>
      </c>
      <c r="BB102" s="99">
        <v>5</v>
      </c>
      <c r="BC102" s="99">
        <v>9696</v>
      </c>
      <c r="BD102" s="99">
        <v>3</v>
      </c>
      <c r="BE102" s="99">
        <v>5817.5999999999995</v>
      </c>
      <c r="BF102" s="99">
        <v>5</v>
      </c>
      <c r="BG102" s="99">
        <v>9696</v>
      </c>
      <c r="BH102" s="99">
        <v>3</v>
      </c>
      <c r="BI102" s="99">
        <v>5817.5999999999995</v>
      </c>
      <c r="BJ102" s="99">
        <v>3</v>
      </c>
      <c r="BK102" s="99">
        <v>5817.5999999999995</v>
      </c>
      <c r="BL102" s="99">
        <v>4</v>
      </c>
      <c r="BM102" s="99">
        <v>7756.7999999999993</v>
      </c>
      <c r="BN102" s="99">
        <v>3</v>
      </c>
      <c r="BO102" s="99">
        <v>5817.5999999999995</v>
      </c>
      <c r="BP102" s="99">
        <v>4</v>
      </c>
      <c r="BQ102" s="99">
        <v>7756.7999999999993</v>
      </c>
      <c r="BR102" s="99">
        <v>3</v>
      </c>
      <c r="BS102" s="99">
        <v>5817.5999999999995</v>
      </c>
      <c r="BT102" s="99">
        <v>4</v>
      </c>
      <c r="BU102" s="99">
        <v>7756.7999999999993</v>
      </c>
      <c r="BV102" s="99">
        <v>5</v>
      </c>
      <c r="BW102" s="99">
        <v>9696</v>
      </c>
      <c r="BX102" s="99">
        <v>2</v>
      </c>
      <c r="BY102" s="99">
        <v>3878.3999999999996</v>
      </c>
      <c r="BZ102" s="99">
        <v>5</v>
      </c>
      <c r="CA102" s="99">
        <v>9696</v>
      </c>
      <c r="CB102" s="99">
        <v>3</v>
      </c>
      <c r="CC102" s="99">
        <v>5817.5999999999995</v>
      </c>
      <c r="CD102" s="99">
        <v>3</v>
      </c>
      <c r="CE102" s="99">
        <v>5817.5999999999995</v>
      </c>
      <c r="CF102" s="99">
        <v>5</v>
      </c>
      <c r="CG102" s="99">
        <v>9696</v>
      </c>
      <c r="CH102" s="99">
        <v>3</v>
      </c>
      <c r="CI102" s="99">
        <v>5817.5999999999995</v>
      </c>
      <c r="CJ102" s="99">
        <v>3</v>
      </c>
      <c r="CK102" s="99">
        <v>5817.5999999999995</v>
      </c>
      <c r="CL102" s="99">
        <v>5</v>
      </c>
      <c r="CM102" s="99">
        <v>9696</v>
      </c>
      <c r="CN102" s="99">
        <v>4</v>
      </c>
      <c r="CO102" s="99">
        <v>7756.7999999999993</v>
      </c>
      <c r="CP102" s="99">
        <v>4</v>
      </c>
      <c r="CQ102" s="99">
        <v>7756.7999999999993</v>
      </c>
      <c r="CR102" s="99">
        <v>5</v>
      </c>
      <c r="CS102" s="99">
        <v>9696</v>
      </c>
      <c r="CT102" s="99">
        <v>4</v>
      </c>
      <c r="CU102" s="99">
        <v>7756.7999999999993</v>
      </c>
    </row>
    <row r="103" spans="2:99">
      <c r="C103" s="98" t="s">
        <v>268</v>
      </c>
      <c r="D103" s="99">
        <v>2</v>
      </c>
      <c r="E103" s="99">
        <v>4056</v>
      </c>
      <c r="F103" s="99">
        <v>4</v>
      </c>
      <c r="G103" s="99">
        <v>8112</v>
      </c>
      <c r="H103" s="99">
        <v>4</v>
      </c>
      <c r="I103" s="99">
        <v>8112</v>
      </c>
      <c r="J103" s="99">
        <v>2</v>
      </c>
      <c r="K103" s="99">
        <v>4056</v>
      </c>
      <c r="L103" s="99">
        <v>3</v>
      </c>
      <c r="M103" s="99">
        <v>6084</v>
      </c>
      <c r="N103" s="99">
        <v>3</v>
      </c>
      <c r="O103" s="99">
        <v>6084</v>
      </c>
      <c r="P103" s="99">
        <v>5</v>
      </c>
      <c r="Q103" s="99">
        <v>10140</v>
      </c>
      <c r="R103" s="99">
        <v>4</v>
      </c>
      <c r="S103" s="99">
        <v>8112</v>
      </c>
      <c r="T103" s="99">
        <v>5</v>
      </c>
      <c r="U103" s="99">
        <v>10140</v>
      </c>
      <c r="V103" s="99">
        <v>3</v>
      </c>
      <c r="W103" s="99">
        <v>6084</v>
      </c>
      <c r="X103" s="99">
        <v>5</v>
      </c>
      <c r="Y103" s="99">
        <v>10140</v>
      </c>
      <c r="Z103" s="99">
        <v>4</v>
      </c>
      <c r="AA103" s="99">
        <v>8112</v>
      </c>
      <c r="AB103" s="99">
        <v>5</v>
      </c>
      <c r="AC103" s="99">
        <v>10140</v>
      </c>
      <c r="AD103" s="99">
        <v>3</v>
      </c>
      <c r="AE103" s="99">
        <v>6084</v>
      </c>
      <c r="AF103" s="99">
        <v>3</v>
      </c>
      <c r="AG103" s="99">
        <v>6084</v>
      </c>
      <c r="AH103" s="99">
        <v>3</v>
      </c>
      <c r="AI103" s="99">
        <v>6084</v>
      </c>
      <c r="AJ103" s="99">
        <v>4</v>
      </c>
      <c r="AK103" s="99">
        <v>8112</v>
      </c>
      <c r="AL103" s="99">
        <v>3</v>
      </c>
      <c r="AM103" s="99">
        <v>6084</v>
      </c>
      <c r="AN103" s="99">
        <v>5</v>
      </c>
      <c r="AO103" s="99">
        <v>10140</v>
      </c>
      <c r="AP103" s="99">
        <v>3</v>
      </c>
      <c r="AQ103" s="99">
        <v>6084</v>
      </c>
      <c r="AR103" s="99">
        <v>4</v>
      </c>
      <c r="AS103" s="99">
        <v>8112</v>
      </c>
      <c r="AT103" s="99">
        <v>3</v>
      </c>
      <c r="AU103" s="99">
        <v>6084</v>
      </c>
      <c r="AV103" s="99">
        <v>3</v>
      </c>
      <c r="AW103" s="99">
        <v>6084</v>
      </c>
      <c r="AX103" s="99">
        <v>3</v>
      </c>
      <c r="AY103" s="99">
        <v>6084</v>
      </c>
      <c r="AZ103" s="99">
        <v>4</v>
      </c>
      <c r="BA103" s="99">
        <v>8112</v>
      </c>
      <c r="BB103" s="99">
        <v>4</v>
      </c>
      <c r="BC103" s="99">
        <v>8112</v>
      </c>
      <c r="BD103" s="99">
        <v>3</v>
      </c>
      <c r="BE103" s="99">
        <v>6084</v>
      </c>
      <c r="BF103" s="99">
        <v>4</v>
      </c>
      <c r="BG103" s="99">
        <v>8112</v>
      </c>
      <c r="BH103" s="99">
        <v>4</v>
      </c>
      <c r="BI103" s="99">
        <v>8112</v>
      </c>
      <c r="BJ103" s="99">
        <v>3</v>
      </c>
      <c r="BK103" s="99">
        <v>6084</v>
      </c>
      <c r="BL103" s="99">
        <v>3</v>
      </c>
      <c r="BM103" s="99">
        <v>6084</v>
      </c>
      <c r="BN103" s="99">
        <v>3</v>
      </c>
      <c r="BO103" s="99">
        <v>6084</v>
      </c>
      <c r="BP103" s="99">
        <v>4</v>
      </c>
      <c r="BQ103" s="99">
        <v>8112</v>
      </c>
      <c r="BR103" s="99">
        <v>4</v>
      </c>
      <c r="BS103" s="99">
        <v>8112</v>
      </c>
      <c r="BT103" s="99">
        <v>4</v>
      </c>
      <c r="BU103" s="99">
        <v>8112</v>
      </c>
      <c r="BV103" s="99">
        <v>5</v>
      </c>
      <c r="BW103" s="99">
        <v>10140</v>
      </c>
      <c r="BX103" s="99">
        <v>3</v>
      </c>
      <c r="BY103" s="99">
        <v>6084</v>
      </c>
      <c r="BZ103" s="99">
        <v>5</v>
      </c>
      <c r="CA103" s="99">
        <v>10140</v>
      </c>
      <c r="CB103" s="99">
        <v>3</v>
      </c>
      <c r="CC103" s="99">
        <v>6084</v>
      </c>
      <c r="CD103" s="99">
        <v>2</v>
      </c>
      <c r="CE103" s="99">
        <v>4056</v>
      </c>
      <c r="CF103" s="99">
        <v>5</v>
      </c>
      <c r="CG103" s="99">
        <v>10140</v>
      </c>
      <c r="CH103" s="99">
        <v>3</v>
      </c>
      <c r="CI103" s="99">
        <v>6084</v>
      </c>
      <c r="CJ103" s="99">
        <v>3</v>
      </c>
      <c r="CK103" s="99">
        <v>6084</v>
      </c>
      <c r="CL103" s="99">
        <v>5</v>
      </c>
      <c r="CM103" s="99">
        <v>10140</v>
      </c>
      <c r="CN103" s="99">
        <v>4</v>
      </c>
      <c r="CO103" s="99">
        <v>8112</v>
      </c>
      <c r="CP103" s="99">
        <v>4</v>
      </c>
      <c r="CQ103" s="99">
        <v>8112</v>
      </c>
      <c r="CR103" s="99">
        <v>5</v>
      </c>
      <c r="CS103" s="99">
        <v>10140</v>
      </c>
      <c r="CT103" s="99">
        <v>3</v>
      </c>
      <c r="CU103" s="99">
        <v>6084</v>
      </c>
    </row>
    <row r="104" spans="2:99">
      <c r="C104" s="98" t="s">
        <v>269</v>
      </c>
      <c r="D104" s="99">
        <v>3</v>
      </c>
      <c r="E104" s="99">
        <v>6217.2000000000007</v>
      </c>
      <c r="F104" s="99">
        <v>4</v>
      </c>
      <c r="G104" s="99">
        <v>8289.6</v>
      </c>
      <c r="H104" s="99">
        <v>3</v>
      </c>
      <c r="I104" s="99">
        <v>6217.2000000000007</v>
      </c>
      <c r="J104" s="99">
        <v>3</v>
      </c>
      <c r="K104" s="99">
        <v>6217.2000000000007</v>
      </c>
      <c r="L104" s="99">
        <v>3</v>
      </c>
      <c r="M104" s="99">
        <v>6217.2000000000007</v>
      </c>
      <c r="N104" s="99">
        <v>3</v>
      </c>
      <c r="O104" s="99">
        <v>6217.2000000000007</v>
      </c>
      <c r="P104" s="99">
        <v>4</v>
      </c>
      <c r="Q104" s="99">
        <v>8289.6</v>
      </c>
      <c r="R104" s="99">
        <v>5</v>
      </c>
      <c r="S104" s="99">
        <v>10362</v>
      </c>
      <c r="T104" s="99">
        <v>5</v>
      </c>
      <c r="U104" s="99">
        <v>10362</v>
      </c>
      <c r="V104" s="99">
        <v>4</v>
      </c>
      <c r="W104" s="99">
        <v>8289.6</v>
      </c>
      <c r="X104" s="99">
        <v>5</v>
      </c>
      <c r="Y104" s="99">
        <v>10362</v>
      </c>
      <c r="Z104" s="99">
        <v>3</v>
      </c>
      <c r="AA104" s="99">
        <v>6217.2000000000007</v>
      </c>
      <c r="AB104" s="99">
        <v>4</v>
      </c>
      <c r="AC104" s="99">
        <v>8289.6</v>
      </c>
      <c r="AD104" s="99">
        <v>3</v>
      </c>
      <c r="AE104" s="99">
        <v>6217.2000000000007</v>
      </c>
      <c r="AF104" s="99">
        <v>3</v>
      </c>
      <c r="AG104" s="99">
        <v>6217.2000000000007</v>
      </c>
      <c r="AH104" s="99">
        <v>3</v>
      </c>
      <c r="AI104" s="99">
        <v>6217.2000000000007</v>
      </c>
      <c r="AJ104" s="99">
        <v>4</v>
      </c>
      <c r="AK104" s="99">
        <v>8289.6</v>
      </c>
      <c r="AL104" s="99">
        <v>3</v>
      </c>
      <c r="AM104" s="99">
        <v>6217.2000000000007</v>
      </c>
      <c r="AN104" s="99">
        <v>5</v>
      </c>
      <c r="AO104" s="99">
        <v>10362</v>
      </c>
      <c r="AP104" s="99">
        <v>3</v>
      </c>
      <c r="AQ104" s="99">
        <v>6217.2000000000007</v>
      </c>
      <c r="AR104" s="99">
        <v>4</v>
      </c>
      <c r="AS104" s="99">
        <v>8289.6</v>
      </c>
      <c r="AT104" s="99">
        <v>3</v>
      </c>
      <c r="AU104" s="99">
        <v>6217.2000000000007</v>
      </c>
      <c r="AV104" s="99">
        <v>3</v>
      </c>
      <c r="AW104" s="99">
        <v>6217.2000000000007</v>
      </c>
      <c r="AX104" s="99">
        <v>3</v>
      </c>
      <c r="AY104" s="99">
        <v>6217.2000000000007</v>
      </c>
      <c r="AZ104" s="99">
        <v>4</v>
      </c>
      <c r="BA104" s="99">
        <v>8289.6</v>
      </c>
      <c r="BB104" s="99">
        <v>4</v>
      </c>
      <c r="BC104" s="99">
        <v>8289.6</v>
      </c>
      <c r="BD104" s="99">
        <v>3</v>
      </c>
      <c r="BE104" s="99">
        <v>6217.2000000000007</v>
      </c>
      <c r="BF104" s="99">
        <v>4</v>
      </c>
      <c r="BG104" s="99">
        <v>8289.6</v>
      </c>
      <c r="BH104" s="99">
        <v>3</v>
      </c>
      <c r="BI104" s="99">
        <v>6217.2000000000007</v>
      </c>
      <c r="BJ104" s="99">
        <v>2</v>
      </c>
      <c r="BK104" s="99">
        <v>4144.8</v>
      </c>
      <c r="BL104" s="99">
        <v>4</v>
      </c>
      <c r="BM104" s="99">
        <v>8289.6</v>
      </c>
      <c r="BN104" s="99">
        <v>4</v>
      </c>
      <c r="BO104" s="99">
        <v>8289.6</v>
      </c>
      <c r="BP104" s="99">
        <v>3</v>
      </c>
      <c r="BQ104" s="99">
        <v>6217.2000000000007</v>
      </c>
      <c r="BR104" s="99">
        <v>4</v>
      </c>
      <c r="BS104" s="99">
        <v>8289.6</v>
      </c>
      <c r="BT104" s="99">
        <v>5</v>
      </c>
      <c r="BU104" s="99">
        <v>10362</v>
      </c>
      <c r="BV104" s="99">
        <v>5</v>
      </c>
      <c r="BW104" s="99">
        <v>10362</v>
      </c>
      <c r="BX104" s="99">
        <v>2</v>
      </c>
      <c r="BY104" s="99">
        <v>4144.8</v>
      </c>
      <c r="BZ104" s="99">
        <v>4</v>
      </c>
      <c r="CA104" s="99">
        <v>8289.6</v>
      </c>
      <c r="CB104" s="99">
        <v>3</v>
      </c>
      <c r="CC104" s="99">
        <v>6217.2000000000007</v>
      </c>
      <c r="CD104" s="99">
        <v>3</v>
      </c>
      <c r="CE104" s="99">
        <v>6217.2000000000007</v>
      </c>
      <c r="CF104" s="99">
        <v>5</v>
      </c>
      <c r="CG104" s="99">
        <v>10362</v>
      </c>
      <c r="CH104" s="99">
        <v>3</v>
      </c>
      <c r="CI104" s="99">
        <v>6217.2000000000007</v>
      </c>
      <c r="CJ104" s="99">
        <v>3</v>
      </c>
      <c r="CK104" s="99">
        <v>6217.2000000000007</v>
      </c>
      <c r="CL104" s="99">
        <v>4</v>
      </c>
      <c r="CM104" s="99">
        <v>8289.6</v>
      </c>
      <c r="CN104" s="99">
        <v>4</v>
      </c>
      <c r="CO104" s="99">
        <v>8289.6</v>
      </c>
      <c r="CP104" s="99">
        <v>4</v>
      </c>
      <c r="CQ104" s="99">
        <v>8289.6</v>
      </c>
      <c r="CR104" s="99">
        <v>5</v>
      </c>
      <c r="CS104" s="99">
        <v>10362</v>
      </c>
      <c r="CT104" s="99">
        <v>4</v>
      </c>
      <c r="CU104" s="99">
        <v>8289.6</v>
      </c>
    </row>
    <row r="105" spans="2:99">
      <c r="C105" s="98" t="s">
        <v>270</v>
      </c>
      <c r="D105" s="99">
        <v>2</v>
      </c>
      <c r="E105" s="99">
        <v>3996</v>
      </c>
      <c r="F105" s="99">
        <v>4</v>
      </c>
      <c r="G105" s="99">
        <v>7992</v>
      </c>
      <c r="H105" s="99">
        <v>3</v>
      </c>
      <c r="I105" s="99">
        <v>5994</v>
      </c>
      <c r="J105" s="99">
        <v>3</v>
      </c>
      <c r="K105" s="99">
        <v>5994</v>
      </c>
      <c r="L105" s="99">
        <v>3</v>
      </c>
      <c r="M105" s="99">
        <v>5994</v>
      </c>
      <c r="N105" s="99">
        <v>3</v>
      </c>
      <c r="O105" s="99">
        <v>5994</v>
      </c>
      <c r="P105" s="99">
        <v>4</v>
      </c>
      <c r="Q105" s="99">
        <v>7992</v>
      </c>
      <c r="R105" s="99">
        <v>5</v>
      </c>
      <c r="S105" s="99">
        <v>9990</v>
      </c>
      <c r="T105" s="99">
        <v>5</v>
      </c>
      <c r="U105" s="99">
        <v>9990</v>
      </c>
      <c r="V105" s="99">
        <v>3</v>
      </c>
      <c r="W105" s="99">
        <v>5994</v>
      </c>
      <c r="X105" s="99">
        <v>5</v>
      </c>
      <c r="Y105" s="99">
        <v>9990</v>
      </c>
      <c r="Z105" s="99">
        <v>4</v>
      </c>
      <c r="AA105" s="99">
        <v>7992</v>
      </c>
      <c r="AB105" s="99">
        <v>5</v>
      </c>
      <c r="AC105" s="99">
        <v>9990</v>
      </c>
      <c r="AD105" s="99">
        <v>3</v>
      </c>
      <c r="AE105" s="99">
        <v>5994</v>
      </c>
      <c r="AF105" s="99">
        <v>3</v>
      </c>
      <c r="AG105" s="99">
        <v>5994</v>
      </c>
      <c r="AH105" s="99">
        <v>3</v>
      </c>
      <c r="AI105" s="99">
        <v>5994</v>
      </c>
      <c r="AJ105" s="99">
        <v>4</v>
      </c>
      <c r="AK105" s="99">
        <v>7992</v>
      </c>
      <c r="AL105" s="99">
        <v>3</v>
      </c>
      <c r="AM105" s="99">
        <v>5994</v>
      </c>
      <c r="AN105" s="99">
        <v>4</v>
      </c>
      <c r="AO105" s="99">
        <v>7992</v>
      </c>
      <c r="AP105" s="99">
        <v>3</v>
      </c>
      <c r="AQ105" s="99">
        <v>5994</v>
      </c>
      <c r="AR105" s="99">
        <v>5</v>
      </c>
      <c r="AS105" s="99">
        <v>9990</v>
      </c>
      <c r="AT105" s="99">
        <v>3</v>
      </c>
      <c r="AU105" s="99">
        <v>5994</v>
      </c>
      <c r="AV105" s="99">
        <v>3</v>
      </c>
      <c r="AW105" s="99">
        <v>5994</v>
      </c>
      <c r="AX105" s="99">
        <v>3</v>
      </c>
      <c r="AY105" s="99">
        <v>5994</v>
      </c>
      <c r="AZ105" s="99">
        <v>4</v>
      </c>
      <c r="BA105" s="99">
        <v>7992</v>
      </c>
      <c r="BB105" s="99">
        <v>4</v>
      </c>
      <c r="BC105" s="99">
        <v>7992</v>
      </c>
      <c r="BD105" s="99">
        <v>3</v>
      </c>
      <c r="BE105" s="99">
        <v>5994</v>
      </c>
      <c r="BF105" s="99">
        <v>4</v>
      </c>
      <c r="BG105" s="99">
        <v>7992</v>
      </c>
      <c r="BH105" s="99">
        <v>3</v>
      </c>
      <c r="BI105" s="99">
        <v>5994</v>
      </c>
      <c r="BJ105" s="99">
        <v>3</v>
      </c>
      <c r="BK105" s="99">
        <v>5994</v>
      </c>
      <c r="BL105" s="99">
        <v>4</v>
      </c>
      <c r="BM105" s="99">
        <v>7992</v>
      </c>
      <c r="BN105" s="99">
        <v>4</v>
      </c>
      <c r="BO105" s="99">
        <v>7992</v>
      </c>
      <c r="BP105" s="99">
        <v>4</v>
      </c>
      <c r="BQ105" s="99">
        <v>7992</v>
      </c>
      <c r="BR105" s="99">
        <v>4</v>
      </c>
      <c r="BS105" s="99">
        <v>7992</v>
      </c>
      <c r="BT105" s="99">
        <v>4</v>
      </c>
      <c r="BU105" s="99">
        <v>7992</v>
      </c>
      <c r="BV105" s="99">
        <v>5</v>
      </c>
      <c r="BW105" s="99">
        <v>9990</v>
      </c>
      <c r="BX105" s="99">
        <v>2</v>
      </c>
      <c r="BY105" s="99">
        <v>3996</v>
      </c>
      <c r="BZ105" s="99">
        <v>5</v>
      </c>
      <c r="CA105" s="99">
        <v>9990</v>
      </c>
      <c r="CB105" s="99">
        <v>3</v>
      </c>
      <c r="CC105" s="99">
        <v>5994</v>
      </c>
      <c r="CD105" s="99">
        <v>3</v>
      </c>
      <c r="CE105" s="99">
        <v>5994</v>
      </c>
      <c r="CF105" s="99">
        <v>5</v>
      </c>
      <c r="CG105" s="99">
        <v>9990</v>
      </c>
      <c r="CH105" s="99">
        <v>3</v>
      </c>
      <c r="CI105" s="99">
        <v>5994</v>
      </c>
      <c r="CJ105" s="99">
        <v>3</v>
      </c>
      <c r="CK105" s="99">
        <v>5994</v>
      </c>
      <c r="CL105" s="99">
        <v>4</v>
      </c>
      <c r="CM105" s="99">
        <v>7992</v>
      </c>
      <c r="CN105" s="99">
        <v>4</v>
      </c>
      <c r="CO105" s="99">
        <v>7992</v>
      </c>
      <c r="CP105" s="99">
        <v>4</v>
      </c>
      <c r="CQ105" s="99">
        <v>7992</v>
      </c>
      <c r="CR105" s="99">
        <v>4</v>
      </c>
      <c r="CS105" s="99">
        <v>7992</v>
      </c>
      <c r="CT105" s="99">
        <v>4</v>
      </c>
      <c r="CU105" s="99">
        <v>7992</v>
      </c>
    </row>
    <row r="107" spans="2:99">
      <c r="B107" s="103" t="s">
        <v>275</v>
      </c>
    </row>
    <row r="108" spans="2:99">
      <c r="C108" s="98" t="s">
        <v>276</v>
      </c>
      <c r="D108" s="98" t="s">
        <v>92</v>
      </c>
      <c r="E108" s="98" t="s">
        <v>93</v>
      </c>
      <c r="F108" s="98" t="s">
        <v>94</v>
      </c>
      <c r="G108" s="98" t="s">
        <v>95</v>
      </c>
      <c r="H108" s="98" t="s">
        <v>96</v>
      </c>
      <c r="I108" s="98" t="s">
        <v>97</v>
      </c>
      <c r="J108" s="98" t="s">
        <v>98</v>
      </c>
      <c r="K108" s="98" t="s">
        <v>99</v>
      </c>
      <c r="L108" s="98" t="s">
        <v>100</v>
      </c>
      <c r="M108" s="98" t="s">
        <v>101</v>
      </c>
      <c r="N108" s="98" t="s">
        <v>102</v>
      </c>
      <c r="O108" s="98" t="s">
        <v>103</v>
      </c>
    </row>
    <row r="109" spans="2:99">
      <c r="C109" s="98" t="s">
        <v>126</v>
      </c>
      <c r="D109" s="99">
        <f>SUM(D$6:D$19)+SUM(F$6:F$19)+SUM(H$6:H$19)+SUM(J$6:J$19)</f>
        <v>630</v>
      </c>
      <c r="E109" s="99">
        <f>SUM(L$6:L$19)+SUM(N$6:N$19)+SUM(P$6:P$19)+SUM(R$6:R$19)</f>
        <v>750</v>
      </c>
      <c r="F109" s="99">
        <f>SUM(T$6:T$19)+SUM(V$6:V$19)+SUM(X$6:X$19)+SUM(Z$6:Z$19)</f>
        <v>747</v>
      </c>
      <c r="G109" s="99">
        <f>SUM(AB$6:AB$19)+SUM(AD$6:AD$19)+SUM(AF$6:AF$19)+SUM(AH$6:AH$19)</f>
        <v>702</v>
      </c>
      <c r="H109" s="99">
        <f>SUM(AJ$6:AJ$19)+SUM(AL$6:AL$19)+SUM(AN$6:AN$19)+SUM(AP$6:AP$19)</f>
        <v>820</v>
      </c>
      <c r="I109" s="99">
        <f>SUM(AR$6:AR$19)+SUM(AT$6:AT$19)+SUM(AV$6:AV$19)+SUM(AX$6:AX$19)</f>
        <v>692</v>
      </c>
      <c r="J109" s="99">
        <f>SUM(AZ$6:AZ$19)+SUM(BB$6:BB$19)+SUM(BD$6:BD$19)+SUM(BF$6:BF$19)</f>
        <v>925</v>
      </c>
      <c r="K109" s="99">
        <f>SUM(BH$6:BH$19)+SUM(BJ$6:BJ$19)+SUM(BL$6:BL$19)+SUM(BN$6:BN$19)</f>
        <v>701</v>
      </c>
      <c r="L109" s="99">
        <f>SUM(BP$6:BP$19)+SUM(BR$6:BR$19)+SUM(BT$6:BT$19)+SUM(BV$6:BV$19)</f>
        <v>922</v>
      </c>
      <c r="M109" s="99">
        <f>SUM(BX$6:BX$19)+SUM(BZ$6:BZ$19)+SUM(CB$6:CB$19)+SUM(CD$6:CD$19)</f>
        <v>1086</v>
      </c>
      <c r="N109" s="99">
        <f>SUM(CF$6:CF$19)+SUM(CH$6:CH$19)+SUM(CJ$6:CJ$19)+SUM(CL$6:CL$19)</f>
        <v>839</v>
      </c>
      <c r="O109" s="99">
        <f>SUM(CN$6:CN$19)+SUM(CP$6:CP$19)+SUM(CR$6:CR$19)+SUM(CT$6:CT$19)</f>
        <v>1044</v>
      </c>
    </row>
    <row r="110" spans="2:99">
      <c r="C110" s="98" t="s">
        <v>127</v>
      </c>
      <c r="D110" s="99">
        <f>SUM(D$20:D$36)+SUM(F$20:F$36)+SUM(H$20:H$36)+SUM(J$20:J$36)</f>
        <v>333</v>
      </c>
      <c r="E110" s="99">
        <f>SUM(L$20:L$36)+SUM(N$20:N$36)+SUM(P$20:P$36)+SUM(R$20:R$36)</f>
        <v>316</v>
      </c>
      <c r="F110" s="99">
        <f>SUM(T$20:T$36)+SUM(V$20:V$36)+SUM(X$20:X$36)+SUM(Z$20:Z$36)</f>
        <v>290</v>
      </c>
      <c r="G110" s="99">
        <f>SUM(AB$20:AB$36)+SUM(AD$20:AD$36)+SUM(AF$20:AF$36)+SUM(AH$20:AH$36)</f>
        <v>305</v>
      </c>
      <c r="H110" s="99">
        <f>SUM(AJ$20:AJ$36)+SUM(AL$20:AL$36)+SUM(AN$20:AN$36)+SUM(AP$20:AP$36)</f>
        <v>332</v>
      </c>
      <c r="I110" s="99">
        <f>SUM(AR$20:AR$36)+SUM(AT$20:AT$36)+SUM(AV$20:AV$36)+SUM(AX$20:AX$36)</f>
        <v>383</v>
      </c>
      <c r="J110" s="99">
        <f>SUM(AZ$20:AZ$36)+SUM(BB$20:BB$36)+SUM(BD$20:BD$36)+SUM(BF$20:BF$36)</f>
        <v>358</v>
      </c>
      <c r="K110" s="99">
        <f>SUM(BH$20:BH$36)+SUM(BJ$20:BJ$36)+SUM(BL$20:BL$36)+SUM(BN$20:BN$36)</f>
        <v>324</v>
      </c>
      <c r="L110" s="99">
        <f>SUM(BP$20:BP$36)+SUM(BR$20:BR$36)+SUM(BT$20:BT$36)+SUM(BV$20:BV$36)</f>
        <v>328</v>
      </c>
      <c r="M110" s="99">
        <f>SUM(BX$20:BX$36)+SUM(BZ$20:BZ$36)+SUM(CB$20:CB$36)+SUM(CD$20:CD$36)</f>
        <v>358</v>
      </c>
      <c r="N110" s="99">
        <f>SUM(CF$20:CF$36)+SUM(CH$20:CH$36)+SUM(CJ$20:CJ$36)+SUM(CL$20:CL$36)</f>
        <v>341</v>
      </c>
      <c r="O110" s="99">
        <f>SUM(CN$20:CN$36)+SUM(CP$20:CP$36)+SUM(CR$20:CR$36)+SUM(CT$20:CT$36)</f>
        <v>327</v>
      </c>
    </row>
    <row r="111" spans="2:99">
      <c r="C111" s="98" t="s">
        <v>128</v>
      </c>
      <c r="D111" s="99">
        <f>SUM(D$37:D$48)+SUM(F$37:F$48)+SUM(H$37:H$48)+SUM(J$37:J$48)</f>
        <v>168</v>
      </c>
      <c r="E111" s="99">
        <f>SUM(L$37:L$48)+SUM(N$37:N$48)+SUM(P$37:P$48)+SUM(R$37:R$48)</f>
        <v>161</v>
      </c>
      <c r="F111" s="99">
        <f>SUM(T$37:T$48)+SUM(V$37:V$48)+SUM(X$37:X$48)+SUM(Z$37:Z$48)</f>
        <v>224</v>
      </c>
      <c r="G111" s="99">
        <f>SUM(AB$37:AB$48)+SUM(AD$37:AD$48)+SUM(AF$37:AF$48)+SUM(AH$37:AH$48)</f>
        <v>216</v>
      </c>
      <c r="H111" s="99">
        <f>SUM(AJ$37:AJ$48)+SUM(AL$37:AL$48)+SUM(AN$37:AN$48)+SUM(AP$37:AP$48)</f>
        <v>220</v>
      </c>
      <c r="I111" s="99">
        <f>SUM(AR$37:AR$48)+SUM(AT$37:AT$48)+SUM(AV$37:AV$48)+SUM(AX$37:AX$48)</f>
        <v>220</v>
      </c>
      <c r="J111" s="99">
        <f>SUM(AZ$37:AZ$48)+SUM(BB$37:BB$48)+SUM(BD$37:BD$48)+SUM(BF$37:BF$48)</f>
        <v>191</v>
      </c>
      <c r="K111" s="99">
        <f>SUM(BH$37:BH$48)+SUM(BJ$37:BJ$48)+SUM(BL$37:BL$48)+SUM(BN$37:BN$48)</f>
        <v>222</v>
      </c>
      <c r="L111" s="99">
        <f>SUM(BP$37:BP$48)+SUM(BR$37:BR$48)+SUM(BT$37:BT$48)+SUM(BV$37:BV$48)</f>
        <v>241</v>
      </c>
      <c r="M111" s="99">
        <f>SUM(BX$37:BX$48)+SUM(BZ$37:BZ$48)+SUM(CB$37:CB$48)+SUM(CD$37:CD$48)</f>
        <v>224</v>
      </c>
      <c r="N111" s="99">
        <f>SUM(CF$37:CF$48)+SUM(CH$37:CH$48)+SUM(CJ$37:CJ$48)+SUM(CL$37:CL$48)</f>
        <v>222</v>
      </c>
      <c r="O111" s="99">
        <f>SUM(CN$37:CN$48)+SUM(CP$37:CP$48)+SUM(CR$37:CR$48)+SUM(CT$37:CT$48)</f>
        <v>208</v>
      </c>
    </row>
    <row r="112" spans="2:99">
      <c r="C112" s="98" t="s">
        <v>129</v>
      </c>
      <c r="D112" s="99">
        <f>SUM(D$49:D$70)+SUM(F$49:F$70)+SUM(H$49:H$70)+SUM(J$49:J$70)</f>
        <v>328</v>
      </c>
      <c r="E112" s="99">
        <f>SUM(L$49:L$70)+SUM(N$49:N$70)+SUM(P$49:P$70)+SUM(R$49:R$70)</f>
        <v>380</v>
      </c>
      <c r="F112" s="99">
        <f>SUM(T$49:T$70)+SUM(V$49:V$70)+SUM(X$49:X$70)+SUM(Z$49:Z$70)</f>
        <v>339</v>
      </c>
      <c r="G112" s="99">
        <f>SUM(AB$49:AB$70)+SUM(AD$49:AD$70)+SUM(AF$49:AF$70)+SUM(AH$49:AH$70)</f>
        <v>360</v>
      </c>
      <c r="H112" s="99">
        <f>SUM(AJ$49:AJ$70)+SUM(AL$49:AL$70)+SUM(AN$49:AN$70)+SUM(AP$49:AP$70)</f>
        <v>338</v>
      </c>
      <c r="I112" s="99">
        <f>SUM(AR$49:AR$70)+SUM(AT$49:AT$70)+SUM(AV$49:AV$70)+SUM(AX$49:AX$70)</f>
        <v>303</v>
      </c>
      <c r="J112" s="99">
        <f>SUM(AZ$49:AZ$70)+SUM(BB$49:BB$70)+SUM(BD$49:BD$70)+SUM(BF$49:BF$70)</f>
        <v>341</v>
      </c>
      <c r="K112" s="99">
        <f>SUM(BH$49:BH$70)+SUM(BJ$49:BJ$70)+SUM(BL$49:BL$70)+SUM(BN$49:BN$70)</f>
        <v>340</v>
      </c>
      <c r="L112" s="99">
        <f>SUM(BP$49:BP$70)+SUM(BR$49:BR$70)+SUM(BT$49:BT$70)+SUM(BV$49:BV$70)</f>
        <v>313</v>
      </c>
      <c r="M112" s="99">
        <f>SUM(BX$49:BX$70)+SUM(BZ$49:BZ$70)+SUM(CB$49:CB$70)+SUM(CD$49:CD$70)</f>
        <v>302</v>
      </c>
      <c r="N112" s="99">
        <f>SUM(CF$49:CF$70)+SUM(CH$49:CH$70)+SUM(CJ$49:CJ$70)+SUM(CL$49:CL$70)</f>
        <v>322</v>
      </c>
      <c r="O112" s="99">
        <f>SUM(CN$49:CN$70)+SUM(CP$49:CP$70)+SUM(CR$49:CR$70)+SUM(CT$49:CT$70)</f>
        <v>347</v>
      </c>
    </row>
    <row r="113" spans="2:15">
      <c r="C113" s="98" t="s">
        <v>130</v>
      </c>
      <c r="D113" s="99">
        <f>SUM(D$71:D$86)+SUM(F$71:F$86)+SUM(H$71:H$86)+SUM(J$71:J$86)</f>
        <v>737</v>
      </c>
      <c r="E113" s="99">
        <f>SUM(L$71:L$86)+SUM(N$71:N$86)+SUM(P$71:P$86)+SUM(R$71:R$86)</f>
        <v>717</v>
      </c>
      <c r="F113" s="99">
        <f>SUM(T$71:T$86)+SUM(V$71:V$86)+SUM(X$71:X$86)+SUM(Z$71:Z$86)</f>
        <v>830</v>
      </c>
      <c r="G113" s="99">
        <f>SUM(AB$71:AB$86)+SUM(AD$71:AD$86)+SUM(AF$71:AF$86)+SUM(AH$71:AH$86)</f>
        <v>856</v>
      </c>
      <c r="H113" s="99">
        <f>SUM(AJ$71:AJ$86)+SUM(AL$71:AL$86)+SUM(AN$71:AN$86)+SUM(AP$71:AP$86)</f>
        <v>756</v>
      </c>
      <c r="I113" s="99">
        <f>SUM(AR$71:AR$86)+SUM(AT$71:AT$86)+SUM(AV$71:AV$86)+SUM(AX$71:AX$86)</f>
        <v>832</v>
      </c>
      <c r="J113" s="99">
        <f>SUM(AZ$71:AZ$86)+SUM(BB$71:BB$86)+SUM(BD$71:BD$86)+SUM(BF$71:BF$86)</f>
        <v>755</v>
      </c>
      <c r="K113" s="99">
        <f>SUM(BH$71:BH$86)+SUM(BJ$71:BJ$86)+SUM(BL$71:BL$86)+SUM(BN$71:BN$86)</f>
        <v>727</v>
      </c>
      <c r="L113" s="99">
        <f>SUM(BP$71:BP$86)+SUM(BR$71:BR$86)+SUM(BT$71:BT$86)+SUM(BV$71:BV$86)</f>
        <v>855</v>
      </c>
      <c r="M113" s="99">
        <f>SUM(BX$71:BX$86)+SUM(BZ$71:BZ$86)+SUM(CB$71:CB$86)+SUM(CD$71:CD$86)</f>
        <v>822</v>
      </c>
      <c r="N113" s="99">
        <f>SUM(CF$71:CF$86)+SUM(CH$71:CH$86)+SUM(CJ$71:CJ$86)+SUM(CL$71:CL$86)</f>
        <v>878</v>
      </c>
      <c r="O113" s="99">
        <f>SUM(CN$71:CN$86)+SUM(CP$71:CP$86)+SUM(CR$71:CR$86)+SUM(CT$71:CT$86)</f>
        <v>741</v>
      </c>
    </row>
    <row r="114" spans="2:15">
      <c r="C114" s="98" t="s">
        <v>131</v>
      </c>
      <c r="D114" s="99">
        <f>SUM(D$87:D$94)+SUM(F$87:F$94)+SUM(H$87:H$94)+SUM(J$87:J$94)</f>
        <v>454</v>
      </c>
      <c r="E114" s="99">
        <f>SUM(L$87:L$94)+SUM(N$87:N$94)+SUM(P$87:P$94)+SUM(R$87:R$94)</f>
        <v>396</v>
      </c>
      <c r="F114" s="99">
        <f>SUM(T$87:T$94)+SUM(V$87:V$94)+SUM(X$87:X$94)+SUM(Z$87:Z$94)</f>
        <v>422</v>
      </c>
      <c r="G114" s="99">
        <f>SUM(AB$87:AB$94)+SUM(AD$87:AD$94)+SUM(AF$87:AF$94)+SUM(AH$87:AH$94)</f>
        <v>464</v>
      </c>
      <c r="H114" s="99">
        <f>SUM(AJ$87:AJ$94)+SUM(AL$87:AL$94)+SUM(AN$87:AN$94)+SUM(AP$87:AP$94)</f>
        <v>383</v>
      </c>
      <c r="I114" s="99">
        <f>SUM(AR$87:AR$94)+SUM(AT$87:AT$94)+SUM(AV$87:AV$94)+SUM(AX$87:AX$94)</f>
        <v>555</v>
      </c>
      <c r="J114" s="99">
        <f>SUM(AZ$87:AZ$94)+SUM(BB$87:BB$94)+SUM(BD$87:BD$94)+SUM(BF$87:BF$94)</f>
        <v>500</v>
      </c>
      <c r="K114" s="99">
        <f>SUM(BH$87:BH$94)+SUM(BJ$87:BJ$94)+SUM(BL$87:BL$94)+SUM(BN$87:BN$94)</f>
        <v>428</v>
      </c>
      <c r="L114" s="99">
        <f>SUM(BP$87:BP$94)+SUM(BR$87:BR$94)+SUM(BT$87:BT$94)+SUM(BV$87:BV$94)</f>
        <v>499</v>
      </c>
      <c r="M114" s="99">
        <f>SUM(BX$87:BX$94)+SUM(BZ$87:BZ$94)+SUM(CB$87:CB$94)+SUM(CD$87:CD$94)</f>
        <v>582</v>
      </c>
      <c r="N114" s="99">
        <f>SUM(CF$87:CF$94)+SUM(CH$87:CH$94)+SUM(CJ$87:CJ$94)+SUM(CL$87:CL$94)</f>
        <v>491</v>
      </c>
      <c r="O114" s="99">
        <f>SUM(CN$87:CN$94)+SUM(CP$87:CP$94)+SUM(CR$87:CR$94)+SUM(CT$87:CT$94)</f>
        <v>548</v>
      </c>
    </row>
    <row r="115" spans="2:15">
      <c r="C115" s="98" t="s">
        <v>132</v>
      </c>
      <c r="D115" s="99">
        <f>SUM(D$95:D$105)+SUM(F$95:F$105)+SUM(H$95:H$105)+SUM(J$95:J$105)</f>
        <v>140</v>
      </c>
      <c r="E115" s="99">
        <f>SUM(L$95:L$105)+SUM(N$95:N$105)+SUM(P$95:P$105)+SUM(R$95:R$105)</f>
        <v>173</v>
      </c>
      <c r="F115" s="99">
        <f>SUM(T$95:T$105)+SUM(V$95:V$105)+SUM(X$95:X$105)+SUM(Z$95:Z$105)</f>
        <v>180</v>
      </c>
      <c r="G115" s="99">
        <f>SUM(AB$95:AB$105)+SUM(AD$95:AD$105)+SUM(AF$95:AF$105)+SUM(AH$95:AH$105)</f>
        <v>150</v>
      </c>
      <c r="H115" s="99">
        <f>SUM(AJ$95:AJ$105)+SUM(AL$95:AL$105)+SUM(AN$95:AN$105)+SUM(AP$95:AP$105)</f>
        <v>164</v>
      </c>
      <c r="I115" s="99">
        <f>SUM(AR$95:AR$105)+SUM(AT$95:AT$105)+SUM(AV$95:AV$105)+SUM(AX$95:AX$105)</f>
        <v>151</v>
      </c>
      <c r="J115" s="99">
        <f>SUM(AZ$95:AZ$105)+SUM(BB$95:BB$105)+SUM(BD$95:BD$105)+SUM(BF$95:BF$105)</f>
        <v>170</v>
      </c>
      <c r="K115" s="99">
        <f>SUM(BH$95:BH$105)+SUM(BJ$95:BJ$105)+SUM(BL$95:BL$105)+SUM(BN$95:BN$105)</f>
        <v>149</v>
      </c>
      <c r="L115" s="99">
        <f>SUM(BP$95:BP$105)+SUM(BR$95:BR$105)+SUM(BT$95:BT$105)+SUM(BV$95:BV$105)</f>
        <v>181</v>
      </c>
      <c r="M115" s="99">
        <f>SUM(BX$95:BX$105)+SUM(BZ$95:BZ$105)+SUM(CB$95:CB$105)+SUM(CD$95:CD$105)</f>
        <v>147</v>
      </c>
      <c r="N115" s="99">
        <f>SUM(CF$95:CF$105)+SUM(CH$95:CH$105)+SUM(CJ$95:CJ$105)+SUM(CL$95:CL$105)</f>
        <v>168</v>
      </c>
      <c r="O115" s="99">
        <f>SUM(CN$95:CN$105)+SUM(CP$95:CP$105)+SUM(CR$95:CR$105)+SUM(CT$95:CT$105)</f>
        <v>183</v>
      </c>
    </row>
    <row r="116" spans="2:15">
      <c r="C116" s="98" t="s">
        <v>277</v>
      </c>
      <c r="D116" s="99">
        <f t="shared" ref="D116:O116" si="0">SUM(D$109:D$115)</f>
        <v>2790</v>
      </c>
      <c r="E116" s="99">
        <f t="shared" si="0"/>
        <v>2893</v>
      </c>
      <c r="F116" s="99">
        <f t="shared" si="0"/>
        <v>3032</v>
      </c>
      <c r="G116" s="99">
        <f t="shared" si="0"/>
        <v>3053</v>
      </c>
      <c r="H116" s="99">
        <f t="shared" si="0"/>
        <v>3013</v>
      </c>
      <c r="I116" s="99">
        <f t="shared" si="0"/>
        <v>3136</v>
      </c>
      <c r="J116" s="99">
        <f t="shared" si="0"/>
        <v>3240</v>
      </c>
      <c r="K116" s="99">
        <f t="shared" si="0"/>
        <v>2891</v>
      </c>
      <c r="L116" s="99">
        <f t="shared" si="0"/>
        <v>3339</v>
      </c>
      <c r="M116" s="99">
        <f t="shared" si="0"/>
        <v>3521</v>
      </c>
      <c r="N116" s="99">
        <f t="shared" si="0"/>
        <v>3261</v>
      </c>
      <c r="O116" s="99">
        <f t="shared" si="0"/>
        <v>3398</v>
      </c>
    </row>
    <row r="118" spans="2:15">
      <c r="B118" s="102" t="s">
        <v>278</v>
      </c>
    </row>
    <row r="119" spans="2:15">
      <c r="C119" s="98" t="s">
        <v>276</v>
      </c>
      <c r="D119" s="98" t="s">
        <v>92</v>
      </c>
      <c r="E119" s="98" t="s">
        <v>93</v>
      </c>
      <c r="F119" s="98" t="s">
        <v>94</v>
      </c>
      <c r="G119" s="98" t="s">
        <v>95</v>
      </c>
      <c r="H119" s="98" t="s">
        <v>96</v>
      </c>
      <c r="I119" s="98" t="s">
        <v>97</v>
      </c>
      <c r="J119" s="98" t="s">
        <v>98</v>
      </c>
      <c r="K119" s="98" t="s">
        <v>99</v>
      </c>
      <c r="L119" s="98" t="s">
        <v>100</v>
      </c>
      <c r="M119" s="98" t="s">
        <v>101</v>
      </c>
      <c r="N119" s="98" t="s">
        <v>102</v>
      </c>
      <c r="O119" s="98" t="s">
        <v>103</v>
      </c>
    </row>
    <row r="120" spans="2:15">
      <c r="C120" s="98" t="s">
        <v>126</v>
      </c>
      <c r="D120" s="99">
        <f>D109*pricing!D6*2000</f>
        <v>2520000</v>
      </c>
      <c r="E120" s="99">
        <f>E109*pricing!E6*2000</f>
        <v>3000000</v>
      </c>
      <c r="F120" s="99">
        <f>F109*pricing!F6*2000</f>
        <v>2988000</v>
      </c>
      <c r="G120" s="99">
        <f>G109*pricing!G6*2000</f>
        <v>2808000</v>
      </c>
      <c r="H120" s="99">
        <f>H109*pricing!H6*2000</f>
        <v>3280000</v>
      </c>
      <c r="I120" s="99">
        <f>I109*pricing!I6*2000</f>
        <v>2768000</v>
      </c>
      <c r="J120" s="99">
        <f>J109*pricing!J6*2000</f>
        <v>3700000</v>
      </c>
      <c r="K120" s="99">
        <f>K109*pricing!K6*2000</f>
        <v>2804000</v>
      </c>
      <c r="L120" s="99">
        <f>L109*pricing!L6*2000</f>
        <v>3688000</v>
      </c>
      <c r="M120" s="99">
        <f>M109*pricing!M6*2000</f>
        <v>4344000</v>
      </c>
      <c r="N120" s="99">
        <f>N109*pricing!N6*2000</f>
        <v>3356000</v>
      </c>
      <c r="O120" s="99">
        <f>O109*pricing!O6*2000</f>
        <v>4176000</v>
      </c>
    </row>
    <row r="121" spans="2:15">
      <c r="C121" s="98" t="s">
        <v>127</v>
      </c>
      <c r="D121" s="99">
        <f>D110*pricing!D7*2000</f>
        <v>2597400</v>
      </c>
      <c r="E121" s="99">
        <f>E110*pricing!E7*2000</f>
        <v>2464799.9999999995</v>
      </c>
      <c r="F121" s="99">
        <f>F110*pricing!F7*2000</f>
        <v>2262000</v>
      </c>
      <c r="G121" s="99">
        <f>G110*pricing!G7*2000</f>
        <v>2379000</v>
      </c>
      <c r="H121" s="99">
        <f>H110*pricing!H7*2000</f>
        <v>2589600</v>
      </c>
      <c r="I121" s="99">
        <f>I110*pricing!I7*2000</f>
        <v>2987400</v>
      </c>
      <c r="J121" s="99">
        <f>J110*pricing!J7*2000</f>
        <v>2792400</v>
      </c>
      <c r="K121" s="99">
        <f>K110*pricing!K7*2000</f>
        <v>2527200</v>
      </c>
      <c r="L121" s="99">
        <f>L110*pricing!L7*2000</f>
        <v>2558400</v>
      </c>
      <c r="M121" s="99">
        <f>M110*pricing!M7*2000</f>
        <v>2792400</v>
      </c>
      <c r="N121" s="99">
        <f>N110*pricing!N7*2000</f>
        <v>2659799.9999999995</v>
      </c>
      <c r="O121" s="99">
        <f>O110*pricing!O7*2000</f>
        <v>2550600</v>
      </c>
    </row>
    <row r="122" spans="2:15">
      <c r="C122" s="98" t="s">
        <v>128</v>
      </c>
      <c r="D122" s="99">
        <f>D111*pricing!D8*2000</f>
        <v>1276800</v>
      </c>
      <c r="E122" s="99">
        <f>E111*pricing!E8*2000</f>
        <v>1223600</v>
      </c>
      <c r="F122" s="99">
        <f>F111*pricing!F8*2000</f>
        <v>1702399.9999999998</v>
      </c>
      <c r="G122" s="99">
        <f>G111*pricing!G8*2000</f>
        <v>1641600</v>
      </c>
      <c r="H122" s="99">
        <f>H111*pricing!H8*2000</f>
        <v>1672000</v>
      </c>
      <c r="I122" s="99">
        <f>I111*pricing!I8*2000</f>
        <v>1672000</v>
      </c>
      <c r="J122" s="99">
        <f>J111*pricing!J8*2000</f>
        <v>1451600</v>
      </c>
      <c r="K122" s="99">
        <f>K111*pricing!K8*2000</f>
        <v>1687199.9999999998</v>
      </c>
      <c r="L122" s="99">
        <f>L111*pricing!L8*2000</f>
        <v>1831600</v>
      </c>
      <c r="M122" s="99">
        <f>M111*pricing!M8*2000</f>
        <v>1702399.9999999998</v>
      </c>
      <c r="N122" s="99">
        <f>N111*pricing!N8*2000</f>
        <v>1687199.9999999998</v>
      </c>
      <c r="O122" s="99">
        <f>O111*pricing!O8*2000</f>
        <v>1580800</v>
      </c>
    </row>
    <row r="123" spans="2:15">
      <c r="C123" s="98" t="s">
        <v>129</v>
      </c>
      <c r="D123" s="99">
        <f>D112*pricing!D9*2000</f>
        <v>2492799.9999999995</v>
      </c>
      <c r="E123" s="99">
        <f>E112*pricing!E9*2000</f>
        <v>2888000</v>
      </c>
      <c r="F123" s="99">
        <f>F112*pricing!F9*2000</f>
        <v>2576400</v>
      </c>
      <c r="G123" s="99">
        <f>G112*pricing!G9*2000</f>
        <v>2736000</v>
      </c>
      <c r="H123" s="99">
        <f>H112*pricing!H9*2000</f>
        <v>2568799.9999999995</v>
      </c>
      <c r="I123" s="99">
        <f>I112*pricing!I9*2000</f>
        <v>2302799.9999999995</v>
      </c>
      <c r="J123" s="99">
        <f>J112*pricing!J9*2000</f>
        <v>2591600</v>
      </c>
      <c r="K123" s="99">
        <f>K112*pricing!K9*2000</f>
        <v>2584000</v>
      </c>
      <c r="L123" s="99">
        <f>L112*pricing!L9*2000</f>
        <v>2378799.9999999995</v>
      </c>
      <c r="M123" s="99">
        <f>M112*pricing!M9*2000</f>
        <v>2295200</v>
      </c>
      <c r="N123" s="99">
        <f>N112*pricing!N9*2000</f>
        <v>2447200</v>
      </c>
      <c r="O123" s="99">
        <f>O112*pricing!O9*2000</f>
        <v>2637200</v>
      </c>
    </row>
    <row r="124" spans="2:15">
      <c r="C124" s="98" t="s">
        <v>130</v>
      </c>
      <c r="D124" s="99">
        <f>D113*pricing!D10*2000</f>
        <v>2948000</v>
      </c>
      <c r="E124" s="99">
        <f>E113*pricing!E10*2000</f>
        <v>2868000</v>
      </c>
      <c r="F124" s="99">
        <f>F113*pricing!F10*2000</f>
        <v>3320000</v>
      </c>
      <c r="G124" s="99">
        <f>G113*pricing!G10*2000</f>
        <v>3424000</v>
      </c>
      <c r="H124" s="99">
        <f>H113*pricing!H10*2000</f>
        <v>3024000</v>
      </c>
      <c r="I124" s="99">
        <f>I113*pricing!I10*2000</f>
        <v>3328000</v>
      </c>
      <c r="J124" s="99">
        <f>J113*pricing!J10*2000</f>
        <v>3020000</v>
      </c>
      <c r="K124" s="99">
        <f>K113*pricing!K10*2000</f>
        <v>2908000</v>
      </c>
      <c r="L124" s="99">
        <f>L113*pricing!L10*2000</f>
        <v>3420000</v>
      </c>
      <c r="M124" s="99">
        <f>M113*pricing!M10*2000</f>
        <v>3288000</v>
      </c>
      <c r="N124" s="99">
        <f>N113*pricing!N10*2000</f>
        <v>3512000</v>
      </c>
      <c r="O124" s="99">
        <f>O113*pricing!O10*2000</f>
        <v>2964000</v>
      </c>
    </row>
    <row r="125" spans="2:15">
      <c r="C125" s="98" t="s">
        <v>131</v>
      </c>
      <c r="D125" s="99">
        <f>D114*pricing!D11*2000</f>
        <v>1816000</v>
      </c>
      <c r="E125" s="99">
        <f>E114*pricing!E11*2000</f>
        <v>1584000</v>
      </c>
      <c r="F125" s="99">
        <f>F114*pricing!F11*2000</f>
        <v>1688000</v>
      </c>
      <c r="G125" s="99">
        <f>G114*pricing!G11*2000</f>
        <v>1856000</v>
      </c>
      <c r="H125" s="99">
        <f>H114*pricing!H11*2000</f>
        <v>1532000</v>
      </c>
      <c r="I125" s="99">
        <f>I114*pricing!I11*2000</f>
        <v>2220000</v>
      </c>
      <c r="J125" s="99">
        <f>J114*pricing!J11*2000</f>
        <v>2000000</v>
      </c>
      <c r="K125" s="99">
        <f>K114*pricing!K11*2000</f>
        <v>1712000</v>
      </c>
      <c r="L125" s="99">
        <f>L114*pricing!L11*2000</f>
        <v>1996000</v>
      </c>
      <c r="M125" s="99">
        <f>M114*pricing!M11*2000</f>
        <v>2328000</v>
      </c>
      <c r="N125" s="99">
        <f>N114*pricing!N11*2000</f>
        <v>1964000</v>
      </c>
      <c r="O125" s="99">
        <f>O114*pricing!O11*2000</f>
        <v>2192000</v>
      </c>
    </row>
    <row r="126" spans="2:15">
      <c r="C126" s="98" t="s">
        <v>132</v>
      </c>
      <c r="D126" s="99">
        <f>D115*pricing!D12*2000</f>
        <v>1064000</v>
      </c>
      <c r="E126" s="99">
        <f>E115*pricing!E12*2000</f>
        <v>1314800</v>
      </c>
      <c r="F126" s="99">
        <f>F115*pricing!F12*2000</f>
        <v>1368000</v>
      </c>
      <c r="G126" s="99">
        <f>G115*pricing!G12*2000</f>
        <v>1140000</v>
      </c>
      <c r="H126" s="99">
        <f>H115*pricing!H12*2000</f>
        <v>1246399.9999999998</v>
      </c>
      <c r="I126" s="99">
        <f>I115*pricing!I12*2000</f>
        <v>1147600</v>
      </c>
      <c r="J126" s="99">
        <f>J115*pricing!J12*2000</f>
        <v>1292000</v>
      </c>
      <c r="K126" s="99">
        <f>K115*pricing!K12*2000</f>
        <v>1132399.9999999998</v>
      </c>
      <c r="L126" s="99">
        <f>L115*pricing!L12*2000</f>
        <v>1375600</v>
      </c>
      <c r="M126" s="99">
        <f>M115*pricing!M12*2000</f>
        <v>1117200</v>
      </c>
      <c r="N126" s="99">
        <f>N115*pricing!N12*2000</f>
        <v>1276800</v>
      </c>
      <c r="O126" s="99">
        <f>O115*pricing!O12*2000</f>
        <v>1390800</v>
      </c>
    </row>
    <row r="127" spans="2:15">
      <c r="C127" s="98" t="s">
        <v>277</v>
      </c>
      <c r="D127" s="99">
        <f t="shared" ref="D127:O127" si="1">SUM(D$120:D$126)</f>
        <v>14715000</v>
      </c>
      <c r="E127" s="99">
        <f t="shared" si="1"/>
        <v>15343200</v>
      </c>
      <c r="F127" s="99">
        <f t="shared" si="1"/>
        <v>15904800</v>
      </c>
      <c r="G127" s="99">
        <f t="shared" si="1"/>
        <v>15984600</v>
      </c>
      <c r="H127" s="99">
        <f t="shared" si="1"/>
        <v>15912800</v>
      </c>
      <c r="I127" s="99">
        <f t="shared" si="1"/>
        <v>16425800</v>
      </c>
      <c r="J127" s="99">
        <f t="shared" si="1"/>
        <v>16847600</v>
      </c>
      <c r="K127" s="99">
        <f t="shared" si="1"/>
        <v>15354800</v>
      </c>
      <c r="L127" s="99">
        <f t="shared" si="1"/>
        <v>17248400</v>
      </c>
      <c r="M127" s="99">
        <f t="shared" si="1"/>
        <v>17867200</v>
      </c>
      <c r="N127" s="99">
        <f t="shared" si="1"/>
        <v>16903000</v>
      </c>
      <c r="O127" s="99">
        <f t="shared" si="1"/>
        <v>17491400</v>
      </c>
    </row>
    <row r="129" spans="2:15">
      <c r="B129" s="102" t="s">
        <v>279</v>
      </c>
    </row>
    <row r="130" spans="2:15">
      <c r="C130" s="104" t="s">
        <v>276</v>
      </c>
      <c r="D130" s="104" t="s">
        <v>92</v>
      </c>
      <c r="E130" s="104" t="s">
        <v>93</v>
      </c>
      <c r="F130" s="104" t="s">
        <v>94</v>
      </c>
      <c r="G130" s="104" t="s">
        <v>95</v>
      </c>
      <c r="H130" s="104" t="s">
        <v>96</v>
      </c>
      <c r="I130" s="104" t="s">
        <v>97</v>
      </c>
      <c r="J130" s="104" t="s">
        <v>98</v>
      </c>
      <c r="K130" s="104" t="s">
        <v>99</v>
      </c>
      <c r="L130" s="104" t="s">
        <v>100</v>
      </c>
      <c r="M130" s="104" t="s">
        <v>101</v>
      </c>
      <c r="N130" s="104" t="s">
        <v>102</v>
      </c>
      <c r="O130" s="104" t="s">
        <v>103</v>
      </c>
    </row>
    <row r="131" spans="2:15">
      <c r="C131" s="104" t="s">
        <v>126</v>
      </c>
      <c r="D131" s="105">
        <f>SUM(E$6:E$19)+SUM(G$6:G$19)+SUM(I$6:I$19)+SUM(K$6:K$19)</f>
        <v>316627.19999999995</v>
      </c>
      <c r="E131" s="105">
        <f>SUM(M$6:M$19)+SUM(O$6:O$19)+SUM(Q$6:Q$19)+SUM(S$6:S$19)</f>
        <v>378471.60000000003</v>
      </c>
      <c r="F131" s="105">
        <f>SUM(U$6:U$19)+SUM(W$6:W$19)+SUM(Y$6:Y$19)+SUM(AA$6:AA$19)</f>
        <v>375685.2</v>
      </c>
      <c r="G131" s="105">
        <f>SUM(AC$6:AC$19)+SUM(AE$6:AE$19)+SUM(AG$6:AG$19)+SUM(AI$6:AI$19)</f>
        <v>353985.6</v>
      </c>
      <c r="H131" s="105">
        <f>SUM(AK$6:AK$19)+SUM(AM$6:AM$19)+SUM(AO$6:AO$19)+SUM(AQ$6:AQ$19)</f>
        <v>413383.19999999995</v>
      </c>
      <c r="I131" s="105">
        <f>SUM(AS$6:AS$19)+SUM(AU$6:AU$19)+SUM(AW$6:AW$19)+SUM(AY$6:AY$19)</f>
        <v>345957.6</v>
      </c>
      <c r="J131" s="105">
        <f>SUM(BA$6:BA$19)+SUM(BC$6:BC$19)+SUM(BE$6:BE$19)+SUM(BG$6:BG$19)</f>
        <v>466551.60000000009</v>
      </c>
      <c r="K131" s="105">
        <f>SUM(BI$6:BI$19)+SUM(BK$6:BK$19)+SUM(BM$6:BM$19)+SUM(BO$6:BO$19)</f>
        <v>353837.99999999994</v>
      </c>
      <c r="L131" s="105">
        <f>SUM(BQ$6:BQ$19)+SUM(BS$6:BS$19)+SUM(BU$6:BU$19)+SUM(BW$6:BW$19)</f>
        <v>462582</v>
      </c>
      <c r="M131" s="105">
        <f>SUM(BY$6:BY$19)+SUM(CA$6:CA$19)+SUM(CC$6:CC$19)+SUM(CE$6:CE$19)</f>
        <v>546338.39999999991</v>
      </c>
      <c r="N131" s="105">
        <f>SUM(CG$6:CG$19)+SUM(CI$6:CI$19)+SUM(CK$6:CK$19)+SUM(CM$6:CM$19)</f>
        <v>422793.6</v>
      </c>
      <c r="O131" s="105">
        <f>SUM(CO$6:CO$19)+SUM(CQ$6:CQ$19)+SUM(CS$6:CS$19)+SUM(CU$6:CU$19)</f>
        <v>524594.39999999991</v>
      </c>
    </row>
    <row r="132" spans="2:15">
      <c r="C132" s="104" t="s">
        <v>127</v>
      </c>
      <c r="D132" s="105">
        <f>SUM(E$20:E$36)+SUM(G$20:G$36)+SUM(I$20:I$36)+SUM(K$20:K$36)</f>
        <v>141402</v>
      </c>
      <c r="E132" s="105">
        <f>SUM(M$20:M$36)+SUM(O$20:O$36)+SUM(Q$20:Q$36)+SUM(S$20:S$36)</f>
        <v>136095.6</v>
      </c>
      <c r="F132" s="105">
        <f>SUM(U$20:U$36)+SUM(W$20:W$36)+SUM(Y$20:Y$36)+SUM(AA$20:AA$36)</f>
        <v>123578.4</v>
      </c>
      <c r="G132" s="105">
        <f>SUM(AC$20:AC$36)+SUM(AE$20:AE$36)+SUM(AG$20:AG$36)+SUM(AI$20:AI$36)</f>
        <v>131430</v>
      </c>
      <c r="H132" s="105">
        <f>SUM(AK$20:AK$36)+SUM(AM$20:AM$36)+SUM(AO$20:AO$36)+SUM(AQ$20:AQ$36)</f>
        <v>143047.20000000001</v>
      </c>
      <c r="I132" s="105">
        <f>SUM(AS$20:AS$36)+SUM(AU$20:AU$36)+SUM(AW$20:AW$36)+SUM(AY$20:AY$36)</f>
        <v>164826</v>
      </c>
      <c r="J132" s="105">
        <f>SUM(BA$20:BA$36)+SUM(BC$20:BC$36)+SUM(BE$20:BE$36)+SUM(BG$20:BG$36)</f>
        <v>154994.4</v>
      </c>
      <c r="K132" s="105">
        <f>SUM(BI$20:BI$36)+SUM(BK$20:BK$36)+SUM(BM$20:BM$36)+SUM(BO$20:BO$36)</f>
        <v>139101.6</v>
      </c>
      <c r="L132" s="105">
        <f>SUM(BQ$20:BQ$36)+SUM(BS$20:BS$36)+SUM(BU$20:BU$36)+SUM(BW$20:BW$36)</f>
        <v>141140.4</v>
      </c>
      <c r="M132" s="105">
        <f>SUM(BY$20:BY$36)+SUM(CA$20:CA$36)+SUM(CC$20:CC$36)+SUM(CE$20:CE$36)</f>
        <v>152577.60000000001</v>
      </c>
      <c r="N132" s="105">
        <f>SUM(CG$20:CG$36)+SUM(CI$20:CI$36)+SUM(CK$20:CK$36)+SUM(CM$20:CM$36)</f>
        <v>145152</v>
      </c>
      <c r="O132" s="105">
        <f>SUM(CO$20:CO$36)+SUM(CQ$20:CQ$36)+SUM(CS$20:CS$36)+SUM(CU$20:CU$36)</f>
        <v>140106</v>
      </c>
    </row>
    <row r="133" spans="2:15">
      <c r="C133" s="104" t="s">
        <v>128</v>
      </c>
      <c r="D133" s="105">
        <f>SUM(E$37:E$48)+SUM(G$37:G$48)+SUM(I$37:I$48)+SUM(K$37:K$48)</f>
        <v>176373.6</v>
      </c>
      <c r="E133" s="105">
        <f>SUM(M$37:M$48)+SUM(O$37:O$48)+SUM(Q$37:Q$48)+SUM(S$37:S$48)</f>
        <v>168873.60000000001</v>
      </c>
      <c r="F133" s="105">
        <f>SUM(U$37:U$48)+SUM(W$37:W$48)+SUM(Y$37:Y$48)+SUM(AA$37:AA$48)</f>
        <v>233520</v>
      </c>
      <c r="G133" s="105">
        <f>SUM(AC$37:AC$48)+SUM(AE$37:AE$48)+SUM(AG$37:AG$48)+SUM(AI$37:AI$48)</f>
        <v>227578.8</v>
      </c>
      <c r="H133" s="105">
        <f>SUM(AK$37:AK$48)+SUM(AM$37:AM$48)+SUM(AO$37:AO$48)+SUM(AQ$37:AQ$48)</f>
        <v>231133.2</v>
      </c>
      <c r="I133" s="105">
        <f>SUM(AS$37:AS$48)+SUM(AU$37:AU$48)+SUM(AW$37:AW$48)+SUM(AY$37:AY$48)</f>
        <v>230716.79999999999</v>
      </c>
      <c r="J133" s="105">
        <f>SUM(BA$37:BA$48)+SUM(BC$37:BC$48)+SUM(BE$37:BE$48)+SUM(BG$37:BG$48)</f>
        <v>200785.19999999998</v>
      </c>
      <c r="K133" s="105">
        <f>SUM(BI$37:BI$48)+SUM(BK$37:BK$48)+SUM(BM$37:BM$48)+SUM(BO$37:BO$48)</f>
        <v>232995.60000000003</v>
      </c>
      <c r="L133" s="105">
        <f>SUM(BQ$37:BQ$48)+SUM(BS$37:BS$48)+SUM(BU$37:BU$48)+SUM(BW$37:BW$48)</f>
        <v>252985.19999999998</v>
      </c>
      <c r="M133" s="105">
        <f>SUM(BY$37:BY$48)+SUM(CA$37:CA$48)+SUM(CC$37:CC$48)+SUM(CE$37:CE$48)</f>
        <v>235646.4</v>
      </c>
      <c r="N133" s="105">
        <f>SUM(CG$37:CG$48)+SUM(CI$37:CI$48)+SUM(CK$37:CK$48)+SUM(CM$37:CM$48)</f>
        <v>231048</v>
      </c>
      <c r="O133" s="105">
        <f>SUM(CO$37:CO$48)+SUM(CQ$37:CQ$48)+SUM(CS$37:CS$48)+SUM(CU$37:CU$48)</f>
        <v>218764.80000000002</v>
      </c>
    </row>
    <row r="134" spans="2:15">
      <c r="C134" s="104" t="s">
        <v>129</v>
      </c>
      <c r="D134" s="105">
        <f>SUM(E$49:E$70)+SUM(G$49:G$70)+SUM(I$49:I$70)+SUM(K$49:K$70)</f>
        <v>279777.60000000003</v>
      </c>
      <c r="E134" s="105">
        <f>SUM(M$49:M$70)+SUM(O$49:O$70)+SUM(Q$49:Q$70)+SUM(S$49:S$70)</f>
        <v>320851.20000000007</v>
      </c>
      <c r="F134" s="105">
        <f>SUM(U$49:U$70)+SUM(W$49:W$70)+SUM(Y$49:Y$70)+SUM(AA$49:AA$70)</f>
        <v>289562.40000000002</v>
      </c>
      <c r="G134" s="105">
        <f>SUM(AC$49:AC$70)+SUM(AE$49:AE$70)+SUM(AG$49:AG$70)+SUM(AI$49:AI$70)</f>
        <v>305193.59999999998</v>
      </c>
      <c r="H134" s="105">
        <f>SUM(AK$49:AK$70)+SUM(AM$49:AM$70)+SUM(AO$49:AO$70)+SUM(AQ$49:AQ$70)</f>
        <v>288082.8</v>
      </c>
      <c r="I134" s="105">
        <f>SUM(AS$49:AS$70)+SUM(AU$49:AU$70)+SUM(AW$49:AW$70)+SUM(AY$49:AY$70)</f>
        <v>259360.8</v>
      </c>
      <c r="J134" s="105">
        <f>SUM(BA$49:BA$70)+SUM(BC$49:BC$70)+SUM(BE$49:BE$70)+SUM(BG$49:BG$70)</f>
        <v>289616.40000000002</v>
      </c>
      <c r="K134" s="105">
        <f>SUM(BI$49:BI$70)+SUM(BK$49:BK$70)+SUM(BM$49:BM$70)+SUM(BO$49:BO$70)</f>
        <v>288649.19999999995</v>
      </c>
      <c r="L134" s="105">
        <f>SUM(BQ$49:BQ$70)+SUM(BS$49:BS$70)+SUM(BU$49:BU$70)+SUM(BW$49:BW$70)</f>
        <v>263163.59999999998</v>
      </c>
      <c r="M134" s="105">
        <f>SUM(BY$49:BY$70)+SUM(CA$49:CA$70)+SUM(CC$49:CC$70)+SUM(CE$49:CE$70)</f>
        <v>257088</v>
      </c>
      <c r="N134" s="105">
        <f>SUM(CG$49:CG$70)+SUM(CI$49:CI$70)+SUM(CK$49:CK$70)+SUM(CM$49:CM$70)</f>
        <v>273055.19999999995</v>
      </c>
      <c r="O134" s="105">
        <f>SUM(CO$49:CO$70)+SUM(CQ$49:CQ$70)+SUM(CS$49:CS$70)+SUM(CU$49:CU$70)</f>
        <v>293402.40000000002</v>
      </c>
    </row>
    <row r="135" spans="2:15">
      <c r="C135" s="104" t="s">
        <v>130</v>
      </c>
      <c r="D135" s="105">
        <f>SUM(E$71:E$86)+SUM(G$71:G$86)+SUM(I$71:I$86)+SUM(K$71:K$86)</f>
        <v>412732.8</v>
      </c>
      <c r="E135" s="105">
        <f>SUM(M$71:M$86)+SUM(O$71:O$86)+SUM(Q$71:Q$86)+SUM(S$71:S$86)</f>
        <v>397713.6</v>
      </c>
      <c r="F135" s="105">
        <f>SUM(U$71:U$86)+SUM(W$71:W$86)+SUM(Y$71:Y$86)+SUM(AA$71:AA$86)</f>
        <v>462922.8</v>
      </c>
      <c r="G135" s="105">
        <f>SUM(AC$71:AC$86)+SUM(AE$71:AE$86)+SUM(AG$71:AG$86)+SUM(AI$71:AI$86)</f>
        <v>477897.60000000003</v>
      </c>
      <c r="H135" s="105">
        <f>SUM(AK$71:AK$86)+SUM(AM$71:AM$86)+SUM(AO$71:AO$86)+SUM(AQ$71:AQ$86)</f>
        <v>419920.8</v>
      </c>
      <c r="I135" s="105">
        <f>SUM(AS$71:AS$86)+SUM(AU$71:AU$86)+SUM(AW$71:AW$86)+SUM(AY$71:AY$86)</f>
        <v>463826.39999999997</v>
      </c>
      <c r="J135" s="105">
        <f>SUM(BA$71:BA$86)+SUM(BC$71:BC$86)+SUM(BE$71:BE$86)+SUM(BG$71:BG$86)</f>
        <v>421971.6</v>
      </c>
      <c r="K135" s="105">
        <f>SUM(BI$71:BI$86)+SUM(BK$71:BK$86)+SUM(BM$71:BM$86)+SUM(BO$71:BO$86)</f>
        <v>403572</v>
      </c>
      <c r="L135" s="105">
        <f>SUM(BQ$71:BQ$86)+SUM(BS$71:BS$86)+SUM(BU$71:BU$86)+SUM(BW$71:BW$86)</f>
        <v>475796.39999999997</v>
      </c>
      <c r="M135" s="105">
        <f>SUM(BY$71:BY$86)+SUM(CA$71:CA$86)+SUM(CC$71:CC$86)+SUM(CE$71:CE$86)</f>
        <v>457126.80000000005</v>
      </c>
      <c r="N135" s="105">
        <f>SUM(CG$71:CG$86)+SUM(CI$71:CI$86)+SUM(CK$71:CK$86)+SUM(CM$71:CM$86)</f>
        <v>488444.39999999997</v>
      </c>
      <c r="O135" s="105">
        <f>SUM(CO$71:CO$86)+SUM(CQ$71:CQ$86)+SUM(CS$71:CS$86)+SUM(CU$71:CU$86)</f>
        <v>413865.6</v>
      </c>
    </row>
    <row r="136" spans="2:15">
      <c r="C136" s="104" t="s">
        <v>131</v>
      </c>
      <c r="D136" s="105">
        <f>SUM(E$87:E$94)+SUM(G$87:G$94)+SUM(I$87:I$94)+SUM(K$87:K$94)</f>
        <v>917726.39999999991</v>
      </c>
      <c r="E136" s="105">
        <f>SUM(M$87:M$94)+SUM(O$87:O$94)+SUM(Q$87:Q$94)+SUM(S$87:S$94)</f>
        <v>802377.6</v>
      </c>
      <c r="F136" s="105">
        <f>SUM(U$87:U$94)+SUM(W$87:W$94)+SUM(Y$87:Y$94)+SUM(AA$87:AA$94)</f>
        <v>858940.79999999993</v>
      </c>
      <c r="G136" s="105">
        <f>SUM(AC$87:AC$94)+SUM(AE$87:AE$94)+SUM(AG$87:AG$94)+SUM(AI$87:AI$94)</f>
        <v>942985.2</v>
      </c>
      <c r="H136" s="105">
        <f>SUM(AK$87:AK$94)+SUM(AM$87:AM$94)+SUM(AO$87:AO$94)+SUM(AQ$87:AQ$94)</f>
        <v>778310.4</v>
      </c>
      <c r="I136" s="105">
        <f>SUM(AS$87:AS$94)+SUM(AU$87:AU$94)+SUM(AW$87:AW$94)+SUM(AY$87:AY$94)</f>
        <v>1130295.5999999999</v>
      </c>
      <c r="J136" s="105">
        <f>SUM(BA$87:BA$94)+SUM(BC$87:BC$94)+SUM(BE$87:BE$94)+SUM(BG$87:BG$94)</f>
        <v>1015057.2</v>
      </c>
      <c r="K136" s="105">
        <f>SUM(BI$87:BI$94)+SUM(BK$87:BK$94)+SUM(BM$87:BM$94)+SUM(BO$87:BO$94)</f>
        <v>869317.2</v>
      </c>
      <c r="L136" s="105">
        <f>SUM(BQ$87:BQ$94)+SUM(BS$87:BS$94)+SUM(BU$87:BU$94)+SUM(BW$87:BW$94)</f>
        <v>1011466.7999999999</v>
      </c>
      <c r="M136" s="105">
        <f>SUM(BY$87:BY$94)+SUM(CA$87:CA$94)+SUM(CC$87:CC$94)+SUM(CE$87:CE$94)</f>
        <v>1182105.5999999999</v>
      </c>
      <c r="N136" s="105">
        <f>SUM(CG$87:CG$94)+SUM(CI$87:CI$94)+SUM(CK$87:CK$94)+SUM(CM$87:CM$94)</f>
        <v>994089.59999999986</v>
      </c>
      <c r="O136" s="105">
        <f>SUM(CO$87:CO$94)+SUM(CQ$87:CQ$94)+SUM(CS$87:CS$94)+SUM(CU$87:CU$94)</f>
        <v>1116080.3999999999</v>
      </c>
    </row>
    <row r="137" spans="2:15">
      <c r="C137" s="104" t="s">
        <v>132</v>
      </c>
      <c r="D137" s="105">
        <f>SUM(E$95:E$105)+SUM(G$95:G$105)+SUM(I$95:I$105)+SUM(K$95:K$105)</f>
        <v>267624</v>
      </c>
      <c r="E137" s="105">
        <f>SUM(M$95:M$105)+SUM(O$95:O$105)+SUM(Q$95:Q$105)+SUM(S$95:S$105)</f>
        <v>332118</v>
      </c>
      <c r="F137" s="105">
        <f>SUM(U$95:U$105)+SUM(W$95:W$105)+SUM(Y$95:Y$105)+SUM(AA$95:AA$105)</f>
        <v>342021.6</v>
      </c>
      <c r="G137" s="105">
        <f>SUM(AC$95:AC$105)+SUM(AE$95:AE$105)+SUM(AG$95:AG$105)+SUM(AI$95:AI$105)</f>
        <v>292750.8</v>
      </c>
      <c r="H137" s="105">
        <f>SUM(AK$95:AK$105)+SUM(AM$95:AM$105)+SUM(AO$95:AO$105)+SUM(AQ$95:AQ$105)</f>
        <v>319603.20000000001</v>
      </c>
      <c r="I137" s="105">
        <f>SUM(AS$95:AS$105)+SUM(AU$95:AU$105)+SUM(AW$95:AW$105)+SUM(AY$95:AY$105)</f>
        <v>289736.39999999997</v>
      </c>
      <c r="J137" s="105">
        <f>SUM(BA$95:BA$105)+SUM(BC$95:BC$105)+SUM(BE$95:BE$105)+SUM(BG$95:BG$105)</f>
        <v>324052.8</v>
      </c>
      <c r="K137" s="105">
        <f>SUM(BI$95:BI$105)+SUM(BK$95:BK$105)+SUM(BM$95:BM$105)+SUM(BO$95:BO$105)</f>
        <v>286974</v>
      </c>
      <c r="L137" s="105">
        <f>SUM(BQ$95:BQ$105)+SUM(BS$95:BS$105)+SUM(BU$95:BU$105)+SUM(BW$95:BW$105)</f>
        <v>347613.6</v>
      </c>
      <c r="M137" s="105">
        <f>SUM(BY$95:BY$105)+SUM(CA$95:CA$105)+SUM(CC$95:CC$105)+SUM(CE$95:CE$105)</f>
        <v>277936.8</v>
      </c>
      <c r="N137" s="105">
        <f>SUM(CG$95:CG$105)+SUM(CI$95:CI$105)+SUM(CK$95:CK$105)+SUM(CM$95:CM$105)</f>
        <v>321760.8</v>
      </c>
      <c r="O137" s="105">
        <f>SUM(CO$95:CO$105)+SUM(CQ$95:CQ$105)+SUM(CS$95:CS$105)+SUM(CU$95:CU$105)</f>
        <v>354129.6</v>
      </c>
    </row>
    <row r="138" spans="2:15">
      <c r="C138" s="104" t="s">
        <v>277</v>
      </c>
      <c r="D138" s="99">
        <f t="shared" ref="D138:O138" si="2">SUM(D$131:D$137)</f>
        <v>2512263.5999999996</v>
      </c>
      <c r="E138" s="99">
        <f t="shared" si="2"/>
        <v>2536501.2000000002</v>
      </c>
      <c r="F138" s="99">
        <f t="shared" si="2"/>
        <v>2686231.2</v>
      </c>
      <c r="G138" s="99">
        <f t="shared" si="2"/>
        <v>2731821.5999999996</v>
      </c>
      <c r="H138" s="99">
        <f t="shared" si="2"/>
        <v>2593480.8000000003</v>
      </c>
      <c r="I138" s="99">
        <f t="shared" si="2"/>
        <v>2884719.5999999996</v>
      </c>
      <c r="J138" s="99">
        <f t="shared" si="2"/>
        <v>2873029.2</v>
      </c>
      <c r="K138" s="99">
        <f t="shared" si="2"/>
        <v>2574447.5999999996</v>
      </c>
      <c r="L138" s="99">
        <f t="shared" si="2"/>
        <v>2954748</v>
      </c>
      <c r="M138" s="99">
        <f t="shared" si="2"/>
        <v>3108819.5999999996</v>
      </c>
      <c r="N138" s="99">
        <f t="shared" si="2"/>
        <v>2876343.5999999996</v>
      </c>
      <c r="O138" s="99">
        <f t="shared" si="2"/>
        <v>3060943.2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99"/>
  </cols>
  <sheetData>
    <row r="2" spans="1:99">
      <c r="B2" s="101" t="s">
        <v>271</v>
      </c>
    </row>
    <row r="3" spans="1:99">
      <c r="B3" s="102" t="s">
        <v>281</v>
      </c>
    </row>
    <row r="4" spans="1:99">
      <c r="A4" s="100"/>
      <c r="B4" s="100"/>
      <c r="C4" s="98" t="s">
        <v>273</v>
      </c>
      <c r="D4" s="98" t="s">
        <v>92</v>
      </c>
      <c r="E4" s="100"/>
      <c r="F4" s="100"/>
      <c r="G4" s="100"/>
      <c r="H4" s="100"/>
      <c r="I4" s="100"/>
      <c r="J4" s="100"/>
      <c r="K4" s="100"/>
      <c r="L4" s="98" t="s">
        <v>93</v>
      </c>
      <c r="M4" s="100"/>
      <c r="N4" s="100"/>
      <c r="O4" s="100"/>
      <c r="P4" s="100"/>
      <c r="Q4" s="100"/>
      <c r="R4" s="100"/>
      <c r="S4" s="100"/>
      <c r="T4" s="98" t="s">
        <v>94</v>
      </c>
      <c r="U4" s="100"/>
      <c r="V4" s="100"/>
      <c r="W4" s="100"/>
      <c r="X4" s="100"/>
      <c r="Y4" s="100"/>
      <c r="Z4" s="100"/>
      <c r="AA4" s="100"/>
      <c r="AB4" s="98" t="s">
        <v>95</v>
      </c>
      <c r="AC4" s="100"/>
      <c r="AD4" s="100"/>
      <c r="AE4" s="100"/>
      <c r="AF4" s="100"/>
      <c r="AG4" s="100"/>
      <c r="AH4" s="100"/>
      <c r="AI4" s="100"/>
      <c r="AJ4" s="98" t="s">
        <v>96</v>
      </c>
      <c r="AK4" s="100"/>
      <c r="AL4" s="100"/>
      <c r="AM4" s="100"/>
      <c r="AN4" s="100"/>
      <c r="AO4" s="100"/>
      <c r="AP4" s="100"/>
      <c r="AQ4" s="100"/>
      <c r="AR4" s="98" t="s">
        <v>97</v>
      </c>
      <c r="AS4" s="100"/>
      <c r="AT4" s="100"/>
      <c r="AU4" s="100"/>
      <c r="AV4" s="100"/>
      <c r="AW4" s="100"/>
      <c r="AX4" s="100"/>
      <c r="AY4" s="100"/>
      <c r="AZ4" s="98" t="s">
        <v>98</v>
      </c>
      <c r="BA4" s="100"/>
      <c r="BB4" s="100"/>
      <c r="BC4" s="100"/>
      <c r="BD4" s="100"/>
      <c r="BE4" s="100"/>
      <c r="BF4" s="100"/>
      <c r="BG4" s="100"/>
      <c r="BH4" s="98" t="s">
        <v>99</v>
      </c>
      <c r="BI4" s="100"/>
      <c r="BJ4" s="100"/>
      <c r="BK4" s="100"/>
      <c r="BL4" s="100"/>
      <c r="BM4" s="100"/>
      <c r="BN4" s="100"/>
      <c r="BO4" s="100"/>
      <c r="BP4" s="98" t="s">
        <v>100</v>
      </c>
      <c r="BQ4" s="100"/>
      <c r="BR4" s="100"/>
      <c r="BS4" s="100"/>
      <c r="BT4" s="100"/>
      <c r="BU4" s="100"/>
      <c r="BV4" s="100"/>
      <c r="BW4" s="100"/>
      <c r="BX4" s="98" t="s">
        <v>101</v>
      </c>
      <c r="BY4" s="100"/>
      <c r="BZ4" s="100"/>
      <c r="CA4" s="100"/>
      <c r="CB4" s="100"/>
      <c r="CC4" s="100"/>
      <c r="CD4" s="100"/>
      <c r="CE4" s="100"/>
      <c r="CF4" s="98" t="s">
        <v>102</v>
      </c>
      <c r="CG4" s="100"/>
      <c r="CH4" s="100"/>
      <c r="CI4" s="100"/>
      <c r="CJ4" s="100"/>
      <c r="CK4" s="100"/>
      <c r="CL4" s="100"/>
      <c r="CM4" s="100"/>
      <c r="CN4" s="98" t="s">
        <v>103</v>
      </c>
      <c r="CO4" s="100"/>
      <c r="CP4" s="100"/>
      <c r="CQ4" s="100"/>
      <c r="CR4" s="100"/>
      <c r="CS4" s="100"/>
      <c r="CT4" s="100"/>
      <c r="CU4" s="100"/>
    </row>
    <row r="5" spans="1:99">
      <c r="B5" s="98" t="s">
        <v>166</v>
      </c>
      <c r="C5" s="98" t="s">
        <v>274</v>
      </c>
      <c r="D5" s="98">
        <v>1</v>
      </c>
      <c r="E5" s="98"/>
      <c r="F5" s="98">
        <v>2</v>
      </c>
      <c r="G5" s="98"/>
      <c r="H5" s="98">
        <v>3</v>
      </c>
      <c r="I5" s="98"/>
      <c r="J5" s="98">
        <v>4</v>
      </c>
      <c r="K5" s="98"/>
      <c r="L5" s="98">
        <v>1</v>
      </c>
      <c r="M5" s="98"/>
      <c r="N5" s="98">
        <v>2</v>
      </c>
      <c r="O5" s="98"/>
      <c r="P5" s="98">
        <v>3</v>
      </c>
      <c r="Q5" s="98"/>
      <c r="R5" s="98">
        <v>4</v>
      </c>
      <c r="S5" s="98"/>
      <c r="T5" s="98">
        <v>1</v>
      </c>
      <c r="U5" s="98"/>
      <c r="V5" s="98">
        <v>2</v>
      </c>
      <c r="W5" s="98"/>
      <c r="X5" s="98">
        <v>3</v>
      </c>
      <c r="Y5" s="98"/>
      <c r="Z5" s="98">
        <v>4</v>
      </c>
      <c r="AA5" s="98"/>
      <c r="AB5" s="98">
        <v>1</v>
      </c>
      <c r="AC5" s="98"/>
      <c r="AD5" s="98">
        <v>2</v>
      </c>
      <c r="AE5" s="98"/>
      <c r="AF5" s="98">
        <v>3</v>
      </c>
      <c r="AG5" s="98"/>
      <c r="AH5" s="98">
        <v>4</v>
      </c>
      <c r="AI5" s="98"/>
      <c r="AJ5" s="98">
        <v>1</v>
      </c>
      <c r="AK5" s="98"/>
      <c r="AL5" s="98">
        <v>2</v>
      </c>
      <c r="AM5" s="98"/>
      <c r="AN5" s="98">
        <v>3</v>
      </c>
      <c r="AO5" s="98"/>
      <c r="AP5" s="98">
        <v>4</v>
      </c>
      <c r="AQ5" s="98"/>
      <c r="AR5" s="98">
        <v>1</v>
      </c>
      <c r="AS5" s="98"/>
      <c r="AT5" s="98">
        <v>2</v>
      </c>
      <c r="AU5" s="98"/>
      <c r="AV5" s="98">
        <v>3</v>
      </c>
      <c r="AW5" s="98"/>
      <c r="AX5" s="98">
        <v>4</v>
      </c>
      <c r="AY5" s="98"/>
      <c r="AZ5" s="98">
        <v>1</v>
      </c>
      <c r="BA5" s="98"/>
      <c r="BB5" s="98">
        <v>2</v>
      </c>
      <c r="BC5" s="98"/>
      <c r="BD5" s="98">
        <v>3</v>
      </c>
      <c r="BE5" s="98"/>
      <c r="BF5" s="98">
        <v>4</v>
      </c>
      <c r="BG5" s="98"/>
      <c r="BH5" s="98">
        <v>1</v>
      </c>
      <c r="BI5" s="98"/>
      <c r="BJ5" s="98">
        <v>2</v>
      </c>
      <c r="BK5" s="98"/>
      <c r="BL5" s="98">
        <v>3</v>
      </c>
      <c r="BM5" s="98"/>
      <c r="BN5" s="98">
        <v>4</v>
      </c>
      <c r="BO5" s="98"/>
      <c r="BP5" s="98">
        <v>1</v>
      </c>
      <c r="BQ5" s="98"/>
      <c r="BR5" s="98">
        <v>2</v>
      </c>
      <c r="BS5" s="98"/>
      <c r="BT5" s="98">
        <v>3</v>
      </c>
      <c r="BU5" s="98"/>
      <c r="BV5" s="98">
        <v>4</v>
      </c>
      <c r="BW5" s="98"/>
      <c r="BX5" s="98">
        <v>1</v>
      </c>
      <c r="BY5" s="98"/>
      <c r="BZ5" s="98">
        <v>2</v>
      </c>
      <c r="CA5" s="98"/>
      <c r="CB5" s="98">
        <v>3</v>
      </c>
      <c r="CC5" s="98"/>
      <c r="CD5" s="98">
        <v>4</v>
      </c>
      <c r="CE5" s="98"/>
      <c r="CF5" s="98">
        <v>1</v>
      </c>
      <c r="CG5" s="98"/>
      <c r="CH5" s="98">
        <v>2</v>
      </c>
      <c r="CI5" s="98"/>
      <c r="CJ5" s="98">
        <v>3</v>
      </c>
      <c r="CK5" s="98"/>
      <c r="CL5" s="98">
        <v>4</v>
      </c>
      <c r="CM5" s="98"/>
      <c r="CN5" s="98">
        <v>1</v>
      </c>
      <c r="CO5" s="98"/>
      <c r="CP5" s="98">
        <v>2</v>
      </c>
      <c r="CQ5" s="98"/>
      <c r="CR5" s="98">
        <v>3</v>
      </c>
      <c r="CS5" s="98"/>
      <c r="CT5" s="98">
        <v>4</v>
      </c>
      <c r="CU5" s="98"/>
    </row>
    <row r="6" spans="1:99">
      <c r="B6" s="98" t="s">
        <v>126</v>
      </c>
      <c r="C6" s="98" t="s">
        <v>171</v>
      </c>
      <c r="D6" s="99">
        <v>0</v>
      </c>
      <c r="E6" s="99">
        <v>0</v>
      </c>
      <c r="F6" s="99">
        <v>0</v>
      </c>
      <c r="G6" s="99">
        <v>0</v>
      </c>
      <c r="H6" s="99">
        <v>20.185482549565755</v>
      </c>
      <c r="I6" s="99">
        <v>11675.283106668832</v>
      </c>
      <c r="J6" s="99">
        <v>6.5367771874486422</v>
      </c>
      <c r="K6" s="99">
        <v>3780.8719252202945</v>
      </c>
      <c r="L6" s="99">
        <v>27</v>
      </c>
      <c r="M6" s="99">
        <v>15616.8</v>
      </c>
      <c r="N6" s="99">
        <v>25</v>
      </c>
      <c r="O6" s="99">
        <v>14460</v>
      </c>
      <c r="P6" s="99">
        <v>23</v>
      </c>
      <c r="Q6" s="99">
        <v>13303.199999999999</v>
      </c>
      <c r="R6" s="99">
        <v>17.419478171093896</v>
      </c>
      <c r="S6" s="99">
        <v>10075.42617416071</v>
      </c>
      <c r="T6" s="99">
        <v>18</v>
      </c>
      <c r="U6" s="99">
        <v>10411.199999999999</v>
      </c>
      <c r="V6" s="99">
        <v>29</v>
      </c>
      <c r="W6" s="99">
        <v>16773.599999999999</v>
      </c>
      <c r="X6" s="99">
        <v>21</v>
      </c>
      <c r="Y6" s="99">
        <v>12146.4</v>
      </c>
      <c r="Z6" s="99">
        <v>19</v>
      </c>
      <c r="AA6" s="99">
        <v>10989.6</v>
      </c>
      <c r="AB6" s="99">
        <v>22</v>
      </c>
      <c r="AC6" s="99">
        <v>12724.8</v>
      </c>
      <c r="AD6" s="99">
        <v>28</v>
      </c>
      <c r="AE6" s="99">
        <v>16195.199999999999</v>
      </c>
      <c r="AF6" s="99">
        <v>19.722148275786541</v>
      </c>
      <c r="AG6" s="99">
        <v>11407.290562714936</v>
      </c>
      <c r="AH6" s="99">
        <v>0</v>
      </c>
      <c r="AI6" s="99">
        <v>0</v>
      </c>
      <c r="AJ6" s="99">
        <v>21</v>
      </c>
      <c r="AK6" s="99">
        <v>12146.4</v>
      </c>
      <c r="AL6" s="99">
        <v>21</v>
      </c>
      <c r="AM6" s="99">
        <v>12146.4</v>
      </c>
      <c r="AN6" s="99">
        <v>27</v>
      </c>
      <c r="AO6" s="99">
        <v>15616.8</v>
      </c>
      <c r="AP6" s="99">
        <v>35</v>
      </c>
      <c r="AQ6" s="99">
        <v>20244</v>
      </c>
      <c r="AR6" s="99">
        <v>28</v>
      </c>
      <c r="AS6" s="99">
        <v>16195.199999999999</v>
      </c>
      <c r="AT6" s="99">
        <v>10.93234201581177</v>
      </c>
      <c r="AU6" s="99">
        <v>6323.2666219455277</v>
      </c>
      <c r="AV6" s="99">
        <v>23</v>
      </c>
      <c r="AW6" s="99">
        <v>13303.199999999999</v>
      </c>
      <c r="AX6" s="99">
        <v>21</v>
      </c>
      <c r="AY6" s="99">
        <v>12146.4</v>
      </c>
      <c r="AZ6" s="99">
        <v>26</v>
      </c>
      <c r="BA6" s="99">
        <v>15038.4</v>
      </c>
      <c r="BB6" s="99">
        <v>28</v>
      </c>
      <c r="BC6" s="99">
        <v>16195.199999999999</v>
      </c>
      <c r="BD6" s="99">
        <v>19</v>
      </c>
      <c r="BE6" s="99">
        <v>10989.6</v>
      </c>
      <c r="BF6" s="99">
        <v>27</v>
      </c>
      <c r="BG6" s="99">
        <v>15616.8</v>
      </c>
      <c r="BH6" s="99">
        <v>31.615650580813021</v>
      </c>
      <c r="BI6" s="99">
        <v>18286.492295942251</v>
      </c>
      <c r="BJ6" s="99">
        <v>21.256514877358281</v>
      </c>
      <c r="BK6" s="99">
        <v>12294.768205064029</v>
      </c>
      <c r="BL6" s="99">
        <v>17.403563191692076</v>
      </c>
      <c r="BM6" s="99">
        <v>10066.220950074696</v>
      </c>
      <c r="BN6" s="99">
        <v>10.556536628810782</v>
      </c>
      <c r="BO6" s="99">
        <v>6105.9007861041564</v>
      </c>
      <c r="BP6" s="99">
        <v>19</v>
      </c>
      <c r="BQ6" s="99">
        <v>10989.6</v>
      </c>
      <c r="BR6" s="99">
        <v>23.924424072216649</v>
      </c>
      <c r="BS6" s="99">
        <v>13837.886883370109</v>
      </c>
      <c r="BT6" s="99">
        <v>31</v>
      </c>
      <c r="BU6" s="99">
        <v>17930.399999999998</v>
      </c>
      <c r="BV6" s="99">
        <v>24.178238857142855</v>
      </c>
      <c r="BW6" s="99">
        <v>13984.693354971427</v>
      </c>
      <c r="BX6" s="99">
        <v>17.285882751355583</v>
      </c>
      <c r="BY6" s="99">
        <v>9998.1545833840682</v>
      </c>
      <c r="BZ6" s="99">
        <v>0</v>
      </c>
      <c r="CA6" s="99">
        <v>0</v>
      </c>
      <c r="CB6" s="99">
        <v>21</v>
      </c>
      <c r="CC6" s="99">
        <v>12146.4</v>
      </c>
      <c r="CD6" s="99">
        <v>36</v>
      </c>
      <c r="CE6" s="99">
        <v>20822.399999999998</v>
      </c>
      <c r="CF6" s="99">
        <v>27</v>
      </c>
      <c r="CG6" s="99">
        <v>15616.8</v>
      </c>
      <c r="CH6" s="99">
        <v>12.018014060282789</v>
      </c>
      <c r="CI6" s="99">
        <v>6951.2193324675654</v>
      </c>
      <c r="CJ6" s="99">
        <v>0</v>
      </c>
      <c r="CK6" s="99">
        <v>0</v>
      </c>
      <c r="CL6" s="99">
        <v>0</v>
      </c>
      <c r="CM6" s="99">
        <v>0</v>
      </c>
      <c r="CN6" s="99">
        <v>23</v>
      </c>
      <c r="CO6" s="99">
        <v>13303.199999999999</v>
      </c>
      <c r="CP6" s="99">
        <v>22</v>
      </c>
      <c r="CQ6" s="99">
        <v>12724.8</v>
      </c>
      <c r="CR6" s="99">
        <v>19.214665767471828</v>
      </c>
      <c r="CS6" s="99">
        <v>11113.762679905705</v>
      </c>
      <c r="CT6" s="99">
        <v>10.585766667980792</v>
      </c>
      <c r="CU6" s="99">
        <v>6122.8074407600898</v>
      </c>
    </row>
    <row r="7" spans="1:99">
      <c r="C7" s="98" t="s">
        <v>172</v>
      </c>
      <c r="D7" s="99">
        <v>0</v>
      </c>
      <c r="E7" s="99">
        <v>0</v>
      </c>
      <c r="F7" s="99">
        <v>0</v>
      </c>
      <c r="G7" s="99">
        <v>0</v>
      </c>
      <c r="H7" s="99">
        <v>17.40127805997048</v>
      </c>
      <c r="I7" s="99">
        <v>13719.167622480725</v>
      </c>
      <c r="J7" s="99">
        <v>6.1282286132331025</v>
      </c>
      <c r="K7" s="99">
        <v>4831.4954386729778</v>
      </c>
      <c r="L7" s="99">
        <v>27</v>
      </c>
      <c r="M7" s="99">
        <v>21286.799999999999</v>
      </c>
      <c r="N7" s="99">
        <v>27</v>
      </c>
      <c r="O7" s="99">
        <v>21286.799999999999</v>
      </c>
      <c r="P7" s="99">
        <v>21</v>
      </c>
      <c r="Q7" s="99">
        <v>16556.399999999998</v>
      </c>
      <c r="R7" s="99">
        <v>17.981396821774347</v>
      </c>
      <c r="S7" s="99">
        <v>14176.533254286895</v>
      </c>
      <c r="T7" s="99">
        <v>20</v>
      </c>
      <c r="U7" s="99">
        <v>15768</v>
      </c>
      <c r="V7" s="99">
        <v>29</v>
      </c>
      <c r="W7" s="99">
        <v>22863.599999999999</v>
      </c>
      <c r="X7" s="99">
        <v>17</v>
      </c>
      <c r="Y7" s="99">
        <v>13402.8</v>
      </c>
      <c r="Z7" s="99">
        <v>18</v>
      </c>
      <c r="AA7" s="99">
        <v>14191.199999999999</v>
      </c>
      <c r="AB7" s="99">
        <v>22</v>
      </c>
      <c r="AC7" s="99">
        <v>17344.8</v>
      </c>
      <c r="AD7" s="99">
        <v>29</v>
      </c>
      <c r="AE7" s="99">
        <v>22863.599999999999</v>
      </c>
      <c r="AF7" s="99">
        <v>19.722148275786541</v>
      </c>
      <c r="AG7" s="99">
        <v>15548.941700630108</v>
      </c>
      <c r="AH7" s="99">
        <v>0</v>
      </c>
      <c r="AI7" s="99">
        <v>0</v>
      </c>
      <c r="AJ7" s="99">
        <v>21</v>
      </c>
      <c r="AK7" s="99">
        <v>16556.399999999998</v>
      </c>
      <c r="AL7" s="99">
        <v>21</v>
      </c>
      <c r="AM7" s="99">
        <v>16556.399999999998</v>
      </c>
      <c r="AN7" s="99">
        <v>25</v>
      </c>
      <c r="AO7" s="99">
        <v>19710</v>
      </c>
      <c r="AP7" s="99">
        <v>30</v>
      </c>
      <c r="AQ7" s="99">
        <v>23652</v>
      </c>
      <c r="AR7" s="99">
        <v>25</v>
      </c>
      <c r="AS7" s="99">
        <v>19710</v>
      </c>
      <c r="AT7" s="99">
        <v>11.429266652894123</v>
      </c>
      <c r="AU7" s="99">
        <v>9010.8338291417258</v>
      </c>
      <c r="AV7" s="99">
        <v>23</v>
      </c>
      <c r="AW7" s="99">
        <v>18133.2</v>
      </c>
      <c r="AX7" s="99">
        <v>20</v>
      </c>
      <c r="AY7" s="99">
        <v>15768</v>
      </c>
      <c r="AZ7" s="99">
        <v>25</v>
      </c>
      <c r="BA7" s="99">
        <v>19710</v>
      </c>
      <c r="BB7" s="99">
        <v>27</v>
      </c>
      <c r="BC7" s="99">
        <v>21286.799999999999</v>
      </c>
      <c r="BD7" s="99">
        <v>17</v>
      </c>
      <c r="BE7" s="99">
        <v>13402.8</v>
      </c>
      <c r="BF7" s="99">
        <v>26</v>
      </c>
      <c r="BG7" s="99">
        <v>20498.399999999998</v>
      </c>
      <c r="BH7" s="99">
        <v>29.755906429000486</v>
      </c>
      <c r="BI7" s="99">
        <v>23459.556628623981</v>
      </c>
      <c r="BJ7" s="99">
        <v>23.027891117138143</v>
      </c>
      <c r="BK7" s="99">
        <v>18155.189356751711</v>
      </c>
      <c r="BL7" s="99">
        <v>16.78200736341736</v>
      </c>
      <c r="BM7" s="99">
        <v>13230.934605318247</v>
      </c>
      <c r="BN7" s="99">
        <v>9.1944028702545531</v>
      </c>
      <c r="BO7" s="99">
        <v>7248.8672229086897</v>
      </c>
      <c r="BP7" s="99">
        <v>20</v>
      </c>
      <c r="BQ7" s="99">
        <v>15768</v>
      </c>
      <c r="BR7" s="99">
        <v>26.099371715145434</v>
      </c>
      <c r="BS7" s="99">
        <v>20576.744660220658</v>
      </c>
      <c r="BT7" s="99">
        <v>26</v>
      </c>
      <c r="BU7" s="99">
        <v>20498.399999999998</v>
      </c>
      <c r="BV7" s="99">
        <v>24.178238857142855</v>
      </c>
      <c r="BW7" s="99">
        <v>19062.123514971427</v>
      </c>
      <c r="BX7" s="99">
        <v>15.466316145949733</v>
      </c>
      <c r="BY7" s="99">
        <v>12193.643649466769</v>
      </c>
      <c r="BZ7" s="99">
        <v>0</v>
      </c>
      <c r="CA7" s="99">
        <v>0</v>
      </c>
      <c r="CB7" s="99">
        <v>19</v>
      </c>
      <c r="CC7" s="99">
        <v>14979.6</v>
      </c>
      <c r="CD7" s="99">
        <v>32</v>
      </c>
      <c r="CE7" s="99">
        <v>25228.799999999999</v>
      </c>
      <c r="CF7" s="99">
        <v>27</v>
      </c>
      <c r="CG7" s="99">
        <v>21286.799999999999</v>
      </c>
      <c r="CH7" s="99">
        <v>11.093551440261036</v>
      </c>
      <c r="CI7" s="99">
        <v>8746.1559555018011</v>
      </c>
      <c r="CJ7" s="99">
        <v>0</v>
      </c>
      <c r="CK7" s="99">
        <v>0</v>
      </c>
      <c r="CL7" s="99">
        <v>0</v>
      </c>
      <c r="CM7" s="99">
        <v>0</v>
      </c>
      <c r="CN7" s="99">
        <v>22</v>
      </c>
      <c r="CO7" s="99">
        <v>17344.8</v>
      </c>
      <c r="CP7" s="99">
        <v>23</v>
      </c>
      <c r="CQ7" s="99">
        <v>18133.2</v>
      </c>
      <c r="CR7" s="99">
        <v>17.933688049640374</v>
      </c>
      <c r="CS7" s="99">
        <v>14138.91965833647</v>
      </c>
      <c r="CT7" s="99">
        <v>9.262545834483193</v>
      </c>
      <c r="CU7" s="99">
        <v>7302.5911359065494</v>
      </c>
    </row>
    <row r="8" spans="1:99">
      <c r="C8" s="98" t="s">
        <v>173</v>
      </c>
      <c r="D8" s="99">
        <v>0</v>
      </c>
      <c r="E8" s="99">
        <v>0</v>
      </c>
      <c r="F8" s="99">
        <v>0</v>
      </c>
      <c r="G8" s="99">
        <v>0</v>
      </c>
      <c r="H8" s="99">
        <v>20.185482549565755</v>
      </c>
      <c r="I8" s="99">
        <v>6249.425397345557</v>
      </c>
      <c r="J8" s="99">
        <v>6.5367771874486422</v>
      </c>
      <c r="K8" s="99">
        <v>2023.7862172340995</v>
      </c>
      <c r="L8" s="99">
        <v>30</v>
      </c>
      <c r="M8" s="99">
        <v>9287.9999999999982</v>
      </c>
      <c r="N8" s="99">
        <v>27</v>
      </c>
      <c r="O8" s="99">
        <v>8359.1999999999989</v>
      </c>
      <c r="P8" s="99">
        <v>22</v>
      </c>
      <c r="Q8" s="99">
        <v>6811.1999999999989</v>
      </c>
      <c r="R8" s="99">
        <v>17.419478171093896</v>
      </c>
      <c r="S8" s="99">
        <v>5393.0704417706693</v>
      </c>
      <c r="T8" s="99">
        <v>22</v>
      </c>
      <c r="U8" s="99">
        <v>6811.1999999999989</v>
      </c>
      <c r="V8" s="99">
        <v>26</v>
      </c>
      <c r="W8" s="99">
        <v>8049.5999999999995</v>
      </c>
      <c r="X8" s="99">
        <v>18</v>
      </c>
      <c r="Y8" s="99">
        <v>5572.7999999999993</v>
      </c>
      <c r="Z8" s="99">
        <v>21</v>
      </c>
      <c r="AA8" s="99">
        <v>6501.5999999999995</v>
      </c>
      <c r="AB8" s="99">
        <v>20</v>
      </c>
      <c r="AC8" s="99">
        <v>6191.9999999999991</v>
      </c>
      <c r="AD8" s="99">
        <v>31</v>
      </c>
      <c r="AE8" s="99">
        <v>9597.5999999999985</v>
      </c>
      <c r="AF8" s="99">
        <v>21.600448111575737</v>
      </c>
      <c r="AG8" s="99">
        <v>6687.4987353438473</v>
      </c>
      <c r="AH8" s="99">
        <v>0</v>
      </c>
      <c r="AI8" s="99">
        <v>0</v>
      </c>
      <c r="AJ8" s="99">
        <v>22</v>
      </c>
      <c r="AK8" s="99">
        <v>6811.1999999999989</v>
      </c>
      <c r="AL8" s="99">
        <v>21</v>
      </c>
      <c r="AM8" s="99">
        <v>6501.5999999999995</v>
      </c>
      <c r="AN8" s="99">
        <v>27</v>
      </c>
      <c r="AO8" s="99">
        <v>8359.1999999999989</v>
      </c>
      <c r="AP8" s="99">
        <v>33</v>
      </c>
      <c r="AQ8" s="99">
        <v>10216.799999999999</v>
      </c>
      <c r="AR8" s="99">
        <v>29</v>
      </c>
      <c r="AS8" s="99">
        <v>8978.4</v>
      </c>
      <c r="AT8" s="99">
        <v>12.920040564141184</v>
      </c>
      <c r="AU8" s="99">
        <v>4000.04455865811</v>
      </c>
      <c r="AV8" s="99">
        <v>26</v>
      </c>
      <c r="AW8" s="99">
        <v>8049.5999999999995</v>
      </c>
      <c r="AX8" s="99">
        <v>23</v>
      </c>
      <c r="AY8" s="99">
        <v>7120.7999999999993</v>
      </c>
      <c r="AZ8" s="99">
        <v>27</v>
      </c>
      <c r="BA8" s="99">
        <v>8359.1999999999989</v>
      </c>
      <c r="BB8" s="99">
        <v>29</v>
      </c>
      <c r="BC8" s="99">
        <v>8978.4</v>
      </c>
      <c r="BD8" s="99">
        <v>20</v>
      </c>
      <c r="BE8" s="99">
        <v>6191.9999999999991</v>
      </c>
      <c r="BF8" s="99">
        <v>25</v>
      </c>
      <c r="BG8" s="99">
        <v>7739.9999999999991</v>
      </c>
      <c r="BH8" s="99">
        <v>28.826034353094222</v>
      </c>
      <c r="BI8" s="99">
        <v>8924.5402357179701</v>
      </c>
      <c r="BJ8" s="99">
        <v>23.91357923702807</v>
      </c>
      <c r="BK8" s="99">
        <v>7403.6441317838899</v>
      </c>
      <c r="BL8" s="99">
        <v>16.160451535142641</v>
      </c>
      <c r="BM8" s="99">
        <v>5003.2757952801612</v>
      </c>
      <c r="BN8" s="99">
        <v>10.556536628810782</v>
      </c>
      <c r="BO8" s="99">
        <v>3268.3037402798177</v>
      </c>
      <c r="BP8" s="99">
        <v>18</v>
      </c>
      <c r="BQ8" s="99">
        <v>5572.7999999999993</v>
      </c>
      <c r="BR8" s="99">
        <v>28.999301905717147</v>
      </c>
      <c r="BS8" s="99">
        <v>8978.183870010027</v>
      </c>
      <c r="BT8" s="99">
        <v>27</v>
      </c>
      <c r="BU8" s="99">
        <v>8359.1999999999989</v>
      </c>
      <c r="BV8" s="99">
        <v>25.643586666666661</v>
      </c>
      <c r="BW8" s="99">
        <v>7939.254431999997</v>
      </c>
      <c r="BX8" s="99">
        <v>16.830991100004123</v>
      </c>
      <c r="BY8" s="99">
        <v>5210.8748445612764</v>
      </c>
      <c r="BZ8" s="99">
        <v>0</v>
      </c>
      <c r="CA8" s="99">
        <v>0</v>
      </c>
      <c r="CB8" s="99">
        <v>21</v>
      </c>
      <c r="CC8" s="99">
        <v>6501.5999999999995</v>
      </c>
      <c r="CD8" s="99">
        <v>32</v>
      </c>
      <c r="CE8" s="99">
        <v>9907.1999999999989</v>
      </c>
      <c r="CF8" s="99">
        <v>29</v>
      </c>
      <c r="CG8" s="99">
        <v>8978.4</v>
      </c>
      <c r="CH8" s="99">
        <v>12.480245370293666</v>
      </c>
      <c r="CI8" s="99">
        <v>3863.8839666429185</v>
      </c>
      <c r="CJ8" s="99">
        <v>0</v>
      </c>
      <c r="CK8" s="99">
        <v>0</v>
      </c>
      <c r="CL8" s="99">
        <v>0</v>
      </c>
      <c r="CM8" s="99">
        <v>0</v>
      </c>
      <c r="CN8" s="99">
        <v>26</v>
      </c>
      <c r="CO8" s="99">
        <v>8049.5999999999995</v>
      </c>
      <c r="CP8" s="99">
        <v>24</v>
      </c>
      <c r="CQ8" s="99">
        <v>7430.4</v>
      </c>
      <c r="CR8" s="99">
        <v>16.652710331808919</v>
      </c>
      <c r="CS8" s="99">
        <v>5155.6791187280405</v>
      </c>
      <c r="CT8" s="99">
        <v>10.585766667980792</v>
      </c>
      <c r="CU8" s="99">
        <v>3277.353360406853</v>
      </c>
    </row>
    <row r="9" spans="1:99">
      <c r="C9" s="98" t="s">
        <v>174</v>
      </c>
      <c r="D9" s="99">
        <v>0</v>
      </c>
      <c r="E9" s="99">
        <v>0</v>
      </c>
      <c r="F9" s="99">
        <v>0</v>
      </c>
      <c r="G9" s="99">
        <v>0</v>
      </c>
      <c r="H9" s="99">
        <v>17.40127805997048</v>
      </c>
      <c r="I9" s="99">
        <v>12215.697198099277</v>
      </c>
      <c r="J9" s="99">
        <v>6.5367771874486422</v>
      </c>
      <c r="K9" s="99">
        <v>4588.8175855889467</v>
      </c>
      <c r="L9" s="99">
        <v>25</v>
      </c>
      <c r="M9" s="99">
        <v>17550</v>
      </c>
      <c r="N9" s="99">
        <v>25</v>
      </c>
      <c r="O9" s="99">
        <v>17550</v>
      </c>
      <c r="P9" s="99">
        <v>20</v>
      </c>
      <c r="Q9" s="99">
        <v>14040</v>
      </c>
      <c r="R9" s="99">
        <v>15.171803568372104</v>
      </c>
      <c r="S9" s="99">
        <v>10650.606104997218</v>
      </c>
      <c r="T9" s="99">
        <v>19</v>
      </c>
      <c r="U9" s="99">
        <v>13338</v>
      </c>
      <c r="V9" s="99">
        <v>27</v>
      </c>
      <c r="W9" s="99">
        <v>18954</v>
      </c>
      <c r="X9" s="99">
        <v>20</v>
      </c>
      <c r="Y9" s="99">
        <v>14040</v>
      </c>
      <c r="Z9" s="99">
        <v>19</v>
      </c>
      <c r="AA9" s="99">
        <v>13338</v>
      </c>
      <c r="AB9" s="99">
        <v>22</v>
      </c>
      <c r="AC9" s="99">
        <v>15444</v>
      </c>
      <c r="AD9" s="99">
        <v>31</v>
      </c>
      <c r="AE9" s="99">
        <v>21762</v>
      </c>
      <c r="AF9" s="99">
        <v>20.661298193681137</v>
      </c>
      <c r="AG9" s="99">
        <v>14504.231331964158</v>
      </c>
      <c r="AH9" s="99">
        <v>0</v>
      </c>
      <c r="AI9" s="99">
        <v>0</v>
      </c>
      <c r="AJ9" s="99">
        <v>23</v>
      </c>
      <c r="AK9" s="99">
        <v>16146</v>
      </c>
      <c r="AL9" s="99">
        <v>22</v>
      </c>
      <c r="AM9" s="99">
        <v>15444</v>
      </c>
      <c r="AN9" s="99">
        <v>25</v>
      </c>
      <c r="AO9" s="99">
        <v>17550</v>
      </c>
      <c r="AP9" s="99">
        <v>29</v>
      </c>
      <c r="AQ9" s="99">
        <v>20358</v>
      </c>
      <c r="AR9" s="99">
        <v>28</v>
      </c>
      <c r="AS9" s="99">
        <v>19656</v>
      </c>
      <c r="AT9" s="99">
        <v>11.926191289976476</v>
      </c>
      <c r="AU9" s="99">
        <v>8372.1862855634863</v>
      </c>
      <c r="AV9" s="99">
        <v>25</v>
      </c>
      <c r="AW9" s="99">
        <v>17550</v>
      </c>
      <c r="AX9" s="99">
        <v>20</v>
      </c>
      <c r="AY9" s="99">
        <v>14040</v>
      </c>
      <c r="AZ9" s="99">
        <v>24</v>
      </c>
      <c r="BA9" s="99">
        <v>16848</v>
      </c>
      <c r="BB9" s="99">
        <v>26</v>
      </c>
      <c r="BC9" s="99">
        <v>18252</v>
      </c>
      <c r="BD9" s="99">
        <v>16</v>
      </c>
      <c r="BE9" s="99">
        <v>11232</v>
      </c>
      <c r="BF9" s="99">
        <v>28</v>
      </c>
      <c r="BG9" s="99">
        <v>19656</v>
      </c>
      <c r="BH9" s="99">
        <v>30.68577850490675</v>
      </c>
      <c r="BI9" s="99">
        <v>21541.416510444538</v>
      </c>
      <c r="BJ9" s="99">
        <v>23.027891117138143</v>
      </c>
      <c r="BK9" s="99">
        <v>16165.579564230977</v>
      </c>
      <c r="BL9" s="99">
        <v>17.403563191692076</v>
      </c>
      <c r="BM9" s="99">
        <v>12217.301360567837</v>
      </c>
      <c r="BN9" s="99">
        <v>10.216003189171726</v>
      </c>
      <c r="BO9" s="99">
        <v>7171.6342387985515</v>
      </c>
      <c r="BP9" s="99">
        <v>21</v>
      </c>
      <c r="BQ9" s="99">
        <v>14742</v>
      </c>
      <c r="BR9" s="99">
        <v>28.274319358074219</v>
      </c>
      <c r="BS9" s="99">
        <v>19848.5721893681</v>
      </c>
      <c r="BT9" s="99">
        <v>29</v>
      </c>
      <c r="BU9" s="99">
        <v>20358</v>
      </c>
      <c r="BV9" s="99">
        <v>24.910912761904754</v>
      </c>
      <c r="BW9" s="99">
        <v>17487.460758857138</v>
      </c>
      <c r="BX9" s="99">
        <v>15.466316145949733</v>
      </c>
      <c r="BY9" s="99">
        <v>10857.353934456713</v>
      </c>
      <c r="BZ9" s="99">
        <v>0</v>
      </c>
      <c r="CA9" s="99">
        <v>0</v>
      </c>
      <c r="CB9" s="99">
        <v>20</v>
      </c>
      <c r="CC9" s="99">
        <v>14040</v>
      </c>
      <c r="CD9" s="99">
        <v>36</v>
      </c>
      <c r="CE9" s="99">
        <v>25272</v>
      </c>
      <c r="CF9" s="99">
        <v>26</v>
      </c>
      <c r="CG9" s="99">
        <v>18252</v>
      </c>
      <c r="CH9" s="99">
        <v>11.093551440261036</v>
      </c>
      <c r="CI9" s="99">
        <v>7787.6731110632472</v>
      </c>
      <c r="CJ9" s="99">
        <v>0</v>
      </c>
      <c r="CK9" s="99">
        <v>0</v>
      </c>
      <c r="CL9" s="99">
        <v>0</v>
      </c>
      <c r="CM9" s="99">
        <v>0</v>
      </c>
      <c r="CN9" s="99">
        <v>25</v>
      </c>
      <c r="CO9" s="99">
        <v>17550</v>
      </c>
      <c r="CP9" s="99">
        <v>23</v>
      </c>
      <c r="CQ9" s="99">
        <v>16146</v>
      </c>
      <c r="CR9" s="99">
        <v>16.652710331808919</v>
      </c>
      <c r="CS9" s="99">
        <v>11690.202652929862</v>
      </c>
      <c r="CT9" s="99">
        <v>10.585766667980792</v>
      </c>
      <c r="CU9" s="99">
        <v>7431.208200922516</v>
      </c>
    </row>
    <row r="10" spans="1:99">
      <c r="C10" s="98" t="s">
        <v>175</v>
      </c>
      <c r="D10" s="99">
        <v>0</v>
      </c>
      <c r="E10" s="99">
        <v>0</v>
      </c>
      <c r="F10" s="99">
        <v>0</v>
      </c>
      <c r="G10" s="99">
        <v>0</v>
      </c>
      <c r="H10" s="99">
        <v>18.793380304768114</v>
      </c>
      <c r="I10" s="99">
        <v>10238.633590037667</v>
      </c>
      <c r="J10" s="99">
        <v>6.5367771874486422</v>
      </c>
      <c r="K10" s="99">
        <v>3561.23621172202</v>
      </c>
      <c r="L10" s="99">
        <v>29</v>
      </c>
      <c r="M10" s="99">
        <v>15799.199999999999</v>
      </c>
      <c r="N10" s="99">
        <v>24</v>
      </c>
      <c r="O10" s="99">
        <v>13075.199999999999</v>
      </c>
      <c r="P10" s="99">
        <v>21</v>
      </c>
      <c r="Q10" s="99">
        <v>11440.8</v>
      </c>
      <c r="R10" s="99">
        <v>16.295640869732999</v>
      </c>
      <c r="S10" s="99">
        <v>8877.8651458305376</v>
      </c>
      <c r="T10" s="99">
        <v>19</v>
      </c>
      <c r="U10" s="99">
        <v>10351.199999999999</v>
      </c>
      <c r="V10" s="99">
        <v>27</v>
      </c>
      <c r="W10" s="99">
        <v>14709.599999999999</v>
      </c>
      <c r="X10" s="99">
        <v>18</v>
      </c>
      <c r="Y10" s="99">
        <v>9806.4</v>
      </c>
      <c r="Z10" s="99">
        <v>20</v>
      </c>
      <c r="AA10" s="99">
        <v>10896</v>
      </c>
      <c r="AB10" s="99">
        <v>22</v>
      </c>
      <c r="AC10" s="99">
        <v>11985.599999999999</v>
      </c>
      <c r="AD10" s="99">
        <v>28</v>
      </c>
      <c r="AE10" s="99">
        <v>15254.399999999998</v>
      </c>
      <c r="AF10" s="99">
        <v>20.661298193681137</v>
      </c>
      <c r="AG10" s="99">
        <v>11256.275255917482</v>
      </c>
      <c r="AH10" s="99">
        <v>0</v>
      </c>
      <c r="AI10" s="99">
        <v>0</v>
      </c>
      <c r="AJ10" s="99">
        <v>21</v>
      </c>
      <c r="AK10" s="99">
        <v>11440.8</v>
      </c>
      <c r="AL10" s="99">
        <v>22</v>
      </c>
      <c r="AM10" s="99">
        <v>11985.599999999999</v>
      </c>
      <c r="AN10" s="99">
        <v>24</v>
      </c>
      <c r="AO10" s="99">
        <v>13075.199999999999</v>
      </c>
      <c r="AP10" s="99">
        <v>33</v>
      </c>
      <c r="AQ10" s="99">
        <v>17978.399999999998</v>
      </c>
      <c r="AR10" s="99">
        <v>30</v>
      </c>
      <c r="AS10" s="99">
        <v>16343.999999999998</v>
      </c>
      <c r="AT10" s="99">
        <v>10.93234201581177</v>
      </c>
      <c r="AU10" s="99">
        <v>5955.9399302142519</v>
      </c>
      <c r="AV10" s="99">
        <v>24</v>
      </c>
      <c r="AW10" s="99">
        <v>13075.199999999999</v>
      </c>
      <c r="AX10" s="99">
        <v>19</v>
      </c>
      <c r="AY10" s="99">
        <v>10351.199999999999</v>
      </c>
      <c r="AZ10" s="99">
        <v>24</v>
      </c>
      <c r="BA10" s="99">
        <v>13075.199999999999</v>
      </c>
      <c r="BB10" s="99">
        <v>24</v>
      </c>
      <c r="BC10" s="99">
        <v>13075.199999999999</v>
      </c>
      <c r="BD10" s="99">
        <v>17</v>
      </c>
      <c r="BE10" s="99">
        <v>9261.5999999999985</v>
      </c>
      <c r="BF10" s="99">
        <v>28</v>
      </c>
      <c r="BG10" s="99">
        <v>15254.399999999998</v>
      </c>
      <c r="BH10" s="99">
        <v>31.615650580813021</v>
      </c>
      <c r="BI10" s="99">
        <v>17224.206436426932</v>
      </c>
      <c r="BJ10" s="99">
        <v>23.91357923702807</v>
      </c>
      <c r="BK10" s="99">
        <v>13028.117968332892</v>
      </c>
      <c r="BL10" s="99">
        <v>17.403563191692076</v>
      </c>
      <c r="BM10" s="99">
        <v>9481.4612268338424</v>
      </c>
      <c r="BN10" s="99">
        <v>9.8754697495326678</v>
      </c>
      <c r="BO10" s="99">
        <v>5380.1559195453965</v>
      </c>
      <c r="BP10" s="99">
        <v>20</v>
      </c>
      <c r="BQ10" s="99">
        <v>10896</v>
      </c>
      <c r="BR10" s="99">
        <v>25.374389167502503</v>
      </c>
      <c r="BS10" s="99">
        <v>13823.967218455362</v>
      </c>
      <c r="BT10" s="99">
        <v>32</v>
      </c>
      <c r="BU10" s="99">
        <v>17433.599999999999</v>
      </c>
      <c r="BV10" s="99">
        <v>26.376260571428567</v>
      </c>
      <c r="BW10" s="99">
        <v>14369.786759314282</v>
      </c>
      <c r="BX10" s="99">
        <v>14.101641191895345</v>
      </c>
      <c r="BY10" s="99">
        <v>7682.5741213445835</v>
      </c>
      <c r="BZ10" s="99">
        <v>0</v>
      </c>
      <c r="CA10" s="99">
        <v>0</v>
      </c>
      <c r="CB10" s="99">
        <v>21</v>
      </c>
      <c r="CC10" s="99">
        <v>11440.8</v>
      </c>
      <c r="CD10" s="99">
        <v>36</v>
      </c>
      <c r="CE10" s="99">
        <v>19612.8</v>
      </c>
      <c r="CF10" s="99">
        <v>28</v>
      </c>
      <c r="CG10" s="99">
        <v>15254.399999999998</v>
      </c>
      <c r="CH10" s="99">
        <v>11.093551440261036</v>
      </c>
      <c r="CI10" s="99">
        <v>6043.7668246542116</v>
      </c>
      <c r="CJ10" s="99">
        <v>0</v>
      </c>
      <c r="CK10" s="99">
        <v>0</v>
      </c>
      <c r="CL10" s="99">
        <v>0</v>
      </c>
      <c r="CM10" s="99">
        <v>0</v>
      </c>
      <c r="CN10" s="99">
        <v>24</v>
      </c>
      <c r="CO10" s="99">
        <v>13075.199999999999</v>
      </c>
      <c r="CP10" s="99">
        <v>21</v>
      </c>
      <c r="CQ10" s="99">
        <v>11440.8</v>
      </c>
      <c r="CR10" s="99">
        <v>19.214665767471828</v>
      </c>
      <c r="CS10" s="99">
        <v>10468.149910118651</v>
      </c>
      <c r="CT10" s="99">
        <v>10.916571876355194</v>
      </c>
      <c r="CU10" s="99">
        <v>5947.3483582383096</v>
      </c>
    </row>
    <row r="11" spans="1:99">
      <c r="C11" s="98" t="s">
        <v>176</v>
      </c>
      <c r="D11" s="99">
        <v>0</v>
      </c>
      <c r="E11" s="99">
        <v>0</v>
      </c>
      <c r="F11" s="99">
        <v>0</v>
      </c>
      <c r="G11" s="99">
        <v>0</v>
      </c>
      <c r="H11" s="99">
        <v>20.881533671964576</v>
      </c>
      <c r="I11" s="99">
        <v>11125.681140422725</v>
      </c>
      <c r="J11" s="99">
        <v>6.5367771874486422</v>
      </c>
      <c r="K11" s="99">
        <v>3482.7948854726365</v>
      </c>
      <c r="L11" s="99">
        <v>29</v>
      </c>
      <c r="M11" s="99">
        <v>15451.199999999999</v>
      </c>
      <c r="N11" s="99">
        <v>27</v>
      </c>
      <c r="O11" s="99">
        <v>14385.599999999999</v>
      </c>
      <c r="P11" s="99">
        <v>21</v>
      </c>
      <c r="Q11" s="99">
        <v>11188.8</v>
      </c>
      <c r="R11" s="99">
        <v>16.857559520413449</v>
      </c>
      <c r="S11" s="99">
        <v>8981.7077124762855</v>
      </c>
      <c r="T11" s="99">
        <v>21</v>
      </c>
      <c r="U11" s="99">
        <v>11188.8</v>
      </c>
      <c r="V11" s="99">
        <v>25</v>
      </c>
      <c r="W11" s="99">
        <v>13319.999999999998</v>
      </c>
      <c r="X11" s="99">
        <v>21</v>
      </c>
      <c r="Y11" s="99">
        <v>11188.8</v>
      </c>
      <c r="Z11" s="99">
        <v>18</v>
      </c>
      <c r="AA11" s="99">
        <v>9590.4</v>
      </c>
      <c r="AB11" s="99">
        <v>22</v>
      </c>
      <c r="AC11" s="99">
        <v>11721.599999999999</v>
      </c>
      <c r="AD11" s="99">
        <v>30</v>
      </c>
      <c r="AE11" s="99">
        <v>15983.999999999998</v>
      </c>
      <c r="AF11" s="99">
        <v>21.600448111575737</v>
      </c>
      <c r="AG11" s="99">
        <v>11508.718753847552</v>
      </c>
      <c r="AH11" s="99">
        <v>0</v>
      </c>
      <c r="AI11" s="99">
        <v>0</v>
      </c>
      <c r="AJ11" s="99">
        <v>25</v>
      </c>
      <c r="AK11" s="99">
        <v>13319.999999999998</v>
      </c>
      <c r="AL11" s="99">
        <v>20</v>
      </c>
      <c r="AM11" s="99">
        <v>10656</v>
      </c>
      <c r="AN11" s="99">
        <v>25</v>
      </c>
      <c r="AO11" s="99">
        <v>13319.999999999998</v>
      </c>
      <c r="AP11" s="99">
        <v>33</v>
      </c>
      <c r="AQ11" s="99">
        <v>17582.399999999998</v>
      </c>
      <c r="AR11" s="99">
        <v>29</v>
      </c>
      <c r="AS11" s="99">
        <v>15451.199999999999</v>
      </c>
      <c r="AT11" s="99">
        <v>10.435417378729415</v>
      </c>
      <c r="AU11" s="99">
        <v>5559.9903793870317</v>
      </c>
      <c r="AV11" s="99">
        <v>23</v>
      </c>
      <c r="AW11" s="99">
        <v>12254.4</v>
      </c>
      <c r="AX11" s="99">
        <v>19</v>
      </c>
      <c r="AY11" s="99">
        <v>10123.199999999999</v>
      </c>
      <c r="AZ11" s="99">
        <v>23</v>
      </c>
      <c r="BA11" s="99">
        <v>12254.4</v>
      </c>
      <c r="BB11" s="99">
        <v>25</v>
      </c>
      <c r="BC11" s="99">
        <v>13319.999999999998</v>
      </c>
      <c r="BD11" s="99">
        <v>19</v>
      </c>
      <c r="BE11" s="99">
        <v>10123.199999999999</v>
      </c>
      <c r="BF11" s="99">
        <v>28</v>
      </c>
      <c r="BG11" s="99">
        <v>14918.399999999998</v>
      </c>
      <c r="BH11" s="99">
        <v>26.966290201281691</v>
      </c>
      <c r="BI11" s="99">
        <v>14367.639419242883</v>
      </c>
      <c r="BJ11" s="99">
        <v>21.256514877358281</v>
      </c>
      <c r="BK11" s="99">
        <v>11325.471126656492</v>
      </c>
      <c r="BL11" s="99">
        <v>16.78200736341736</v>
      </c>
      <c r="BM11" s="99">
        <v>8941.453523228769</v>
      </c>
      <c r="BN11" s="99">
        <v>8.8538694306154948</v>
      </c>
      <c r="BO11" s="99">
        <v>4717.3416326319357</v>
      </c>
      <c r="BP11" s="99">
        <v>18</v>
      </c>
      <c r="BQ11" s="99">
        <v>9590.4</v>
      </c>
      <c r="BR11" s="99">
        <v>28.274319358074219</v>
      </c>
      <c r="BS11" s="99">
        <v>15064.557353981943</v>
      </c>
      <c r="BT11" s="99">
        <v>28</v>
      </c>
      <c r="BU11" s="99">
        <v>14918.399999999998</v>
      </c>
      <c r="BV11" s="99">
        <v>25.643586666666661</v>
      </c>
      <c r="BW11" s="99">
        <v>13662.902975999996</v>
      </c>
      <c r="BX11" s="99">
        <v>15.921207797301198</v>
      </c>
      <c r="BY11" s="99">
        <v>8482.8195144020774</v>
      </c>
      <c r="BZ11" s="99">
        <v>0</v>
      </c>
      <c r="CA11" s="99">
        <v>0</v>
      </c>
      <c r="CB11" s="99">
        <v>21</v>
      </c>
      <c r="CC11" s="99">
        <v>11188.8</v>
      </c>
      <c r="CD11" s="99">
        <v>31</v>
      </c>
      <c r="CE11" s="99">
        <v>16516.8</v>
      </c>
      <c r="CF11" s="99">
        <v>30</v>
      </c>
      <c r="CG11" s="99">
        <v>15983.999999999998</v>
      </c>
      <c r="CH11" s="99">
        <v>12.480245370293666</v>
      </c>
      <c r="CI11" s="99">
        <v>6649.4747332924644</v>
      </c>
      <c r="CJ11" s="99">
        <v>0</v>
      </c>
      <c r="CK11" s="99">
        <v>0</v>
      </c>
      <c r="CL11" s="99">
        <v>0</v>
      </c>
      <c r="CM11" s="99">
        <v>0</v>
      </c>
      <c r="CN11" s="99">
        <v>24</v>
      </c>
      <c r="CO11" s="99">
        <v>12787.199999999999</v>
      </c>
      <c r="CP11" s="99">
        <v>20</v>
      </c>
      <c r="CQ11" s="99">
        <v>10656</v>
      </c>
      <c r="CR11" s="99">
        <v>17.293199190724646</v>
      </c>
      <c r="CS11" s="99">
        <v>9213.8165288180899</v>
      </c>
      <c r="CT11" s="99">
        <v>9.262545834483193</v>
      </c>
      <c r="CU11" s="99">
        <v>4935.0844206126449</v>
      </c>
    </row>
    <row r="12" spans="1:99">
      <c r="C12" s="98" t="s">
        <v>177</v>
      </c>
      <c r="D12" s="99">
        <v>0</v>
      </c>
      <c r="E12" s="99">
        <v>0</v>
      </c>
      <c r="F12" s="99">
        <v>0</v>
      </c>
      <c r="G12" s="99">
        <v>0</v>
      </c>
      <c r="H12" s="99">
        <v>18.097329182369297</v>
      </c>
      <c r="I12" s="99">
        <v>10185.17686383744</v>
      </c>
      <c r="J12" s="99">
        <v>7.3538743358797216</v>
      </c>
      <c r="K12" s="99">
        <v>4138.7604762331066</v>
      </c>
      <c r="L12" s="99">
        <v>30</v>
      </c>
      <c r="M12" s="99">
        <v>16884</v>
      </c>
      <c r="N12" s="99">
        <v>27</v>
      </c>
      <c r="O12" s="99">
        <v>15195.599999999999</v>
      </c>
      <c r="P12" s="99">
        <v>23</v>
      </c>
      <c r="Q12" s="99">
        <v>12944.4</v>
      </c>
      <c r="R12" s="99">
        <v>16.295640869732999</v>
      </c>
      <c r="S12" s="99">
        <v>9171.1866814857312</v>
      </c>
      <c r="T12" s="99">
        <v>20</v>
      </c>
      <c r="U12" s="99">
        <v>11256</v>
      </c>
      <c r="V12" s="99">
        <v>25</v>
      </c>
      <c r="W12" s="99">
        <v>14069.999999999998</v>
      </c>
      <c r="X12" s="99">
        <v>21</v>
      </c>
      <c r="Y12" s="99">
        <v>11818.8</v>
      </c>
      <c r="Z12" s="99">
        <v>21</v>
      </c>
      <c r="AA12" s="99">
        <v>11818.8</v>
      </c>
      <c r="AB12" s="99">
        <v>22</v>
      </c>
      <c r="AC12" s="99">
        <v>12381.599999999999</v>
      </c>
      <c r="AD12" s="99">
        <v>29</v>
      </c>
      <c r="AE12" s="99">
        <v>16321.199999999999</v>
      </c>
      <c r="AF12" s="99">
        <v>21.600448111575737</v>
      </c>
      <c r="AG12" s="99">
        <v>12156.732197194824</v>
      </c>
      <c r="AH12" s="99">
        <v>0</v>
      </c>
      <c r="AI12" s="99">
        <v>0</v>
      </c>
      <c r="AJ12" s="99">
        <v>25</v>
      </c>
      <c r="AK12" s="99">
        <v>14069.999999999998</v>
      </c>
      <c r="AL12" s="99">
        <v>22</v>
      </c>
      <c r="AM12" s="99">
        <v>12381.599999999999</v>
      </c>
      <c r="AN12" s="99">
        <v>24</v>
      </c>
      <c r="AO12" s="99">
        <v>13507.199999999999</v>
      </c>
      <c r="AP12" s="99">
        <v>32</v>
      </c>
      <c r="AQ12" s="99">
        <v>18009.599999999999</v>
      </c>
      <c r="AR12" s="99">
        <v>25</v>
      </c>
      <c r="AS12" s="99">
        <v>14069.999999999998</v>
      </c>
      <c r="AT12" s="99">
        <v>12.423115927058829</v>
      </c>
      <c r="AU12" s="99">
        <v>6991.7296437487084</v>
      </c>
      <c r="AV12" s="99">
        <v>24</v>
      </c>
      <c r="AW12" s="99">
        <v>13507.199999999999</v>
      </c>
      <c r="AX12" s="99">
        <v>21</v>
      </c>
      <c r="AY12" s="99">
        <v>11818.8</v>
      </c>
      <c r="AZ12" s="99">
        <v>23</v>
      </c>
      <c r="BA12" s="99">
        <v>12944.4</v>
      </c>
      <c r="BB12" s="99">
        <v>29</v>
      </c>
      <c r="BC12" s="99">
        <v>16321.199999999999</v>
      </c>
      <c r="BD12" s="99">
        <v>16</v>
      </c>
      <c r="BE12" s="99">
        <v>9004.7999999999993</v>
      </c>
      <c r="BF12" s="99">
        <v>26</v>
      </c>
      <c r="BG12" s="99">
        <v>14632.8</v>
      </c>
      <c r="BH12" s="99">
        <v>28.826034353094222</v>
      </c>
      <c r="BI12" s="99">
        <v>16223.292133921426</v>
      </c>
      <c r="BJ12" s="99">
        <v>20.370826757468354</v>
      </c>
      <c r="BK12" s="99">
        <v>11464.701299103188</v>
      </c>
      <c r="BL12" s="99">
        <v>18.64667484824151</v>
      </c>
      <c r="BM12" s="99">
        <v>10494.348604590321</v>
      </c>
      <c r="BN12" s="99">
        <v>9.8754697495326678</v>
      </c>
      <c r="BO12" s="99">
        <v>5557.9143750369849</v>
      </c>
      <c r="BP12" s="99">
        <v>17</v>
      </c>
      <c r="BQ12" s="99">
        <v>9567.5999999999985</v>
      </c>
      <c r="BR12" s="99">
        <v>27.549336810431289</v>
      </c>
      <c r="BS12" s="99">
        <v>15504.766756910727</v>
      </c>
      <c r="BT12" s="99">
        <v>32</v>
      </c>
      <c r="BU12" s="99">
        <v>18009.599999999999</v>
      </c>
      <c r="BV12" s="99">
        <v>27.841608380952376</v>
      </c>
      <c r="BW12" s="99">
        <v>15669.257196799996</v>
      </c>
      <c r="BX12" s="99">
        <v>16.37609944865266</v>
      </c>
      <c r="BY12" s="99">
        <v>9216.4687697017162</v>
      </c>
      <c r="BZ12" s="99">
        <v>0</v>
      </c>
      <c r="CA12" s="99">
        <v>0</v>
      </c>
      <c r="CB12" s="99">
        <v>23</v>
      </c>
      <c r="CC12" s="99">
        <v>12944.4</v>
      </c>
      <c r="CD12" s="99">
        <v>33</v>
      </c>
      <c r="CE12" s="99">
        <v>18572.399999999998</v>
      </c>
      <c r="CF12" s="99">
        <v>32</v>
      </c>
      <c r="CG12" s="99">
        <v>18009.599999999999</v>
      </c>
      <c r="CH12" s="99">
        <v>11.093551440261036</v>
      </c>
      <c r="CI12" s="99">
        <v>6243.4507505789106</v>
      </c>
      <c r="CJ12" s="99">
        <v>0</v>
      </c>
      <c r="CK12" s="99">
        <v>0</v>
      </c>
      <c r="CL12" s="99">
        <v>0</v>
      </c>
      <c r="CM12" s="99">
        <v>0</v>
      </c>
      <c r="CN12" s="99">
        <v>25</v>
      </c>
      <c r="CO12" s="99">
        <v>14069.999999999998</v>
      </c>
      <c r="CP12" s="99">
        <v>23</v>
      </c>
      <c r="CQ12" s="99">
        <v>12944.4</v>
      </c>
      <c r="CR12" s="99">
        <v>16.012221472893192</v>
      </c>
      <c r="CS12" s="99">
        <v>9011.6782449442871</v>
      </c>
      <c r="CT12" s="99">
        <v>9.262545834483193</v>
      </c>
      <c r="CU12" s="99">
        <v>5212.9607956471409</v>
      </c>
    </row>
    <row r="13" spans="1:99">
      <c r="C13" s="98" t="s">
        <v>178</v>
      </c>
      <c r="D13" s="99">
        <v>0</v>
      </c>
      <c r="E13" s="99">
        <v>0</v>
      </c>
      <c r="F13" s="99">
        <v>0</v>
      </c>
      <c r="G13" s="99">
        <v>0</v>
      </c>
      <c r="H13" s="99">
        <v>20.185482549565755</v>
      </c>
      <c r="I13" s="99">
        <v>1719.8031132230024</v>
      </c>
      <c r="J13" s="99">
        <v>7.3538743358797216</v>
      </c>
      <c r="K13" s="99">
        <v>626.55009341695234</v>
      </c>
      <c r="L13" s="99">
        <v>27</v>
      </c>
      <c r="M13" s="99">
        <v>2300.4</v>
      </c>
      <c r="N13" s="99">
        <v>29</v>
      </c>
      <c r="O13" s="99">
        <v>2470.8000000000002</v>
      </c>
      <c r="P13" s="99">
        <v>22</v>
      </c>
      <c r="Q13" s="99">
        <v>1874.4</v>
      </c>
      <c r="R13" s="99">
        <v>18.543315472454793</v>
      </c>
      <c r="S13" s="99">
        <v>1579.8904782531483</v>
      </c>
      <c r="T13" s="99">
        <v>20</v>
      </c>
      <c r="U13" s="99">
        <v>1704</v>
      </c>
      <c r="V13" s="99">
        <v>29</v>
      </c>
      <c r="W13" s="99">
        <v>2470.8000000000002</v>
      </c>
      <c r="X13" s="99">
        <v>19</v>
      </c>
      <c r="Y13" s="99">
        <v>1618.8</v>
      </c>
      <c r="Z13" s="99">
        <v>23</v>
      </c>
      <c r="AA13" s="99">
        <v>1959.6000000000001</v>
      </c>
      <c r="AB13" s="99">
        <v>21</v>
      </c>
      <c r="AC13" s="99">
        <v>1789.2</v>
      </c>
      <c r="AD13" s="99">
        <v>31</v>
      </c>
      <c r="AE13" s="99">
        <v>2641.2000000000003</v>
      </c>
      <c r="AF13" s="99">
        <v>24.41789786525953</v>
      </c>
      <c r="AG13" s="99">
        <v>2080.4048981201122</v>
      </c>
      <c r="AH13" s="99">
        <v>0</v>
      </c>
      <c r="AI13" s="99">
        <v>0</v>
      </c>
      <c r="AJ13" s="99">
        <v>22</v>
      </c>
      <c r="AK13" s="99">
        <v>1874.4</v>
      </c>
      <c r="AL13" s="99">
        <v>20</v>
      </c>
      <c r="AM13" s="99">
        <v>1704</v>
      </c>
      <c r="AN13" s="99">
        <v>25</v>
      </c>
      <c r="AO13" s="99">
        <v>2130</v>
      </c>
      <c r="AP13" s="99">
        <v>35</v>
      </c>
      <c r="AQ13" s="99">
        <v>2982</v>
      </c>
      <c r="AR13" s="99">
        <v>29</v>
      </c>
      <c r="AS13" s="99">
        <v>2470.8000000000002</v>
      </c>
      <c r="AT13" s="99">
        <v>10.93234201581177</v>
      </c>
      <c r="AU13" s="99">
        <v>931.43553974716281</v>
      </c>
      <c r="AV13" s="99">
        <v>27</v>
      </c>
      <c r="AW13" s="99">
        <v>2300.4</v>
      </c>
      <c r="AX13" s="99">
        <v>21</v>
      </c>
      <c r="AY13" s="99">
        <v>1789.2</v>
      </c>
      <c r="AZ13" s="99">
        <v>26</v>
      </c>
      <c r="BA13" s="99">
        <v>2215.2000000000003</v>
      </c>
      <c r="BB13" s="99">
        <v>30</v>
      </c>
      <c r="BC13" s="99">
        <v>2556</v>
      </c>
      <c r="BD13" s="99">
        <v>20</v>
      </c>
      <c r="BE13" s="99">
        <v>1704</v>
      </c>
      <c r="BF13" s="99">
        <v>26</v>
      </c>
      <c r="BG13" s="99">
        <v>2215.2000000000003</v>
      </c>
      <c r="BH13" s="99">
        <v>28.826034353094222</v>
      </c>
      <c r="BI13" s="99">
        <v>2455.9781268836277</v>
      </c>
      <c r="BJ13" s="99">
        <v>21.256514877358281</v>
      </c>
      <c r="BK13" s="99">
        <v>1811.0550675509255</v>
      </c>
      <c r="BL13" s="99">
        <v>18.64667484824151</v>
      </c>
      <c r="BM13" s="99">
        <v>1588.6966970701767</v>
      </c>
      <c r="BN13" s="99">
        <v>9.8754697495326678</v>
      </c>
      <c r="BO13" s="99">
        <v>841.39002266018338</v>
      </c>
      <c r="BP13" s="99">
        <v>19</v>
      </c>
      <c r="BQ13" s="99">
        <v>1618.8</v>
      </c>
      <c r="BR13" s="99">
        <v>27.549336810431289</v>
      </c>
      <c r="BS13" s="99">
        <v>2347.203496248746</v>
      </c>
      <c r="BT13" s="99">
        <v>33</v>
      </c>
      <c r="BU13" s="99">
        <v>2811.6</v>
      </c>
      <c r="BV13" s="99">
        <v>27.10893447619047</v>
      </c>
      <c r="BW13" s="99">
        <v>2309.6812173714279</v>
      </c>
      <c r="BX13" s="99">
        <v>17.285882751355583</v>
      </c>
      <c r="BY13" s="99">
        <v>1472.7572104154958</v>
      </c>
      <c r="BZ13" s="99">
        <v>0</v>
      </c>
      <c r="CA13" s="99">
        <v>0</v>
      </c>
      <c r="CB13" s="99">
        <v>21</v>
      </c>
      <c r="CC13" s="99">
        <v>1789.2</v>
      </c>
      <c r="CD13" s="99">
        <v>34</v>
      </c>
      <c r="CE13" s="99">
        <v>2896.8</v>
      </c>
      <c r="CF13" s="99">
        <v>32</v>
      </c>
      <c r="CG13" s="99">
        <v>2726.4</v>
      </c>
      <c r="CH13" s="99">
        <v>11.555782750271913</v>
      </c>
      <c r="CI13" s="99">
        <v>984.55269032316698</v>
      </c>
      <c r="CJ13" s="99">
        <v>0</v>
      </c>
      <c r="CK13" s="99">
        <v>0</v>
      </c>
      <c r="CL13" s="99">
        <v>0</v>
      </c>
      <c r="CM13" s="99">
        <v>0</v>
      </c>
      <c r="CN13" s="99">
        <v>27</v>
      </c>
      <c r="CO13" s="99">
        <v>2300.4</v>
      </c>
      <c r="CP13" s="99">
        <v>23</v>
      </c>
      <c r="CQ13" s="99">
        <v>1959.6000000000001</v>
      </c>
      <c r="CR13" s="99">
        <v>17.933688049640374</v>
      </c>
      <c r="CS13" s="99">
        <v>1527.9502218293599</v>
      </c>
      <c r="CT13" s="99">
        <v>10.585766667980792</v>
      </c>
      <c r="CU13" s="99">
        <v>901.90732011196349</v>
      </c>
    </row>
    <row r="14" spans="1:99">
      <c r="C14" s="98" t="s">
        <v>179</v>
      </c>
      <c r="D14" s="99">
        <v>0</v>
      </c>
      <c r="E14" s="99">
        <v>0</v>
      </c>
      <c r="F14" s="99">
        <v>0</v>
      </c>
      <c r="G14" s="99">
        <v>0</v>
      </c>
      <c r="H14" s="99">
        <v>20.185482549565755</v>
      </c>
      <c r="I14" s="99">
        <v>9858.5896772079141</v>
      </c>
      <c r="J14" s="99">
        <v>7.3538743358797216</v>
      </c>
      <c r="K14" s="99">
        <v>3591.6322256436561</v>
      </c>
      <c r="L14" s="99">
        <v>29</v>
      </c>
      <c r="M14" s="99">
        <v>14163.599999999999</v>
      </c>
      <c r="N14" s="99">
        <v>27</v>
      </c>
      <c r="O14" s="99">
        <v>13186.8</v>
      </c>
      <c r="P14" s="99">
        <v>23</v>
      </c>
      <c r="Q14" s="99">
        <v>11233.199999999999</v>
      </c>
      <c r="R14" s="99">
        <v>16.295640869732999</v>
      </c>
      <c r="S14" s="99">
        <v>7958.7910007775963</v>
      </c>
      <c r="T14" s="99">
        <v>20</v>
      </c>
      <c r="U14" s="99">
        <v>9768</v>
      </c>
      <c r="V14" s="99">
        <v>29</v>
      </c>
      <c r="W14" s="99">
        <v>14163.599999999999</v>
      </c>
      <c r="X14" s="99">
        <v>19</v>
      </c>
      <c r="Y14" s="99">
        <v>9279.6</v>
      </c>
      <c r="Z14" s="99">
        <v>21</v>
      </c>
      <c r="AA14" s="99">
        <v>10256.4</v>
      </c>
      <c r="AB14" s="99">
        <v>21</v>
      </c>
      <c r="AC14" s="99">
        <v>10256.4</v>
      </c>
      <c r="AD14" s="99">
        <v>31</v>
      </c>
      <c r="AE14" s="99">
        <v>15140.4</v>
      </c>
      <c r="AF14" s="99">
        <v>22.539598029470334</v>
      </c>
      <c r="AG14" s="99">
        <v>11008.339677593311</v>
      </c>
      <c r="AH14" s="99">
        <v>0</v>
      </c>
      <c r="AI14" s="99">
        <v>0</v>
      </c>
      <c r="AJ14" s="99">
        <v>21</v>
      </c>
      <c r="AK14" s="99">
        <v>10256.4</v>
      </c>
      <c r="AL14" s="99">
        <v>19</v>
      </c>
      <c r="AM14" s="99">
        <v>9279.6</v>
      </c>
      <c r="AN14" s="99">
        <v>27</v>
      </c>
      <c r="AO14" s="99">
        <v>13186.8</v>
      </c>
      <c r="AP14" s="99">
        <v>33</v>
      </c>
      <c r="AQ14" s="99">
        <v>16117.199999999999</v>
      </c>
      <c r="AR14" s="99">
        <v>27</v>
      </c>
      <c r="AS14" s="99">
        <v>13186.8</v>
      </c>
      <c r="AT14" s="99">
        <v>11.926191289976476</v>
      </c>
      <c r="AU14" s="99">
        <v>5824.7518260245106</v>
      </c>
      <c r="AV14" s="99">
        <v>22</v>
      </c>
      <c r="AW14" s="99">
        <v>10744.8</v>
      </c>
      <c r="AX14" s="99">
        <v>20</v>
      </c>
      <c r="AY14" s="99">
        <v>9768</v>
      </c>
      <c r="AZ14" s="99">
        <v>24</v>
      </c>
      <c r="BA14" s="99">
        <v>11721.599999999999</v>
      </c>
      <c r="BB14" s="99">
        <v>28</v>
      </c>
      <c r="BC14" s="99">
        <v>13675.199999999999</v>
      </c>
      <c r="BD14" s="99">
        <v>18</v>
      </c>
      <c r="BE14" s="99">
        <v>8791.1999999999989</v>
      </c>
      <c r="BF14" s="99">
        <v>28</v>
      </c>
      <c r="BG14" s="99">
        <v>13675.199999999999</v>
      </c>
      <c r="BH14" s="99">
        <v>32.545522656719285</v>
      </c>
      <c r="BI14" s="99">
        <v>15895.233265541698</v>
      </c>
      <c r="BJ14" s="99">
        <v>20.370826757468354</v>
      </c>
      <c r="BK14" s="99">
        <v>9949.1117883475436</v>
      </c>
      <c r="BL14" s="99">
        <v>15.538895706867926</v>
      </c>
      <c r="BM14" s="99">
        <v>7589.1966632342946</v>
      </c>
      <c r="BN14" s="99">
        <v>9.1944028702545531</v>
      </c>
      <c r="BO14" s="99">
        <v>4490.5463618323238</v>
      </c>
      <c r="BP14" s="99">
        <v>18</v>
      </c>
      <c r="BQ14" s="99">
        <v>8791.1999999999989</v>
      </c>
      <c r="BR14" s="99">
        <v>28.274319358074219</v>
      </c>
      <c r="BS14" s="99">
        <v>13809.177574483449</v>
      </c>
      <c r="BT14" s="99">
        <v>28</v>
      </c>
      <c r="BU14" s="99">
        <v>13675.199999999999</v>
      </c>
      <c r="BV14" s="99">
        <v>28.574282285714283</v>
      </c>
      <c r="BW14" s="99">
        <v>13955.679468342854</v>
      </c>
      <c r="BX14" s="99">
        <v>16.37609944865266</v>
      </c>
      <c r="BY14" s="99">
        <v>7998.086970721959</v>
      </c>
      <c r="BZ14" s="99">
        <v>0</v>
      </c>
      <c r="CA14" s="99">
        <v>0</v>
      </c>
      <c r="CB14" s="99">
        <v>22</v>
      </c>
      <c r="CC14" s="99">
        <v>10744.8</v>
      </c>
      <c r="CD14" s="99">
        <v>32</v>
      </c>
      <c r="CE14" s="99">
        <v>15628.8</v>
      </c>
      <c r="CF14" s="99">
        <v>31</v>
      </c>
      <c r="CG14" s="99">
        <v>15140.4</v>
      </c>
      <c r="CH14" s="99">
        <v>12.480245370293666</v>
      </c>
      <c r="CI14" s="99">
        <v>6095.3518388514258</v>
      </c>
      <c r="CJ14" s="99">
        <v>0</v>
      </c>
      <c r="CK14" s="99">
        <v>0</v>
      </c>
      <c r="CL14" s="99">
        <v>0</v>
      </c>
      <c r="CM14" s="99">
        <v>0</v>
      </c>
      <c r="CN14" s="99">
        <v>23</v>
      </c>
      <c r="CO14" s="99">
        <v>11233.199999999999</v>
      </c>
      <c r="CP14" s="99">
        <v>21</v>
      </c>
      <c r="CQ14" s="99">
        <v>10256.4</v>
      </c>
      <c r="CR14" s="99">
        <v>17.293199190724646</v>
      </c>
      <c r="CS14" s="99">
        <v>8445.9984847499163</v>
      </c>
      <c r="CT14" s="99">
        <v>9.262545834483193</v>
      </c>
      <c r="CU14" s="99">
        <v>4523.8273855615917</v>
      </c>
    </row>
    <row r="15" spans="1:99">
      <c r="C15" s="98" t="s">
        <v>180</v>
      </c>
      <c r="D15" s="99">
        <v>0</v>
      </c>
      <c r="E15" s="99">
        <v>0</v>
      </c>
      <c r="F15" s="99">
        <v>0</v>
      </c>
      <c r="G15" s="99">
        <v>0</v>
      </c>
      <c r="H15" s="99">
        <v>18.097329182369297</v>
      </c>
      <c r="I15" s="99">
        <v>13811.881631984246</v>
      </c>
      <c r="J15" s="99">
        <v>6.5367771874486422</v>
      </c>
      <c r="K15" s="99">
        <v>4988.8683494608031</v>
      </c>
      <c r="L15" s="99">
        <v>25</v>
      </c>
      <c r="M15" s="99">
        <v>19080</v>
      </c>
      <c r="N15" s="99">
        <v>23</v>
      </c>
      <c r="O15" s="99">
        <v>17553.599999999999</v>
      </c>
      <c r="P15" s="99">
        <v>21</v>
      </c>
      <c r="Q15" s="99">
        <v>16027.199999999999</v>
      </c>
      <c r="R15" s="99">
        <v>16.857559520413449</v>
      </c>
      <c r="S15" s="99">
        <v>12865.689425979543</v>
      </c>
      <c r="T15" s="99">
        <v>19</v>
      </c>
      <c r="U15" s="99">
        <v>14500.8</v>
      </c>
      <c r="V15" s="99">
        <v>27</v>
      </c>
      <c r="W15" s="99">
        <v>20606.399999999998</v>
      </c>
      <c r="X15" s="99">
        <v>21</v>
      </c>
      <c r="Y15" s="99">
        <v>16027.199999999999</v>
      </c>
      <c r="Z15" s="99">
        <v>20</v>
      </c>
      <c r="AA15" s="99">
        <v>15263.999999999998</v>
      </c>
      <c r="AB15" s="99">
        <v>19</v>
      </c>
      <c r="AC15" s="99">
        <v>14500.8</v>
      </c>
      <c r="AD15" s="99">
        <v>30</v>
      </c>
      <c r="AE15" s="99">
        <v>22895.999999999996</v>
      </c>
      <c r="AF15" s="99">
        <v>20.661298193681137</v>
      </c>
      <c r="AG15" s="99">
        <v>15768.702781417443</v>
      </c>
      <c r="AH15" s="99">
        <v>0</v>
      </c>
      <c r="AI15" s="99">
        <v>0</v>
      </c>
      <c r="AJ15" s="99">
        <v>20</v>
      </c>
      <c r="AK15" s="99">
        <v>15263.999999999998</v>
      </c>
      <c r="AL15" s="99">
        <v>21</v>
      </c>
      <c r="AM15" s="99">
        <v>16027.199999999999</v>
      </c>
      <c r="AN15" s="99">
        <v>24</v>
      </c>
      <c r="AO15" s="99">
        <v>18316.8</v>
      </c>
      <c r="AP15" s="99">
        <v>33</v>
      </c>
      <c r="AQ15" s="99">
        <v>25185.599999999999</v>
      </c>
      <c r="AR15" s="99">
        <v>26</v>
      </c>
      <c r="AS15" s="99">
        <v>19843.199999999997</v>
      </c>
      <c r="AT15" s="99">
        <v>11.926191289976476</v>
      </c>
      <c r="AU15" s="99">
        <v>9102.0691925100455</v>
      </c>
      <c r="AV15" s="99">
        <v>21</v>
      </c>
      <c r="AW15" s="99">
        <v>16027.199999999999</v>
      </c>
      <c r="AX15" s="99">
        <v>20</v>
      </c>
      <c r="AY15" s="99">
        <v>15263.999999999998</v>
      </c>
      <c r="AZ15" s="99">
        <v>24</v>
      </c>
      <c r="BA15" s="99">
        <v>18316.8</v>
      </c>
      <c r="BB15" s="99">
        <v>27</v>
      </c>
      <c r="BC15" s="99">
        <v>20606.399999999998</v>
      </c>
      <c r="BD15" s="99">
        <v>18</v>
      </c>
      <c r="BE15" s="99">
        <v>13737.599999999999</v>
      </c>
      <c r="BF15" s="99">
        <v>25</v>
      </c>
      <c r="BG15" s="99">
        <v>19080</v>
      </c>
      <c r="BH15" s="99">
        <v>28.826034353094222</v>
      </c>
      <c r="BI15" s="99">
        <v>22000.029418281509</v>
      </c>
      <c r="BJ15" s="99">
        <v>22.142202997248212</v>
      </c>
      <c r="BK15" s="99">
        <v>16898.929327499834</v>
      </c>
      <c r="BL15" s="99">
        <v>15.538895706867926</v>
      </c>
      <c r="BM15" s="99">
        <v>11859.285203481601</v>
      </c>
      <c r="BN15" s="99">
        <v>10.216003189171726</v>
      </c>
      <c r="BO15" s="99">
        <v>7796.8536339758602</v>
      </c>
      <c r="BP15" s="99">
        <v>17</v>
      </c>
      <c r="BQ15" s="99">
        <v>12974.4</v>
      </c>
      <c r="BR15" s="99">
        <v>23.199441524573718</v>
      </c>
      <c r="BS15" s="99">
        <v>17705.813771554662</v>
      </c>
      <c r="BT15" s="99">
        <v>29</v>
      </c>
      <c r="BU15" s="99">
        <v>22132.799999999999</v>
      </c>
      <c r="BV15" s="99">
        <v>24.178238857142855</v>
      </c>
      <c r="BW15" s="99">
        <v>18452.831895771425</v>
      </c>
      <c r="BX15" s="99">
        <v>16.37609944865266</v>
      </c>
      <c r="BY15" s="99">
        <v>12498.239099211709</v>
      </c>
      <c r="BZ15" s="99">
        <v>0</v>
      </c>
      <c r="CA15" s="99">
        <v>0</v>
      </c>
      <c r="CB15" s="99">
        <v>19</v>
      </c>
      <c r="CC15" s="99">
        <v>14500.8</v>
      </c>
      <c r="CD15" s="99">
        <v>31</v>
      </c>
      <c r="CE15" s="99">
        <v>23659.199999999997</v>
      </c>
      <c r="CF15" s="99">
        <v>30</v>
      </c>
      <c r="CG15" s="99">
        <v>22895.999999999996</v>
      </c>
      <c r="CH15" s="99">
        <v>12.018014060282789</v>
      </c>
      <c r="CI15" s="99">
        <v>9172.1483308078241</v>
      </c>
      <c r="CJ15" s="99">
        <v>0</v>
      </c>
      <c r="CK15" s="99">
        <v>0</v>
      </c>
      <c r="CL15" s="99">
        <v>0</v>
      </c>
      <c r="CM15" s="99">
        <v>0</v>
      </c>
      <c r="CN15" s="99">
        <v>24</v>
      </c>
      <c r="CO15" s="99">
        <v>18316.8</v>
      </c>
      <c r="CP15" s="99">
        <v>23</v>
      </c>
      <c r="CQ15" s="99">
        <v>17553.599999999999</v>
      </c>
      <c r="CR15" s="99">
        <v>17.933688049640374</v>
      </c>
      <c r="CS15" s="99">
        <v>13686.990719485531</v>
      </c>
      <c r="CT15" s="99">
        <v>10.254961459606392</v>
      </c>
      <c r="CU15" s="99">
        <v>7826.5865859715977</v>
      </c>
    </row>
    <row r="16" spans="1:99">
      <c r="C16" s="98" t="s">
        <v>181</v>
      </c>
      <c r="D16" s="99">
        <v>0</v>
      </c>
      <c r="E16" s="99">
        <v>0</v>
      </c>
      <c r="F16" s="99">
        <v>0</v>
      </c>
      <c r="G16" s="99">
        <v>0</v>
      </c>
      <c r="H16" s="99">
        <v>18.793380304768114</v>
      </c>
      <c r="I16" s="99">
        <v>6404.7840078649733</v>
      </c>
      <c r="J16" s="99">
        <v>6.5367771874486422</v>
      </c>
      <c r="K16" s="99">
        <v>2227.7336654824971</v>
      </c>
      <c r="L16" s="99">
        <v>29</v>
      </c>
      <c r="M16" s="99">
        <v>9883.2000000000007</v>
      </c>
      <c r="N16" s="99">
        <v>25</v>
      </c>
      <c r="O16" s="99">
        <v>8520</v>
      </c>
      <c r="P16" s="99">
        <v>22</v>
      </c>
      <c r="Q16" s="99">
        <v>7497.6</v>
      </c>
      <c r="R16" s="99">
        <v>16.857559520413449</v>
      </c>
      <c r="S16" s="99">
        <v>5745.0562845569038</v>
      </c>
      <c r="T16" s="99">
        <v>22</v>
      </c>
      <c r="U16" s="99">
        <v>7497.6</v>
      </c>
      <c r="V16" s="99">
        <v>27</v>
      </c>
      <c r="W16" s="99">
        <v>9201.6</v>
      </c>
      <c r="X16" s="99">
        <v>21</v>
      </c>
      <c r="Y16" s="99">
        <v>7156.8</v>
      </c>
      <c r="Z16" s="99">
        <v>20</v>
      </c>
      <c r="AA16" s="99">
        <v>6816</v>
      </c>
      <c r="AB16" s="99">
        <v>23</v>
      </c>
      <c r="AC16" s="99">
        <v>7838.4000000000005</v>
      </c>
      <c r="AD16" s="99">
        <v>30</v>
      </c>
      <c r="AE16" s="99">
        <v>10224</v>
      </c>
      <c r="AF16" s="99">
        <v>23.47874794736493</v>
      </c>
      <c r="AG16" s="99">
        <v>8001.5573004619682</v>
      </c>
      <c r="AH16" s="99">
        <v>0</v>
      </c>
      <c r="AI16" s="99">
        <v>0</v>
      </c>
      <c r="AJ16" s="99">
        <v>24</v>
      </c>
      <c r="AK16" s="99">
        <v>8179.2000000000007</v>
      </c>
      <c r="AL16" s="99">
        <v>21</v>
      </c>
      <c r="AM16" s="99">
        <v>7156.8</v>
      </c>
      <c r="AN16" s="99">
        <v>28</v>
      </c>
      <c r="AO16" s="99">
        <v>9542.4</v>
      </c>
      <c r="AP16" s="99">
        <v>35</v>
      </c>
      <c r="AQ16" s="99">
        <v>11928</v>
      </c>
      <c r="AR16" s="99">
        <v>27</v>
      </c>
      <c r="AS16" s="99">
        <v>9201.6</v>
      </c>
      <c r="AT16" s="99">
        <v>10.93234201581177</v>
      </c>
      <c r="AU16" s="99">
        <v>3725.7421589886512</v>
      </c>
      <c r="AV16" s="99">
        <v>24</v>
      </c>
      <c r="AW16" s="99">
        <v>8179.2000000000007</v>
      </c>
      <c r="AX16" s="99">
        <v>20</v>
      </c>
      <c r="AY16" s="99">
        <v>6816</v>
      </c>
      <c r="AZ16" s="99">
        <v>28</v>
      </c>
      <c r="BA16" s="99">
        <v>9542.4</v>
      </c>
      <c r="BB16" s="99">
        <v>27</v>
      </c>
      <c r="BC16" s="99">
        <v>9201.6</v>
      </c>
      <c r="BD16" s="99">
        <v>17</v>
      </c>
      <c r="BE16" s="99">
        <v>5793.6</v>
      </c>
      <c r="BF16" s="99">
        <v>24</v>
      </c>
      <c r="BG16" s="99">
        <v>8179.2000000000007</v>
      </c>
      <c r="BH16" s="99">
        <v>30.68577850490675</v>
      </c>
      <c r="BI16" s="99">
        <v>10457.713314472221</v>
      </c>
      <c r="BJ16" s="99">
        <v>22.142202997248212</v>
      </c>
      <c r="BK16" s="99">
        <v>7546.0627814621912</v>
      </c>
      <c r="BL16" s="99">
        <v>15.538895706867926</v>
      </c>
      <c r="BM16" s="99">
        <v>5295.6556569005897</v>
      </c>
      <c r="BN16" s="99">
        <v>10.556536628810782</v>
      </c>
      <c r="BO16" s="99">
        <v>3597.6676830987149</v>
      </c>
      <c r="BP16" s="99">
        <v>22</v>
      </c>
      <c r="BQ16" s="99">
        <v>7497.6</v>
      </c>
      <c r="BR16" s="99">
        <v>28.274319358074219</v>
      </c>
      <c r="BS16" s="99">
        <v>9635.8880372316944</v>
      </c>
      <c r="BT16" s="99">
        <v>31</v>
      </c>
      <c r="BU16" s="99">
        <v>10564.800000000001</v>
      </c>
      <c r="BV16" s="99">
        <v>25.643586666666661</v>
      </c>
      <c r="BW16" s="99">
        <v>8739.3343359999981</v>
      </c>
      <c r="BX16" s="99">
        <v>16.37609944865266</v>
      </c>
      <c r="BY16" s="99">
        <v>5580.9746921008264</v>
      </c>
      <c r="BZ16" s="99">
        <v>0</v>
      </c>
      <c r="CA16" s="99">
        <v>0</v>
      </c>
      <c r="CB16" s="99">
        <v>23</v>
      </c>
      <c r="CC16" s="99">
        <v>7838.4000000000005</v>
      </c>
      <c r="CD16" s="99">
        <v>34</v>
      </c>
      <c r="CE16" s="99">
        <v>11587.2</v>
      </c>
      <c r="CF16" s="99">
        <v>32</v>
      </c>
      <c r="CG16" s="99">
        <v>10905.6</v>
      </c>
      <c r="CH16" s="99">
        <v>11.555782750271913</v>
      </c>
      <c r="CI16" s="99">
        <v>3938.2107612926679</v>
      </c>
      <c r="CJ16" s="99">
        <v>0</v>
      </c>
      <c r="CK16" s="99">
        <v>0</v>
      </c>
      <c r="CL16" s="99">
        <v>0</v>
      </c>
      <c r="CM16" s="99">
        <v>0</v>
      </c>
      <c r="CN16" s="99">
        <v>25</v>
      </c>
      <c r="CO16" s="99">
        <v>8520</v>
      </c>
      <c r="CP16" s="99">
        <v>22</v>
      </c>
      <c r="CQ16" s="99">
        <v>7497.6</v>
      </c>
      <c r="CR16" s="99">
        <v>18.574176908556101</v>
      </c>
      <c r="CS16" s="99">
        <v>6330.0794904359191</v>
      </c>
      <c r="CT16" s="99">
        <v>10.254961459606392</v>
      </c>
      <c r="CU16" s="99">
        <v>3494.8908654338584</v>
      </c>
    </row>
    <row r="17" spans="2:99">
      <c r="C17" s="98" t="s">
        <v>182</v>
      </c>
      <c r="D17" s="99">
        <v>0</v>
      </c>
      <c r="E17" s="99">
        <v>0</v>
      </c>
      <c r="F17" s="99">
        <v>0</v>
      </c>
      <c r="G17" s="99">
        <v>0</v>
      </c>
      <c r="H17" s="99">
        <v>19.489431427166934</v>
      </c>
      <c r="I17" s="99">
        <v>8232.3358348353122</v>
      </c>
      <c r="J17" s="99">
        <v>7.3538743358797216</v>
      </c>
      <c r="K17" s="99">
        <v>3106.2765194755943</v>
      </c>
      <c r="L17" s="99">
        <v>28</v>
      </c>
      <c r="M17" s="99">
        <v>11827.199999999999</v>
      </c>
      <c r="N17" s="99">
        <v>28</v>
      </c>
      <c r="O17" s="99">
        <v>11827.199999999999</v>
      </c>
      <c r="P17" s="99">
        <v>23</v>
      </c>
      <c r="Q17" s="99">
        <v>9715.1999999999989</v>
      </c>
      <c r="R17" s="99">
        <v>15.733722219052552</v>
      </c>
      <c r="S17" s="99">
        <v>6645.9242653277979</v>
      </c>
      <c r="T17" s="99">
        <v>19</v>
      </c>
      <c r="U17" s="99">
        <v>8025.5999999999995</v>
      </c>
      <c r="V17" s="99">
        <v>30</v>
      </c>
      <c r="W17" s="99">
        <v>12672</v>
      </c>
      <c r="X17" s="99">
        <v>20</v>
      </c>
      <c r="Y17" s="99">
        <v>8448</v>
      </c>
      <c r="Z17" s="99">
        <v>22</v>
      </c>
      <c r="AA17" s="99">
        <v>9292.7999999999993</v>
      </c>
      <c r="AB17" s="99">
        <v>23</v>
      </c>
      <c r="AC17" s="99">
        <v>9715.1999999999989</v>
      </c>
      <c r="AD17" s="99">
        <v>30</v>
      </c>
      <c r="AE17" s="99">
        <v>12672</v>
      </c>
      <c r="AF17" s="99">
        <v>21.600448111575737</v>
      </c>
      <c r="AG17" s="99">
        <v>9124.0292823295913</v>
      </c>
      <c r="AH17" s="99">
        <v>0</v>
      </c>
      <c r="AI17" s="99">
        <v>0</v>
      </c>
      <c r="AJ17" s="99">
        <v>24</v>
      </c>
      <c r="AK17" s="99">
        <v>10137.599999999999</v>
      </c>
      <c r="AL17" s="99">
        <v>21</v>
      </c>
      <c r="AM17" s="99">
        <v>8870.4</v>
      </c>
      <c r="AN17" s="99">
        <v>24</v>
      </c>
      <c r="AO17" s="99">
        <v>10137.599999999999</v>
      </c>
      <c r="AP17" s="99">
        <v>34</v>
      </c>
      <c r="AQ17" s="99">
        <v>14361.599999999999</v>
      </c>
      <c r="AR17" s="99">
        <v>29</v>
      </c>
      <c r="AS17" s="99">
        <v>12249.599999999999</v>
      </c>
      <c r="AT17" s="99">
        <v>11.926191289976476</v>
      </c>
      <c r="AU17" s="99">
        <v>5037.6232008860634</v>
      </c>
      <c r="AV17" s="99">
        <v>26</v>
      </c>
      <c r="AW17" s="99">
        <v>10982.4</v>
      </c>
      <c r="AX17" s="99">
        <v>22</v>
      </c>
      <c r="AY17" s="99">
        <v>9292.7999999999993</v>
      </c>
      <c r="AZ17" s="99">
        <v>26</v>
      </c>
      <c r="BA17" s="99">
        <v>10982.4</v>
      </c>
      <c r="BB17" s="99">
        <v>26</v>
      </c>
      <c r="BC17" s="99">
        <v>10982.4</v>
      </c>
      <c r="BD17" s="99">
        <v>17</v>
      </c>
      <c r="BE17" s="99">
        <v>7180.7999999999993</v>
      </c>
      <c r="BF17" s="99">
        <v>27</v>
      </c>
      <c r="BG17" s="99">
        <v>11404.8</v>
      </c>
      <c r="BH17" s="99">
        <v>27.896162277187955</v>
      </c>
      <c r="BI17" s="99">
        <v>11783.338945884192</v>
      </c>
      <c r="BJ17" s="99">
        <v>23.91357923702807</v>
      </c>
      <c r="BK17" s="99">
        <v>10101.095869720657</v>
      </c>
      <c r="BL17" s="99">
        <v>16.78200736341736</v>
      </c>
      <c r="BM17" s="99">
        <v>7088.7199103074927</v>
      </c>
      <c r="BN17" s="99">
        <v>10.556536628810782</v>
      </c>
      <c r="BO17" s="99">
        <v>4459.0810720096742</v>
      </c>
      <c r="BP17" s="99">
        <v>18</v>
      </c>
      <c r="BQ17" s="99">
        <v>7603.2</v>
      </c>
      <c r="BR17" s="99">
        <v>28.274319358074219</v>
      </c>
      <c r="BS17" s="99">
        <v>11943.072496850549</v>
      </c>
      <c r="BT17" s="99">
        <v>28</v>
      </c>
      <c r="BU17" s="99">
        <v>11827.199999999999</v>
      </c>
      <c r="BV17" s="99">
        <v>25.643586666666661</v>
      </c>
      <c r="BW17" s="99">
        <v>10831.851007999996</v>
      </c>
      <c r="BX17" s="99">
        <v>14.556532843246808</v>
      </c>
      <c r="BY17" s="99">
        <v>6148.6794729874518</v>
      </c>
      <c r="BZ17" s="99">
        <v>0</v>
      </c>
      <c r="CA17" s="99">
        <v>0</v>
      </c>
      <c r="CB17" s="99">
        <v>22</v>
      </c>
      <c r="CC17" s="99">
        <v>9292.7999999999993</v>
      </c>
      <c r="CD17" s="99">
        <v>38</v>
      </c>
      <c r="CE17" s="99">
        <v>16051.199999999999</v>
      </c>
      <c r="CF17" s="99">
        <v>28</v>
      </c>
      <c r="CG17" s="99">
        <v>11827.199999999999</v>
      </c>
      <c r="CH17" s="99">
        <v>12.018014060282789</v>
      </c>
      <c r="CI17" s="99">
        <v>5076.4091390634503</v>
      </c>
      <c r="CJ17" s="99">
        <v>0</v>
      </c>
      <c r="CK17" s="99">
        <v>0</v>
      </c>
      <c r="CL17" s="99">
        <v>0</v>
      </c>
      <c r="CM17" s="99">
        <v>0</v>
      </c>
      <c r="CN17" s="99">
        <v>22</v>
      </c>
      <c r="CO17" s="99">
        <v>9292.7999999999993</v>
      </c>
      <c r="CP17" s="99">
        <v>22</v>
      </c>
      <c r="CQ17" s="99">
        <v>9292.7999999999993</v>
      </c>
      <c r="CR17" s="99">
        <v>18.574176908556101</v>
      </c>
      <c r="CS17" s="99">
        <v>7845.7323261740967</v>
      </c>
      <c r="CT17" s="99">
        <v>10.254961459606392</v>
      </c>
      <c r="CU17" s="99">
        <v>4331.6957205377394</v>
      </c>
    </row>
    <row r="18" spans="2:99">
      <c r="C18" s="98" t="s">
        <v>183</v>
      </c>
      <c r="D18" s="99">
        <v>0</v>
      </c>
      <c r="E18" s="99">
        <v>0</v>
      </c>
      <c r="F18" s="99">
        <v>0</v>
      </c>
      <c r="G18" s="99">
        <v>0</v>
      </c>
      <c r="H18" s="99">
        <v>20.881533671964576</v>
      </c>
      <c r="I18" s="99">
        <v>13631.465181058475</v>
      </c>
      <c r="J18" s="99">
        <v>6.9453257616641819</v>
      </c>
      <c r="K18" s="99">
        <v>4533.9086572143779</v>
      </c>
      <c r="L18" s="99">
        <v>25</v>
      </c>
      <c r="M18" s="99">
        <v>16319.999999999998</v>
      </c>
      <c r="N18" s="99">
        <v>23</v>
      </c>
      <c r="O18" s="99">
        <v>15014.4</v>
      </c>
      <c r="P18" s="99">
        <v>20</v>
      </c>
      <c r="Q18" s="99">
        <v>13056</v>
      </c>
      <c r="R18" s="99">
        <v>15.171803568372104</v>
      </c>
      <c r="S18" s="99">
        <v>9904.1533694333084</v>
      </c>
      <c r="T18" s="99">
        <v>19</v>
      </c>
      <c r="U18" s="99">
        <v>12403.199999999999</v>
      </c>
      <c r="V18" s="99">
        <v>28</v>
      </c>
      <c r="W18" s="99">
        <v>18278.399999999998</v>
      </c>
      <c r="X18" s="99">
        <v>19</v>
      </c>
      <c r="Y18" s="99">
        <v>12403.199999999999</v>
      </c>
      <c r="Z18" s="99">
        <v>19</v>
      </c>
      <c r="AA18" s="99">
        <v>12403.199999999999</v>
      </c>
      <c r="AB18" s="99">
        <v>21</v>
      </c>
      <c r="AC18" s="99">
        <v>13708.8</v>
      </c>
      <c r="AD18" s="99">
        <v>29</v>
      </c>
      <c r="AE18" s="99">
        <v>18931.199999999997</v>
      </c>
      <c r="AF18" s="99">
        <v>19.722148275786541</v>
      </c>
      <c r="AG18" s="99">
        <v>12874.618394433453</v>
      </c>
      <c r="AH18" s="99">
        <v>0</v>
      </c>
      <c r="AI18" s="99">
        <v>0</v>
      </c>
      <c r="AJ18" s="99">
        <v>22</v>
      </c>
      <c r="AK18" s="99">
        <v>14361.599999999999</v>
      </c>
      <c r="AL18" s="99">
        <v>19</v>
      </c>
      <c r="AM18" s="99">
        <v>12403.199999999999</v>
      </c>
      <c r="AN18" s="99">
        <v>24</v>
      </c>
      <c r="AO18" s="99">
        <v>15667.199999999999</v>
      </c>
      <c r="AP18" s="99">
        <v>31</v>
      </c>
      <c r="AQ18" s="99">
        <v>20236.8</v>
      </c>
      <c r="AR18" s="99">
        <v>27</v>
      </c>
      <c r="AS18" s="99">
        <v>17625.599999999999</v>
      </c>
      <c r="AT18" s="99">
        <v>12.423115927058829</v>
      </c>
      <c r="AU18" s="99">
        <v>8109.8100771840027</v>
      </c>
      <c r="AV18" s="99">
        <v>26</v>
      </c>
      <c r="AW18" s="99">
        <v>16972.8</v>
      </c>
      <c r="AX18" s="99">
        <v>19</v>
      </c>
      <c r="AY18" s="99">
        <v>12403.199999999999</v>
      </c>
      <c r="AZ18" s="99">
        <v>25</v>
      </c>
      <c r="BA18" s="99">
        <v>16319.999999999998</v>
      </c>
      <c r="BB18" s="99">
        <v>26</v>
      </c>
      <c r="BC18" s="99">
        <v>16972.8</v>
      </c>
      <c r="BD18" s="99">
        <v>19</v>
      </c>
      <c r="BE18" s="99">
        <v>12403.199999999999</v>
      </c>
      <c r="BF18" s="99">
        <v>28</v>
      </c>
      <c r="BG18" s="99">
        <v>18278.399999999998</v>
      </c>
      <c r="BH18" s="99">
        <v>28.826034353094222</v>
      </c>
      <c r="BI18" s="99">
        <v>18817.635225699905</v>
      </c>
      <c r="BJ18" s="99">
        <v>20.370826757468354</v>
      </c>
      <c r="BK18" s="99">
        <v>13298.07570727534</v>
      </c>
      <c r="BL18" s="99">
        <v>16.160451535142641</v>
      </c>
      <c r="BM18" s="99">
        <v>10549.542762141116</v>
      </c>
      <c r="BN18" s="99">
        <v>9.8754697495326678</v>
      </c>
      <c r="BO18" s="99">
        <v>6446.706652494925</v>
      </c>
      <c r="BP18" s="99">
        <v>20</v>
      </c>
      <c r="BQ18" s="99">
        <v>13056</v>
      </c>
      <c r="BR18" s="99">
        <v>27.549336810431289</v>
      </c>
      <c r="BS18" s="99">
        <v>17984.207069849544</v>
      </c>
      <c r="BT18" s="99">
        <v>30</v>
      </c>
      <c r="BU18" s="99">
        <v>19584</v>
      </c>
      <c r="BV18" s="99">
        <v>24.910912761904754</v>
      </c>
      <c r="BW18" s="99">
        <v>16261.843850971421</v>
      </c>
      <c r="BX18" s="99">
        <v>16.830991100004123</v>
      </c>
      <c r="BY18" s="99">
        <v>10987.27099008269</v>
      </c>
      <c r="BZ18" s="99">
        <v>0</v>
      </c>
      <c r="CA18" s="99">
        <v>0</v>
      </c>
      <c r="CB18" s="99">
        <v>21</v>
      </c>
      <c r="CC18" s="99">
        <v>13708.8</v>
      </c>
      <c r="CD18" s="99">
        <v>35</v>
      </c>
      <c r="CE18" s="99">
        <v>22848</v>
      </c>
      <c r="CF18" s="99">
        <v>30</v>
      </c>
      <c r="CG18" s="99">
        <v>19584</v>
      </c>
      <c r="CH18" s="99">
        <v>12.480245370293666</v>
      </c>
      <c r="CI18" s="99">
        <v>8147.1041777277042</v>
      </c>
      <c r="CJ18" s="99">
        <v>0</v>
      </c>
      <c r="CK18" s="99">
        <v>0</v>
      </c>
      <c r="CL18" s="99">
        <v>0</v>
      </c>
      <c r="CM18" s="99">
        <v>0</v>
      </c>
      <c r="CN18" s="99">
        <v>25</v>
      </c>
      <c r="CO18" s="99">
        <v>16319.999999999998</v>
      </c>
      <c r="CP18" s="99">
        <v>21</v>
      </c>
      <c r="CQ18" s="99">
        <v>13708.8</v>
      </c>
      <c r="CR18" s="99">
        <v>16.012221472893192</v>
      </c>
      <c r="CS18" s="99">
        <v>10452.778177504675</v>
      </c>
      <c r="CT18" s="99">
        <v>9.9241562512319916</v>
      </c>
      <c r="CU18" s="99">
        <v>6478.4892008042434</v>
      </c>
    </row>
    <row r="19" spans="2:99">
      <c r="C19" s="98" t="s">
        <v>184</v>
      </c>
      <c r="D19" s="99">
        <v>0</v>
      </c>
      <c r="E19" s="99">
        <v>0</v>
      </c>
      <c r="F19" s="99">
        <v>0</v>
      </c>
      <c r="G19" s="99">
        <v>0</v>
      </c>
      <c r="H19" s="99">
        <v>21.577584794363393</v>
      </c>
      <c r="I19" s="99">
        <v>7120.6029821399197</v>
      </c>
      <c r="J19" s="99">
        <v>6.5367771874486422</v>
      </c>
      <c r="K19" s="99">
        <v>2157.1364718580521</v>
      </c>
      <c r="L19" s="99">
        <v>27</v>
      </c>
      <c r="M19" s="99">
        <v>8910</v>
      </c>
      <c r="N19" s="99">
        <v>25</v>
      </c>
      <c r="O19" s="99">
        <v>8250</v>
      </c>
      <c r="P19" s="99">
        <v>22</v>
      </c>
      <c r="Q19" s="99">
        <v>7260</v>
      </c>
      <c r="R19" s="99">
        <v>17.419478171093896</v>
      </c>
      <c r="S19" s="99">
        <v>5748.4277964609855</v>
      </c>
      <c r="T19" s="99">
        <v>20</v>
      </c>
      <c r="U19" s="99">
        <v>6600</v>
      </c>
      <c r="V19" s="99">
        <v>30</v>
      </c>
      <c r="W19" s="99">
        <v>9900</v>
      </c>
      <c r="X19" s="99">
        <v>19</v>
      </c>
      <c r="Y19" s="99">
        <v>6270</v>
      </c>
      <c r="Z19" s="99">
        <v>20</v>
      </c>
      <c r="AA19" s="99">
        <v>6600</v>
      </c>
      <c r="AB19" s="99">
        <v>24</v>
      </c>
      <c r="AC19" s="99">
        <v>7920</v>
      </c>
      <c r="AD19" s="99">
        <v>27</v>
      </c>
      <c r="AE19" s="99">
        <v>8910</v>
      </c>
      <c r="AF19" s="99">
        <v>23.47874794736493</v>
      </c>
      <c r="AG19" s="99">
        <v>7747.986822630427</v>
      </c>
      <c r="AH19" s="99">
        <v>0</v>
      </c>
      <c r="AI19" s="99">
        <v>0</v>
      </c>
      <c r="AJ19" s="99">
        <v>25</v>
      </c>
      <c r="AK19" s="99">
        <v>8250</v>
      </c>
      <c r="AL19" s="99">
        <v>20</v>
      </c>
      <c r="AM19" s="99">
        <v>6600</v>
      </c>
      <c r="AN19" s="99">
        <v>27</v>
      </c>
      <c r="AO19" s="99">
        <v>8910</v>
      </c>
      <c r="AP19" s="99">
        <v>30</v>
      </c>
      <c r="AQ19" s="99">
        <v>9900</v>
      </c>
      <c r="AR19" s="99">
        <v>30</v>
      </c>
      <c r="AS19" s="99">
        <v>9900</v>
      </c>
      <c r="AT19" s="99">
        <v>10.93234201581177</v>
      </c>
      <c r="AU19" s="99">
        <v>3607.672865217884</v>
      </c>
      <c r="AV19" s="99">
        <v>23</v>
      </c>
      <c r="AW19" s="99">
        <v>7590</v>
      </c>
      <c r="AX19" s="99">
        <v>21</v>
      </c>
      <c r="AY19" s="99">
        <v>6930</v>
      </c>
      <c r="AZ19" s="99">
        <v>27</v>
      </c>
      <c r="BA19" s="99">
        <v>8910</v>
      </c>
      <c r="BB19" s="99">
        <v>26</v>
      </c>
      <c r="BC19" s="99">
        <v>8580</v>
      </c>
      <c r="BD19" s="99">
        <v>19</v>
      </c>
      <c r="BE19" s="99">
        <v>6270</v>
      </c>
      <c r="BF19" s="99">
        <v>24</v>
      </c>
      <c r="BG19" s="99">
        <v>7920</v>
      </c>
      <c r="BH19" s="99">
        <v>29.755906429000486</v>
      </c>
      <c r="BI19" s="99">
        <v>9819.4491215701601</v>
      </c>
      <c r="BJ19" s="99">
        <v>20.370826757468354</v>
      </c>
      <c r="BK19" s="99">
        <v>6722.3728299645572</v>
      </c>
      <c r="BL19" s="99">
        <v>16.78200736341736</v>
      </c>
      <c r="BM19" s="99">
        <v>5538.0624299277288</v>
      </c>
      <c r="BN19" s="99">
        <v>10.897070068449841</v>
      </c>
      <c r="BO19" s="99">
        <v>3596.0331225884474</v>
      </c>
      <c r="BP19" s="99">
        <v>20</v>
      </c>
      <c r="BQ19" s="99">
        <v>6600</v>
      </c>
      <c r="BR19" s="99">
        <v>26.099371715145434</v>
      </c>
      <c r="BS19" s="99">
        <v>8612.792665997993</v>
      </c>
      <c r="BT19" s="99">
        <v>29</v>
      </c>
      <c r="BU19" s="99">
        <v>9570</v>
      </c>
      <c r="BV19" s="99">
        <v>25.643586666666661</v>
      </c>
      <c r="BW19" s="99">
        <v>8462.3835999999974</v>
      </c>
      <c r="BX19" s="99">
        <v>15.921207797301198</v>
      </c>
      <c r="BY19" s="99">
        <v>5253.9985731093957</v>
      </c>
      <c r="BZ19" s="99">
        <v>0</v>
      </c>
      <c r="CA19" s="99">
        <v>0</v>
      </c>
      <c r="CB19" s="99">
        <v>19</v>
      </c>
      <c r="CC19" s="99">
        <v>6270</v>
      </c>
      <c r="CD19" s="99">
        <v>37</v>
      </c>
      <c r="CE19" s="99">
        <v>12210</v>
      </c>
      <c r="CF19" s="99">
        <v>31</v>
      </c>
      <c r="CG19" s="99">
        <v>10230</v>
      </c>
      <c r="CH19" s="99">
        <v>12.480245370293666</v>
      </c>
      <c r="CI19" s="99">
        <v>4118.4809721969095</v>
      </c>
      <c r="CJ19" s="99">
        <v>0</v>
      </c>
      <c r="CK19" s="99">
        <v>0</v>
      </c>
      <c r="CL19" s="99">
        <v>0</v>
      </c>
      <c r="CM19" s="99">
        <v>0</v>
      </c>
      <c r="CN19" s="99">
        <v>23</v>
      </c>
      <c r="CO19" s="99">
        <v>7590</v>
      </c>
      <c r="CP19" s="99">
        <v>20</v>
      </c>
      <c r="CQ19" s="99">
        <v>6600</v>
      </c>
      <c r="CR19" s="99">
        <v>17.293199190724646</v>
      </c>
      <c r="CS19" s="99">
        <v>5706.7557329391329</v>
      </c>
      <c r="CT19" s="99">
        <v>9.262545834483193</v>
      </c>
      <c r="CU19" s="99">
        <v>3056.6401253794538</v>
      </c>
    </row>
    <row r="20" spans="2:99">
      <c r="B20" s="98" t="s">
        <v>127</v>
      </c>
      <c r="C20" s="98" t="s">
        <v>185</v>
      </c>
      <c r="D20" s="99">
        <v>0</v>
      </c>
      <c r="E20" s="99">
        <v>0</v>
      </c>
      <c r="F20" s="99">
        <v>0</v>
      </c>
      <c r="G20" s="99">
        <v>0</v>
      </c>
      <c r="H20" s="99">
        <v>21.577584794363393</v>
      </c>
      <c r="I20" s="99">
        <v>6188.4513190234211</v>
      </c>
      <c r="J20" s="99">
        <v>17.567588691268227</v>
      </c>
      <c r="K20" s="99">
        <v>5038.3844366557278</v>
      </c>
      <c r="L20" s="99">
        <v>36</v>
      </c>
      <c r="M20" s="99">
        <v>10324.800000000001</v>
      </c>
      <c r="N20" s="99">
        <v>51</v>
      </c>
      <c r="O20" s="99">
        <v>14626.800000000001</v>
      </c>
      <c r="P20" s="99">
        <v>45</v>
      </c>
      <c r="Q20" s="99">
        <v>12906</v>
      </c>
      <c r="R20" s="99">
        <v>22.476746027217931</v>
      </c>
      <c r="S20" s="99">
        <v>6446.3307606061026</v>
      </c>
      <c r="T20" s="99">
        <v>52</v>
      </c>
      <c r="U20" s="99">
        <v>14913.6</v>
      </c>
      <c r="V20" s="99">
        <v>50</v>
      </c>
      <c r="W20" s="99">
        <v>14340</v>
      </c>
      <c r="X20" s="99">
        <v>58</v>
      </c>
      <c r="Y20" s="99">
        <v>16634.400000000001</v>
      </c>
      <c r="Z20" s="99">
        <v>57</v>
      </c>
      <c r="AA20" s="99">
        <v>16347.6</v>
      </c>
      <c r="AB20" s="99">
        <v>64</v>
      </c>
      <c r="AC20" s="99">
        <v>18355.2</v>
      </c>
      <c r="AD20" s="99">
        <v>70</v>
      </c>
      <c r="AE20" s="99">
        <v>20076</v>
      </c>
      <c r="AF20" s="99">
        <v>46.018345976835263</v>
      </c>
      <c r="AG20" s="99">
        <v>13198.061626156354</v>
      </c>
      <c r="AH20" s="99">
        <v>0</v>
      </c>
      <c r="AI20" s="99">
        <v>0</v>
      </c>
      <c r="AJ20" s="99">
        <v>47</v>
      </c>
      <c r="AK20" s="99">
        <v>13479.6</v>
      </c>
      <c r="AL20" s="99">
        <v>35</v>
      </c>
      <c r="AM20" s="99">
        <v>10038</v>
      </c>
      <c r="AN20" s="99">
        <v>51</v>
      </c>
      <c r="AO20" s="99">
        <v>14626.800000000001</v>
      </c>
      <c r="AP20" s="99">
        <v>60</v>
      </c>
      <c r="AQ20" s="99">
        <v>17208</v>
      </c>
      <c r="AR20" s="99">
        <v>52</v>
      </c>
      <c r="AS20" s="99">
        <v>14913.6</v>
      </c>
      <c r="AT20" s="99">
        <v>27.82777967661178</v>
      </c>
      <c r="AU20" s="99">
        <v>7981.0072112522585</v>
      </c>
      <c r="AV20" s="99">
        <v>45</v>
      </c>
      <c r="AW20" s="99">
        <v>12906</v>
      </c>
      <c r="AX20" s="99">
        <v>53</v>
      </c>
      <c r="AY20" s="99">
        <v>15200.400000000001</v>
      </c>
      <c r="AZ20" s="99">
        <v>55</v>
      </c>
      <c r="BA20" s="99">
        <v>15774</v>
      </c>
      <c r="BB20" s="99">
        <v>57</v>
      </c>
      <c r="BC20" s="99">
        <v>16347.6</v>
      </c>
      <c r="BD20" s="99">
        <v>67</v>
      </c>
      <c r="BE20" s="99">
        <v>19215.600000000002</v>
      </c>
      <c r="BF20" s="99">
        <v>56</v>
      </c>
      <c r="BG20" s="99">
        <v>16060.800000000001</v>
      </c>
      <c r="BH20" s="99">
        <v>58.581940782094705</v>
      </c>
      <c r="BI20" s="99">
        <v>16801.300616304761</v>
      </c>
      <c r="BJ20" s="99">
        <v>46.055782234276286</v>
      </c>
      <c r="BK20" s="99">
        <v>13208.798344790439</v>
      </c>
      <c r="BL20" s="99">
        <v>24.862233130988681</v>
      </c>
      <c r="BM20" s="99">
        <v>7130.488461967554</v>
      </c>
      <c r="BN20" s="99">
        <v>18.729339180148163</v>
      </c>
      <c r="BO20" s="99">
        <v>5371.5744768664936</v>
      </c>
      <c r="BP20" s="99">
        <v>49</v>
      </c>
      <c r="BQ20" s="99">
        <v>14053.2</v>
      </c>
      <c r="BR20" s="99">
        <v>35.524144834503502</v>
      </c>
      <c r="BS20" s="99">
        <v>10188.324738535604</v>
      </c>
      <c r="BT20" s="99">
        <v>43</v>
      </c>
      <c r="BU20" s="99">
        <v>12332.4</v>
      </c>
      <c r="BV20" s="99">
        <v>54.21786895238094</v>
      </c>
      <c r="BW20" s="99">
        <v>15549.684815542854</v>
      </c>
      <c r="BX20" s="99">
        <v>30.477740640548003</v>
      </c>
      <c r="BY20" s="99">
        <v>8741.0160157091668</v>
      </c>
      <c r="BZ20" s="99">
        <v>0</v>
      </c>
      <c r="CA20" s="99">
        <v>0</v>
      </c>
      <c r="CB20" s="99">
        <v>60</v>
      </c>
      <c r="CC20" s="99">
        <v>17208</v>
      </c>
      <c r="CD20" s="99">
        <v>64</v>
      </c>
      <c r="CE20" s="99">
        <v>18355.2</v>
      </c>
      <c r="CF20" s="99">
        <v>68</v>
      </c>
      <c r="CG20" s="99">
        <v>19502.400000000001</v>
      </c>
      <c r="CH20" s="99">
        <v>30.045035150706973</v>
      </c>
      <c r="CI20" s="99">
        <v>8616.9160812227601</v>
      </c>
      <c r="CJ20" s="99">
        <v>0</v>
      </c>
      <c r="CK20" s="99">
        <v>0</v>
      </c>
      <c r="CL20" s="99">
        <v>0</v>
      </c>
      <c r="CM20" s="99">
        <v>0</v>
      </c>
      <c r="CN20" s="99">
        <v>36</v>
      </c>
      <c r="CO20" s="99">
        <v>10324.800000000001</v>
      </c>
      <c r="CP20" s="99">
        <v>35</v>
      </c>
      <c r="CQ20" s="99">
        <v>10038</v>
      </c>
      <c r="CR20" s="99">
        <v>28.821998651207743</v>
      </c>
      <c r="CS20" s="99">
        <v>8266.1492131663817</v>
      </c>
      <c r="CT20" s="99">
        <v>16.540260418719988</v>
      </c>
      <c r="CU20" s="99">
        <v>4743.7466880888933</v>
      </c>
    </row>
    <row r="21" spans="2:99">
      <c r="C21" s="98" t="s">
        <v>186</v>
      </c>
      <c r="D21" s="99">
        <v>0</v>
      </c>
      <c r="E21" s="99">
        <v>0</v>
      </c>
      <c r="F21" s="99">
        <v>0</v>
      </c>
      <c r="G21" s="99">
        <v>0</v>
      </c>
      <c r="H21" s="99">
        <v>25.753891528756306</v>
      </c>
      <c r="I21" s="99">
        <v>1607.0428313943935</v>
      </c>
      <c r="J21" s="99">
        <v>18.384685839699305</v>
      </c>
      <c r="K21" s="99">
        <v>1147.2043963972367</v>
      </c>
      <c r="L21" s="99">
        <v>37</v>
      </c>
      <c r="M21" s="99">
        <v>2308.7999999999997</v>
      </c>
      <c r="N21" s="99">
        <v>54</v>
      </c>
      <c r="O21" s="99">
        <v>3369.6</v>
      </c>
      <c r="P21" s="99">
        <v>47</v>
      </c>
      <c r="Q21" s="99">
        <v>2932.7999999999997</v>
      </c>
      <c r="R21" s="99">
        <v>23.038664677898378</v>
      </c>
      <c r="S21" s="99">
        <v>1437.6126759008587</v>
      </c>
      <c r="T21" s="99">
        <v>51</v>
      </c>
      <c r="U21" s="99">
        <v>3182.4</v>
      </c>
      <c r="V21" s="99">
        <v>45</v>
      </c>
      <c r="W21" s="99">
        <v>2808</v>
      </c>
      <c r="X21" s="99">
        <v>56</v>
      </c>
      <c r="Y21" s="99">
        <v>3494.4</v>
      </c>
      <c r="Z21" s="99">
        <v>63</v>
      </c>
      <c r="AA21" s="99">
        <v>3931.2</v>
      </c>
      <c r="AB21" s="99">
        <v>66</v>
      </c>
      <c r="AC21" s="99">
        <v>4118.3999999999996</v>
      </c>
      <c r="AD21" s="99">
        <v>66</v>
      </c>
      <c r="AE21" s="99">
        <v>4118.3999999999996</v>
      </c>
      <c r="AF21" s="99">
        <v>46.95749589472986</v>
      </c>
      <c r="AG21" s="99">
        <v>2930.1477438311431</v>
      </c>
      <c r="AH21" s="99">
        <v>0</v>
      </c>
      <c r="AI21" s="99">
        <v>0</v>
      </c>
      <c r="AJ21" s="99">
        <v>48</v>
      </c>
      <c r="AK21" s="99">
        <v>2995.2</v>
      </c>
      <c r="AL21" s="99">
        <v>37</v>
      </c>
      <c r="AM21" s="99">
        <v>2308.7999999999997</v>
      </c>
      <c r="AN21" s="99">
        <v>53</v>
      </c>
      <c r="AO21" s="99">
        <v>3307.2</v>
      </c>
      <c r="AP21" s="99">
        <v>57</v>
      </c>
      <c r="AQ21" s="99">
        <v>3556.7999999999997</v>
      </c>
      <c r="AR21" s="99">
        <v>49</v>
      </c>
      <c r="AS21" s="99">
        <v>3057.6</v>
      </c>
      <c r="AT21" s="99">
        <v>25.343156491200009</v>
      </c>
      <c r="AU21" s="99">
        <v>1581.4129650508805</v>
      </c>
      <c r="AV21" s="99">
        <v>46</v>
      </c>
      <c r="AW21" s="99">
        <v>2870.4</v>
      </c>
      <c r="AX21" s="99">
        <v>65</v>
      </c>
      <c r="AY21" s="99">
        <v>4056</v>
      </c>
      <c r="AZ21" s="99">
        <v>62</v>
      </c>
      <c r="BA21" s="99">
        <v>3868.7999999999997</v>
      </c>
      <c r="BB21" s="99">
        <v>56</v>
      </c>
      <c r="BC21" s="99">
        <v>3494.4</v>
      </c>
      <c r="BD21" s="99">
        <v>62</v>
      </c>
      <c r="BE21" s="99">
        <v>3868.7999999999997</v>
      </c>
      <c r="BF21" s="99">
        <v>55</v>
      </c>
      <c r="BG21" s="99">
        <v>3432</v>
      </c>
      <c r="BH21" s="99">
        <v>52.072836250750854</v>
      </c>
      <c r="BI21" s="99">
        <v>3249.3449820468531</v>
      </c>
      <c r="BJ21" s="99">
        <v>42.513029754716563</v>
      </c>
      <c r="BK21" s="99">
        <v>2652.8130566943132</v>
      </c>
      <c r="BL21" s="99">
        <v>24.240677302713962</v>
      </c>
      <c r="BM21" s="99">
        <v>1512.6182636893511</v>
      </c>
      <c r="BN21" s="99">
        <v>17.367205421591933</v>
      </c>
      <c r="BO21" s="99">
        <v>1083.7136183073367</v>
      </c>
      <c r="BP21" s="99">
        <v>50</v>
      </c>
      <c r="BQ21" s="99">
        <v>3120</v>
      </c>
      <c r="BR21" s="99">
        <v>33.349197191574717</v>
      </c>
      <c r="BS21" s="99">
        <v>2080.9899047542622</v>
      </c>
      <c r="BT21" s="99">
        <v>43</v>
      </c>
      <c r="BU21" s="99">
        <v>2683.2</v>
      </c>
      <c r="BV21" s="99">
        <v>53.485195047619044</v>
      </c>
      <c r="BW21" s="99">
        <v>3337.4761709714285</v>
      </c>
      <c r="BX21" s="99">
        <v>31.842415594602397</v>
      </c>
      <c r="BY21" s="99">
        <v>1986.9667331031894</v>
      </c>
      <c r="BZ21" s="99">
        <v>0</v>
      </c>
      <c r="CA21" s="99">
        <v>0</v>
      </c>
      <c r="CB21" s="99">
        <v>59</v>
      </c>
      <c r="CC21" s="99">
        <v>3681.6</v>
      </c>
      <c r="CD21" s="99">
        <v>58</v>
      </c>
      <c r="CE21" s="99">
        <v>3619.2</v>
      </c>
      <c r="CF21" s="99">
        <v>64</v>
      </c>
      <c r="CG21" s="99">
        <v>3993.6</v>
      </c>
      <c r="CH21" s="99">
        <v>31.893960390750479</v>
      </c>
      <c r="CI21" s="99">
        <v>1990.1831283828299</v>
      </c>
      <c r="CJ21" s="99">
        <v>0</v>
      </c>
      <c r="CK21" s="99">
        <v>0</v>
      </c>
      <c r="CL21" s="99">
        <v>0</v>
      </c>
      <c r="CM21" s="99">
        <v>0</v>
      </c>
      <c r="CN21" s="99">
        <v>42</v>
      </c>
      <c r="CO21" s="99">
        <v>2620.7999999999997</v>
      </c>
      <c r="CP21" s="99">
        <v>38</v>
      </c>
      <c r="CQ21" s="99">
        <v>2371.1999999999998</v>
      </c>
      <c r="CR21" s="99">
        <v>31.383954086870652</v>
      </c>
      <c r="CS21" s="99">
        <v>1958.3587350207285</v>
      </c>
      <c r="CT21" s="99">
        <v>15.217039585222388</v>
      </c>
      <c r="CU21" s="99">
        <v>949.543270117877</v>
      </c>
    </row>
    <row r="22" spans="2:99">
      <c r="C22" s="98" t="s">
        <v>187</v>
      </c>
      <c r="D22" s="99">
        <v>0</v>
      </c>
      <c r="E22" s="99">
        <v>0</v>
      </c>
      <c r="F22" s="99">
        <v>0</v>
      </c>
      <c r="G22" s="99">
        <v>0</v>
      </c>
      <c r="H22" s="99">
        <v>22.27363591676221</v>
      </c>
      <c r="I22" s="99">
        <v>4169.6246436178853</v>
      </c>
      <c r="J22" s="99">
        <v>17.567588691268227</v>
      </c>
      <c r="K22" s="99">
        <v>3288.6526030054119</v>
      </c>
      <c r="L22" s="99">
        <v>37</v>
      </c>
      <c r="M22" s="99">
        <v>6926.4</v>
      </c>
      <c r="N22" s="99">
        <v>54</v>
      </c>
      <c r="O22" s="99">
        <v>10108.799999999999</v>
      </c>
      <c r="P22" s="99">
        <v>55</v>
      </c>
      <c r="Q22" s="99">
        <v>10296</v>
      </c>
      <c r="R22" s="99">
        <v>26.972095232661516</v>
      </c>
      <c r="S22" s="99">
        <v>5049.1762275542351</v>
      </c>
      <c r="T22" s="99">
        <v>47</v>
      </c>
      <c r="U22" s="99">
        <v>8798.4</v>
      </c>
      <c r="V22" s="99">
        <v>50</v>
      </c>
      <c r="W22" s="99">
        <v>9360</v>
      </c>
      <c r="X22" s="99">
        <v>62</v>
      </c>
      <c r="Y22" s="99">
        <v>11606.4</v>
      </c>
      <c r="Z22" s="99">
        <v>63</v>
      </c>
      <c r="AA22" s="99">
        <v>11793.599999999999</v>
      </c>
      <c r="AB22" s="99">
        <v>64</v>
      </c>
      <c r="AC22" s="99">
        <v>11980.8</v>
      </c>
      <c r="AD22" s="99">
        <v>65</v>
      </c>
      <c r="AE22" s="99">
        <v>12168</v>
      </c>
      <c r="AF22" s="99">
        <v>48.83579573051906</v>
      </c>
      <c r="AG22" s="99">
        <v>9142.0609607531678</v>
      </c>
      <c r="AH22" s="99">
        <v>0</v>
      </c>
      <c r="AI22" s="99">
        <v>0</v>
      </c>
      <c r="AJ22" s="99">
        <v>55</v>
      </c>
      <c r="AK22" s="99">
        <v>10296</v>
      </c>
      <c r="AL22" s="99">
        <v>31</v>
      </c>
      <c r="AM22" s="99">
        <v>5803.2</v>
      </c>
      <c r="AN22" s="99">
        <v>58</v>
      </c>
      <c r="AO22" s="99">
        <v>10857.599999999999</v>
      </c>
      <c r="AP22" s="99">
        <v>57</v>
      </c>
      <c r="AQ22" s="99">
        <v>10670.4</v>
      </c>
      <c r="AR22" s="99">
        <v>48</v>
      </c>
      <c r="AS22" s="99">
        <v>8985.5999999999985</v>
      </c>
      <c r="AT22" s="99">
        <v>25.343156491200009</v>
      </c>
      <c r="AU22" s="99">
        <v>4744.2388951526418</v>
      </c>
      <c r="AV22" s="99">
        <v>39</v>
      </c>
      <c r="AW22" s="99">
        <v>7300.7999999999993</v>
      </c>
      <c r="AX22" s="99">
        <v>56</v>
      </c>
      <c r="AY22" s="99">
        <v>10483.199999999999</v>
      </c>
      <c r="AZ22" s="99">
        <v>52</v>
      </c>
      <c r="BA22" s="99">
        <v>9734.4</v>
      </c>
      <c r="BB22" s="99">
        <v>53</v>
      </c>
      <c r="BC22" s="99">
        <v>9921.5999999999985</v>
      </c>
      <c r="BD22" s="99">
        <v>63</v>
      </c>
      <c r="BE22" s="99">
        <v>11793.599999999999</v>
      </c>
      <c r="BF22" s="99">
        <v>64</v>
      </c>
      <c r="BG22" s="99">
        <v>11980.8</v>
      </c>
      <c r="BH22" s="99">
        <v>50.213092098938318</v>
      </c>
      <c r="BI22" s="99">
        <v>9399.8908409212527</v>
      </c>
      <c r="BJ22" s="99">
        <v>46.941470354166213</v>
      </c>
      <c r="BK22" s="99">
        <v>8787.4432502999152</v>
      </c>
      <c r="BL22" s="99">
        <v>24.862233130988681</v>
      </c>
      <c r="BM22" s="99">
        <v>4654.2100421210807</v>
      </c>
      <c r="BN22" s="99">
        <v>16.686138542313817</v>
      </c>
      <c r="BO22" s="99">
        <v>3123.6451351211463</v>
      </c>
      <c r="BP22" s="99">
        <v>50</v>
      </c>
      <c r="BQ22" s="99">
        <v>9360</v>
      </c>
      <c r="BR22" s="99">
        <v>37.699092477432288</v>
      </c>
      <c r="BS22" s="99">
        <v>7057.270111775324</v>
      </c>
      <c r="BT22" s="99">
        <v>41</v>
      </c>
      <c r="BU22" s="99">
        <v>7675.2</v>
      </c>
      <c r="BV22" s="99">
        <v>54.21786895238094</v>
      </c>
      <c r="BW22" s="99">
        <v>10149.585067885711</v>
      </c>
      <c r="BX22" s="99">
        <v>30.02284898919654</v>
      </c>
      <c r="BY22" s="99">
        <v>5620.2773307775915</v>
      </c>
      <c r="BZ22" s="99">
        <v>0</v>
      </c>
      <c r="CA22" s="99">
        <v>0</v>
      </c>
      <c r="CB22" s="99">
        <v>63</v>
      </c>
      <c r="CC22" s="99">
        <v>11793.599999999999</v>
      </c>
      <c r="CD22" s="99">
        <v>63</v>
      </c>
      <c r="CE22" s="99">
        <v>11793.599999999999</v>
      </c>
      <c r="CF22" s="99">
        <v>68</v>
      </c>
      <c r="CG22" s="99">
        <v>12729.599999999999</v>
      </c>
      <c r="CH22" s="99">
        <v>30.507266460717851</v>
      </c>
      <c r="CI22" s="99">
        <v>5710.9602814463815</v>
      </c>
      <c r="CJ22" s="99">
        <v>0</v>
      </c>
      <c r="CK22" s="99">
        <v>0</v>
      </c>
      <c r="CL22" s="99">
        <v>0</v>
      </c>
      <c r="CM22" s="99">
        <v>0</v>
      </c>
      <c r="CN22" s="99">
        <v>41</v>
      </c>
      <c r="CO22" s="99">
        <v>7675.2</v>
      </c>
      <c r="CP22" s="99">
        <v>39</v>
      </c>
      <c r="CQ22" s="99">
        <v>7300.7999999999993</v>
      </c>
      <c r="CR22" s="99">
        <v>29.46248751012347</v>
      </c>
      <c r="CS22" s="99">
        <v>5515.3776618951133</v>
      </c>
      <c r="CT22" s="99">
        <v>15.547844793596788</v>
      </c>
      <c r="CU22" s="99">
        <v>2910.5565453613185</v>
      </c>
    </row>
    <row r="23" spans="2:99">
      <c r="C23" s="98" t="s">
        <v>188</v>
      </c>
      <c r="D23" s="99">
        <v>0</v>
      </c>
      <c r="E23" s="99">
        <v>0</v>
      </c>
      <c r="F23" s="99">
        <v>0</v>
      </c>
      <c r="G23" s="99">
        <v>0</v>
      </c>
      <c r="H23" s="99">
        <v>25.057840406357489</v>
      </c>
      <c r="I23" s="99">
        <v>7367.0050794691015</v>
      </c>
      <c r="J23" s="99">
        <v>17.159040117052683</v>
      </c>
      <c r="K23" s="99">
        <v>5044.7577944134891</v>
      </c>
      <c r="L23" s="99">
        <v>38</v>
      </c>
      <c r="M23" s="99">
        <v>11172</v>
      </c>
      <c r="N23" s="99">
        <v>58</v>
      </c>
      <c r="O23" s="99">
        <v>17052</v>
      </c>
      <c r="P23" s="99">
        <v>48</v>
      </c>
      <c r="Q23" s="99">
        <v>14112</v>
      </c>
      <c r="R23" s="99">
        <v>23.038664677898378</v>
      </c>
      <c r="S23" s="99">
        <v>6773.3674153021229</v>
      </c>
      <c r="T23" s="99">
        <v>48</v>
      </c>
      <c r="U23" s="99">
        <v>14112</v>
      </c>
      <c r="V23" s="99">
        <v>48</v>
      </c>
      <c r="W23" s="99">
        <v>14112</v>
      </c>
      <c r="X23" s="99">
        <v>64</v>
      </c>
      <c r="Y23" s="99">
        <v>18816</v>
      </c>
      <c r="Z23" s="99">
        <v>59</v>
      </c>
      <c r="AA23" s="99">
        <v>17346</v>
      </c>
      <c r="AB23" s="99">
        <v>65</v>
      </c>
      <c r="AC23" s="99">
        <v>19110</v>
      </c>
      <c r="AD23" s="99">
        <v>63</v>
      </c>
      <c r="AE23" s="99">
        <v>18522</v>
      </c>
      <c r="AF23" s="99">
        <v>52.592395402097452</v>
      </c>
      <c r="AG23" s="99">
        <v>15462.164248216652</v>
      </c>
      <c r="AH23" s="99">
        <v>0</v>
      </c>
      <c r="AI23" s="99">
        <v>0</v>
      </c>
      <c r="AJ23" s="99">
        <v>46</v>
      </c>
      <c r="AK23" s="99">
        <v>13524</v>
      </c>
      <c r="AL23" s="99">
        <v>36</v>
      </c>
      <c r="AM23" s="99">
        <v>10584</v>
      </c>
      <c r="AN23" s="99">
        <v>48</v>
      </c>
      <c r="AO23" s="99">
        <v>14112</v>
      </c>
      <c r="AP23" s="99">
        <v>51</v>
      </c>
      <c r="AQ23" s="99">
        <v>14994</v>
      </c>
      <c r="AR23" s="99">
        <v>54</v>
      </c>
      <c r="AS23" s="99">
        <v>15876</v>
      </c>
      <c r="AT23" s="99">
        <v>25.840081128282367</v>
      </c>
      <c r="AU23" s="99">
        <v>7596.9838517150156</v>
      </c>
      <c r="AV23" s="99">
        <v>46</v>
      </c>
      <c r="AW23" s="99">
        <v>13524</v>
      </c>
      <c r="AX23" s="99">
        <v>54</v>
      </c>
      <c r="AY23" s="99">
        <v>15876</v>
      </c>
      <c r="AZ23" s="99">
        <v>50</v>
      </c>
      <c r="BA23" s="99">
        <v>14700</v>
      </c>
      <c r="BB23" s="99">
        <v>49</v>
      </c>
      <c r="BC23" s="99">
        <v>14406</v>
      </c>
      <c r="BD23" s="99">
        <v>71</v>
      </c>
      <c r="BE23" s="99">
        <v>20874</v>
      </c>
      <c r="BF23" s="99">
        <v>64</v>
      </c>
      <c r="BG23" s="99">
        <v>18816</v>
      </c>
      <c r="BH23" s="99">
        <v>56.72219663028217</v>
      </c>
      <c r="BI23" s="99">
        <v>16676.325809302958</v>
      </c>
      <c r="BJ23" s="99">
        <v>43.398717874606497</v>
      </c>
      <c r="BK23" s="99">
        <v>12759.223055134311</v>
      </c>
      <c r="BL23" s="99">
        <v>23.619121474439243</v>
      </c>
      <c r="BM23" s="99">
        <v>6944.0217134851373</v>
      </c>
      <c r="BN23" s="99">
        <v>17.70773886123099</v>
      </c>
      <c r="BO23" s="99">
        <v>5206.0752252019111</v>
      </c>
      <c r="BP23" s="99">
        <v>48</v>
      </c>
      <c r="BQ23" s="99">
        <v>14112</v>
      </c>
      <c r="BR23" s="99">
        <v>37.699092477432288</v>
      </c>
      <c r="BS23" s="99">
        <v>11083.533188365092</v>
      </c>
      <c r="BT23" s="99">
        <v>41</v>
      </c>
      <c r="BU23" s="99">
        <v>12054</v>
      </c>
      <c r="BV23" s="99">
        <v>49.089151619047612</v>
      </c>
      <c r="BW23" s="99">
        <v>14432.210575999998</v>
      </c>
      <c r="BX23" s="99">
        <v>28.658174035142153</v>
      </c>
      <c r="BY23" s="99">
        <v>8425.5031663317932</v>
      </c>
      <c r="BZ23" s="99">
        <v>0</v>
      </c>
      <c r="CA23" s="99">
        <v>0</v>
      </c>
      <c r="CB23" s="99">
        <v>59</v>
      </c>
      <c r="CC23" s="99">
        <v>17346</v>
      </c>
      <c r="CD23" s="99">
        <v>62</v>
      </c>
      <c r="CE23" s="99">
        <v>18228</v>
      </c>
      <c r="CF23" s="99">
        <v>59</v>
      </c>
      <c r="CG23" s="99">
        <v>17346</v>
      </c>
      <c r="CH23" s="99">
        <v>29.582803840696094</v>
      </c>
      <c r="CI23" s="99">
        <v>8697.3443291646508</v>
      </c>
      <c r="CJ23" s="99">
        <v>0</v>
      </c>
      <c r="CK23" s="99">
        <v>0</v>
      </c>
      <c r="CL23" s="99">
        <v>0</v>
      </c>
      <c r="CM23" s="99">
        <v>0</v>
      </c>
      <c r="CN23" s="99">
        <v>40</v>
      </c>
      <c r="CO23" s="99">
        <v>11760</v>
      </c>
      <c r="CP23" s="99">
        <v>37</v>
      </c>
      <c r="CQ23" s="99">
        <v>10878</v>
      </c>
      <c r="CR23" s="99">
        <v>32.664931804702114</v>
      </c>
      <c r="CS23" s="99">
        <v>9603.4899505824214</v>
      </c>
      <c r="CT23" s="99">
        <v>16.209455210345588</v>
      </c>
      <c r="CU23" s="99">
        <v>4765.5798318416028</v>
      </c>
    </row>
    <row r="24" spans="2:99">
      <c r="C24" s="98" t="s">
        <v>189</v>
      </c>
      <c r="D24" s="99">
        <v>0</v>
      </c>
      <c r="E24" s="99">
        <v>0</v>
      </c>
      <c r="F24" s="99">
        <v>0</v>
      </c>
      <c r="G24" s="99">
        <v>0</v>
      </c>
      <c r="H24" s="99">
        <v>22.27363591676221</v>
      </c>
      <c r="I24" s="99">
        <v>8178.879108635083</v>
      </c>
      <c r="J24" s="99">
        <v>18.384685839699305</v>
      </c>
      <c r="K24" s="99">
        <v>6750.8566403375844</v>
      </c>
      <c r="L24" s="99">
        <v>37</v>
      </c>
      <c r="M24" s="99">
        <v>13586.4</v>
      </c>
      <c r="N24" s="99">
        <v>59</v>
      </c>
      <c r="O24" s="99">
        <v>21664.799999999999</v>
      </c>
      <c r="P24" s="99">
        <v>46</v>
      </c>
      <c r="Q24" s="99">
        <v>16891.2</v>
      </c>
      <c r="R24" s="99">
        <v>22.476746027217931</v>
      </c>
      <c r="S24" s="99">
        <v>8253.4611411944243</v>
      </c>
      <c r="T24" s="99">
        <v>51</v>
      </c>
      <c r="U24" s="99">
        <v>18727.2</v>
      </c>
      <c r="V24" s="99">
        <v>51</v>
      </c>
      <c r="W24" s="99">
        <v>18727.2</v>
      </c>
      <c r="X24" s="99">
        <v>53</v>
      </c>
      <c r="Y24" s="99">
        <v>19461.599999999999</v>
      </c>
      <c r="Z24" s="99">
        <v>58</v>
      </c>
      <c r="AA24" s="99">
        <v>21297.599999999999</v>
      </c>
      <c r="AB24" s="99">
        <v>57</v>
      </c>
      <c r="AC24" s="99">
        <v>20930.399999999998</v>
      </c>
      <c r="AD24" s="99">
        <v>67</v>
      </c>
      <c r="AE24" s="99">
        <v>24602.399999999998</v>
      </c>
      <c r="AF24" s="99">
        <v>54.470695237886638</v>
      </c>
      <c r="AG24" s="99">
        <v>20001.639291351974</v>
      </c>
      <c r="AH24" s="99">
        <v>0</v>
      </c>
      <c r="AI24" s="99">
        <v>0</v>
      </c>
      <c r="AJ24" s="99">
        <v>51</v>
      </c>
      <c r="AK24" s="99">
        <v>18727.2</v>
      </c>
      <c r="AL24" s="99">
        <v>33</v>
      </c>
      <c r="AM24" s="99">
        <v>12117.6</v>
      </c>
      <c r="AN24" s="99">
        <v>55</v>
      </c>
      <c r="AO24" s="99">
        <v>20196</v>
      </c>
      <c r="AP24" s="99">
        <v>55</v>
      </c>
      <c r="AQ24" s="99">
        <v>20196</v>
      </c>
      <c r="AR24" s="99">
        <v>51</v>
      </c>
      <c r="AS24" s="99">
        <v>18727.2</v>
      </c>
      <c r="AT24" s="99">
        <v>26.833930402447066</v>
      </c>
      <c r="AU24" s="99">
        <v>9853.4192437785623</v>
      </c>
      <c r="AV24" s="99">
        <v>45</v>
      </c>
      <c r="AW24" s="99">
        <v>16524</v>
      </c>
      <c r="AX24" s="99">
        <v>57</v>
      </c>
      <c r="AY24" s="99">
        <v>20930.399999999998</v>
      </c>
      <c r="AZ24" s="99">
        <v>55</v>
      </c>
      <c r="BA24" s="99">
        <v>20196</v>
      </c>
      <c r="BB24" s="99">
        <v>50</v>
      </c>
      <c r="BC24" s="99">
        <v>18360</v>
      </c>
      <c r="BD24" s="99">
        <v>63</v>
      </c>
      <c r="BE24" s="99">
        <v>23133.599999999999</v>
      </c>
      <c r="BF24" s="99">
        <v>59</v>
      </c>
      <c r="BG24" s="99">
        <v>21664.799999999999</v>
      </c>
      <c r="BH24" s="99">
        <v>52.072836250750854</v>
      </c>
      <c r="BI24" s="99">
        <v>19121.145471275711</v>
      </c>
      <c r="BJ24" s="99">
        <v>40.741653514936708</v>
      </c>
      <c r="BK24" s="99">
        <v>14960.335170684759</v>
      </c>
      <c r="BL24" s="99">
        <v>25.483788959263396</v>
      </c>
      <c r="BM24" s="99">
        <v>9357.6473058415195</v>
      </c>
      <c r="BN24" s="99">
        <v>17.026671981952877</v>
      </c>
      <c r="BO24" s="99">
        <v>6252.1939517730962</v>
      </c>
      <c r="BP24" s="99">
        <v>46</v>
      </c>
      <c r="BQ24" s="99">
        <v>16891.2</v>
      </c>
      <c r="BR24" s="99">
        <v>38.424075025075219</v>
      </c>
      <c r="BS24" s="99">
        <v>14109.320349207619</v>
      </c>
      <c r="BT24" s="99">
        <v>42</v>
      </c>
      <c r="BU24" s="99">
        <v>15422.4</v>
      </c>
      <c r="BV24" s="99">
        <v>52.752521142857134</v>
      </c>
      <c r="BW24" s="99">
        <v>19370.725763657138</v>
      </c>
      <c r="BX24" s="99">
        <v>27.74839073243923</v>
      </c>
      <c r="BY24" s="99">
        <v>10189.209076951685</v>
      </c>
      <c r="BZ24" s="99">
        <v>0</v>
      </c>
      <c r="CA24" s="99">
        <v>0</v>
      </c>
      <c r="CB24" s="99">
        <v>65</v>
      </c>
      <c r="CC24" s="99">
        <v>23868</v>
      </c>
      <c r="CD24" s="99">
        <v>62</v>
      </c>
      <c r="CE24" s="99">
        <v>22766.399999999998</v>
      </c>
      <c r="CF24" s="99">
        <v>60</v>
      </c>
      <c r="CG24" s="99">
        <v>22032</v>
      </c>
      <c r="CH24" s="99">
        <v>27.271647290641717</v>
      </c>
      <c r="CI24" s="99">
        <v>10014.148885123637</v>
      </c>
      <c r="CJ24" s="99">
        <v>0</v>
      </c>
      <c r="CK24" s="99">
        <v>0</v>
      </c>
      <c r="CL24" s="99">
        <v>0</v>
      </c>
      <c r="CM24" s="99">
        <v>0</v>
      </c>
      <c r="CN24" s="99">
        <v>36</v>
      </c>
      <c r="CO24" s="99">
        <v>13219.199999999999</v>
      </c>
      <c r="CP24" s="99">
        <v>36</v>
      </c>
      <c r="CQ24" s="99">
        <v>13219.199999999999</v>
      </c>
      <c r="CR24" s="99">
        <v>28.181509792292015</v>
      </c>
      <c r="CS24" s="99">
        <v>10348.250395729629</v>
      </c>
      <c r="CT24" s="99">
        <v>17.201870835468789</v>
      </c>
      <c r="CU24" s="99">
        <v>6316.5269707841389</v>
      </c>
    </row>
    <row r="25" spans="2:99">
      <c r="C25" s="98" t="s">
        <v>190</v>
      </c>
      <c r="D25" s="99">
        <v>0</v>
      </c>
      <c r="E25" s="99">
        <v>0</v>
      </c>
      <c r="F25" s="99">
        <v>0</v>
      </c>
      <c r="G25" s="99">
        <v>0</v>
      </c>
      <c r="H25" s="99">
        <v>22.27363591676221</v>
      </c>
      <c r="I25" s="99">
        <v>11813.936490250675</v>
      </c>
      <c r="J25" s="99">
        <v>18.384685839699305</v>
      </c>
      <c r="K25" s="99">
        <v>9751.2373693765112</v>
      </c>
      <c r="L25" s="99">
        <v>37</v>
      </c>
      <c r="M25" s="99">
        <v>19624.8</v>
      </c>
      <c r="N25" s="99">
        <v>59</v>
      </c>
      <c r="O25" s="99">
        <v>31293.599999999999</v>
      </c>
      <c r="P25" s="99">
        <v>47</v>
      </c>
      <c r="Q25" s="99">
        <v>24928.799999999999</v>
      </c>
      <c r="R25" s="99">
        <v>23.038664677898378</v>
      </c>
      <c r="S25" s="99">
        <v>12219.707745157299</v>
      </c>
      <c r="T25" s="99">
        <v>48</v>
      </c>
      <c r="U25" s="99">
        <v>25459.199999999997</v>
      </c>
      <c r="V25" s="99">
        <v>51</v>
      </c>
      <c r="W25" s="99">
        <v>27050.399999999998</v>
      </c>
      <c r="X25" s="99">
        <v>58</v>
      </c>
      <c r="Y25" s="99">
        <v>30763.199999999997</v>
      </c>
      <c r="Z25" s="99">
        <v>52</v>
      </c>
      <c r="AA25" s="99">
        <v>27580.799999999999</v>
      </c>
      <c r="AB25" s="99">
        <v>63</v>
      </c>
      <c r="AC25" s="99">
        <v>33415.199999999997</v>
      </c>
      <c r="AD25" s="99">
        <v>57</v>
      </c>
      <c r="AE25" s="99">
        <v>30232.799999999999</v>
      </c>
      <c r="AF25" s="99">
        <v>46.95749589472986</v>
      </c>
      <c r="AG25" s="99">
        <v>24906.255822564715</v>
      </c>
      <c r="AH25" s="99">
        <v>0</v>
      </c>
      <c r="AI25" s="99">
        <v>0</v>
      </c>
      <c r="AJ25" s="99">
        <v>46</v>
      </c>
      <c r="AK25" s="99">
        <v>24398.399999999998</v>
      </c>
      <c r="AL25" s="99">
        <v>31</v>
      </c>
      <c r="AM25" s="99">
        <v>16442.399999999998</v>
      </c>
      <c r="AN25" s="99">
        <v>50</v>
      </c>
      <c r="AO25" s="99">
        <v>26520</v>
      </c>
      <c r="AP25" s="99">
        <v>49</v>
      </c>
      <c r="AQ25" s="99">
        <v>25989.599999999999</v>
      </c>
      <c r="AR25" s="99">
        <v>47</v>
      </c>
      <c r="AS25" s="99">
        <v>24928.799999999999</v>
      </c>
      <c r="AT25" s="99">
        <v>27.82777967661178</v>
      </c>
      <c r="AU25" s="99">
        <v>14759.854340474887</v>
      </c>
      <c r="AV25" s="99">
        <v>39</v>
      </c>
      <c r="AW25" s="99">
        <v>20685.599999999999</v>
      </c>
      <c r="AX25" s="99">
        <v>61</v>
      </c>
      <c r="AY25" s="99">
        <v>32354.399999999998</v>
      </c>
      <c r="AZ25" s="99">
        <v>55</v>
      </c>
      <c r="BA25" s="99">
        <v>29172</v>
      </c>
      <c r="BB25" s="99">
        <v>57</v>
      </c>
      <c r="BC25" s="99">
        <v>30232.799999999999</v>
      </c>
      <c r="BD25" s="99">
        <v>63</v>
      </c>
      <c r="BE25" s="99">
        <v>33415.199999999997</v>
      </c>
      <c r="BF25" s="99">
        <v>58</v>
      </c>
      <c r="BG25" s="99">
        <v>30763.199999999997</v>
      </c>
      <c r="BH25" s="99">
        <v>54.862452478469649</v>
      </c>
      <c r="BI25" s="99">
        <v>29099.044794580299</v>
      </c>
      <c r="BJ25" s="99">
        <v>41.627341634826635</v>
      </c>
      <c r="BK25" s="99">
        <v>22079.142003112047</v>
      </c>
      <c r="BL25" s="99">
        <v>26.105344787538115</v>
      </c>
      <c r="BM25" s="99">
        <v>13846.274875310215</v>
      </c>
      <c r="BN25" s="99">
        <v>18.048272300870046</v>
      </c>
      <c r="BO25" s="99">
        <v>9572.8036283814727</v>
      </c>
      <c r="BP25" s="99">
        <v>43</v>
      </c>
      <c r="BQ25" s="99">
        <v>22807.200000000001</v>
      </c>
      <c r="BR25" s="99">
        <v>31.899232096288863</v>
      </c>
      <c r="BS25" s="99">
        <v>16919.352703871613</v>
      </c>
      <c r="BT25" s="99">
        <v>42</v>
      </c>
      <c r="BU25" s="99">
        <v>22276.799999999999</v>
      </c>
      <c r="BV25" s="99">
        <v>51.287173333333321</v>
      </c>
      <c r="BW25" s="99">
        <v>27202.716735999991</v>
      </c>
      <c r="BX25" s="99">
        <v>28.20328238379069</v>
      </c>
      <c r="BY25" s="99">
        <v>14959.020976362581</v>
      </c>
      <c r="BZ25" s="99">
        <v>0</v>
      </c>
      <c r="CA25" s="99">
        <v>0</v>
      </c>
      <c r="CB25" s="99">
        <v>57</v>
      </c>
      <c r="CC25" s="99">
        <v>30232.799999999999</v>
      </c>
      <c r="CD25" s="99">
        <v>57</v>
      </c>
      <c r="CE25" s="99">
        <v>30232.799999999999</v>
      </c>
      <c r="CF25" s="99">
        <v>57</v>
      </c>
      <c r="CG25" s="99">
        <v>30232.799999999999</v>
      </c>
      <c r="CH25" s="99">
        <v>31.431729080739601</v>
      </c>
      <c r="CI25" s="99">
        <v>16671.389104424285</v>
      </c>
      <c r="CJ25" s="99">
        <v>0</v>
      </c>
      <c r="CK25" s="99">
        <v>0</v>
      </c>
      <c r="CL25" s="99">
        <v>0</v>
      </c>
      <c r="CM25" s="99">
        <v>0</v>
      </c>
      <c r="CN25" s="99">
        <v>35</v>
      </c>
      <c r="CO25" s="99">
        <v>18564</v>
      </c>
      <c r="CP25" s="99">
        <v>34</v>
      </c>
      <c r="CQ25" s="99">
        <v>18033.599999999999</v>
      </c>
      <c r="CR25" s="99">
        <v>30.743465227954925</v>
      </c>
      <c r="CS25" s="99">
        <v>16306.33395690729</v>
      </c>
      <c r="CT25" s="99">
        <v>16.871065627094389</v>
      </c>
      <c r="CU25" s="99">
        <v>8948.4132086108639</v>
      </c>
    </row>
    <row r="26" spans="2:99">
      <c r="C26" s="98" t="s">
        <v>191</v>
      </c>
      <c r="D26" s="99">
        <v>0</v>
      </c>
      <c r="E26" s="99">
        <v>0</v>
      </c>
      <c r="F26" s="99">
        <v>0</v>
      </c>
      <c r="G26" s="99">
        <v>0</v>
      </c>
      <c r="H26" s="99">
        <v>22.96968703916103</v>
      </c>
      <c r="I26" s="99">
        <v>11163.267901032261</v>
      </c>
      <c r="J26" s="99">
        <v>16.341942968621606</v>
      </c>
      <c r="K26" s="99">
        <v>7942.1842827501005</v>
      </c>
      <c r="L26" s="99">
        <v>32</v>
      </c>
      <c r="M26" s="99">
        <v>15552</v>
      </c>
      <c r="N26" s="99">
        <v>50</v>
      </c>
      <c r="O26" s="99">
        <v>24300</v>
      </c>
      <c r="P26" s="99">
        <v>50</v>
      </c>
      <c r="Q26" s="99">
        <v>24300</v>
      </c>
      <c r="R26" s="99">
        <v>21.914827376537485</v>
      </c>
      <c r="S26" s="99">
        <v>10650.606104997218</v>
      </c>
      <c r="T26" s="99">
        <v>46</v>
      </c>
      <c r="U26" s="99">
        <v>22356</v>
      </c>
      <c r="V26" s="99">
        <v>51</v>
      </c>
      <c r="W26" s="99">
        <v>24786</v>
      </c>
      <c r="X26" s="99">
        <v>58</v>
      </c>
      <c r="Y26" s="99">
        <v>28188</v>
      </c>
      <c r="Z26" s="99">
        <v>58</v>
      </c>
      <c r="AA26" s="99">
        <v>28188</v>
      </c>
      <c r="AB26" s="99">
        <v>58</v>
      </c>
      <c r="AC26" s="99">
        <v>28188</v>
      </c>
      <c r="AD26" s="99">
        <v>60</v>
      </c>
      <c r="AE26" s="99">
        <v>29160</v>
      </c>
      <c r="AF26" s="99">
        <v>46.018345976835263</v>
      </c>
      <c r="AG26" s="99">
        <v>22364.916144741939</v>
      </c>
      <c r="AH26" s="99">
        <v>0</v>
      </c>
      <c r="AI26" s="99">
        <v>0</v>
      </c>
      <c r="AJ26" s="99">
        <v>51</v>
      </c>
      <c r="AK26" s="99">
        <v>24786</v>
      </c>
      <c r="AL26" s="99">
        <v>35</v>
      </c>
      <c r="AM26" s="99">
        <v>17010</v>
      </c>
      <c r="AN26" s="99">
        <v>47</v>
      </c>
      <c r="AO26" s="99">
        <v>22842</v>
      </c>
      <c r="AP26" s="99">
        <v>53</v>
      </c>
      <c r="AQ26" s="99">
        <v>25758</v>
      </c>
      <c r="AR26" s="99">
        <v>53</v>
      </c>
      <c r="AS26" s="99">
        <v>25758</v>
      </c>
      <c r="AT26" s="99">
        <v>23.852382579952952</v>
      </c>
      <c r="AU26" s="99">
        <v>11592.257933857134</v>
      </c>
      <c r="AV26" s="99">
        <v>43</v>
      </c>
      <c r="AW26" s="99">
        <v>20898</v>
      </c>
      <c r="AX26" s="99">
        <v>58</v>
      </c>
      <c r="AY26" s="99">
        <v>28188</v>
      </c>
      <c r="AZ26" s="99">
        <v>50</v>
      </c>
      <c r="BA26" s="99">
        <v>24300</v>
      </c>
      <c r="BB26" s="99">
        <v>53</v>
      </c>
      <c r="BC26" s="99">
        <v>25758</v>
      </c>
      <c r="BD26" s="99">
        <v>69</v>
      </c>
      <c r="BE26" s="99">
        <v>33534</v>
      </c>
      <c r="BF26" s="99">
        <v>60</v>
      </c>
      <c r="BG26" s="99">
        <v>29160</v>
      </c>
      <c r="BH26" s="99">
        <v>48.353347947125791</v>
      </c>
      <c r="BI26" s="99">
        <v>23499.727102303135</v>
      </c>
      <c r="BJ26" s="99">
        <v>42.513029754716563</v>
      </c>
      <c r="BK26" s="99">
        <v>20661.332460792248</v>
      </c>
      <c r="BL26" s="99">
        <v>26.105344787538115</v>
      </c>
      <c r="BM26" s="99">
        <v>12687.197566743524</v>
      </c>
      <c r="BN26" s="99">
        <v>17.026671981952877</v>
      </c>
      <c r="BO26" s="99">
        <v>8274.9625832290985</v>
      </c>
      <c r="BP26" s="99">
        <v>53</v>
      </c>
      <c r="BQ26" s="99">
        <v>25758</v>
      </c>
      <c r="BR26" s="99">
        <v>33.349197191574717</v>
      </c>
      <c r="BS26" s="99">
        <v>16207.709835105312</v>
      </c>
      <c r="BT26" s="99">
        <v>37</v>
      </c>
      <c r="BU26" s="99">
        <v>17982</v>
      </c>
      <c r="BV26" s="99">
        <v>52.752521142857134</v>
      </c>
      <c r="BW26" s="99">
        <v>25637.725275428566</v>
      </c>
      <c r="BX26" s="99">
        <v>30.477740640548003</v>
      </c>
      <c r="BY26" s="99">
        <v>14812.181951306329</v>
      </c>
      <c r="BZ26" s="99">
        <v>0</v>
      </c>
      <c r="CA26" s="99">
        <v>0</v>
      </c>
      <c r="CB26" s="99">
        <v>58</v>
      </c>
      <c r="CC26" s="99">
        <v>28188</v>
      </c>
      <c r="CD26" s="99">
        <v>61</v>
      </c>
      <c r="CE26" s="99">
        <v>29646</v>
      </c>
      <c r="CF26" s="99">
        <v>61</v>
      </c>
      <c r="CG26" s="99">
        <v>29646</v>
      </c>
      <c r="CH26" s="99">
        <v>29.582803840696094</v>
      </c>
      <c r="CI26" s="99">
        <v>14377.242666578302</v>
      </c>
      <c r="CJ26" s="99">
        <v>0</v>
      </c>
      <c r="CK26" s="99">
        <v>0</v>
      </c>
      <c r="CL26" s="99">
        <v>0</v>
      </c>
      <c r="CM26" s="99">
        <v>0</v>
      </c>
      <c r="CN26" s="99">
        <v>40</v>
      </c>
      <c r="CO26" s="99">
        <v>19440</v>
      </c>
      <c r="CP26" s="99">
        <v>33</v>
      </c>
      <c r="CQ26" s="99">
        <v>16038</v>
      </c>
      <c r="CR26" s="99">
        <v>32.024442945786383</v>
      </c>
      <c r="CS26" s="99">
        <v>15563.879271652182</v>
      </c>
      <c r="CT26" s="99">
        <v>14.886234376847989</v>
      </c>
      <c r="CU26" s="99">
        <v>7234.7099071481225</v>
      </c>
    </row>
    <row r="27" spans="2:99">
      <c r="C27" s="98" t="s">
        <v>192</v>
      </c>
      <c r="D27" s="99">
        <v>0</v>
      </c>
      <c r="E27" s="99">
        <v>0</v>
      </c>
      <c r="F27" s="99">
        <v>0</v>
      </c>
      <c r="G27" s="99">
        <v>0</v>
      </c>
      <c r="H27" s="99">
        <v>22.27363591676221</v>
      </c>
      <c r="I27" s="99">
        <v>9515.2972636408158</v>
      </c>
      <c r="J27" s="99">
        <v>20.018880136561467</v>
      </c>
      <c r="K27" s="99">
        <v>8552.0655943390593</v>
      </c>
      <c r="L27" s="99">
        <v>32</v>
      </c>
      <c r="M27" s="99">
        <v>13670.4</v>
      </c>
      <c r="N27" s="99">
        <v>58</v>
      </c>
      <c r="O27" s="99">
        <v>24777.599999999999</v>
      </c>
      <c r="P27" s="99">
        <v>49</v>
      </c>
      <c r="Q27" s="99">
        <v>20932.8</v>
      </c>
      <c r="R27" s="99">
        <v>24.724420629939726</v>
      </c>
      <c r="S27" s="99">
        <v>10562.272493110251</v>
      </c>
      <c r="T27" s="99">
        <v>50</v>
      </c>
      <c r="U27" s="99">
        <v>21360</v>
      </c>
      <c r="V27" s="99">
        <v>50</v>
      </c>
      <c r="W27" s="99">
        <v>21360</v>
      </c>
      <c r="X27" s="99">
        <v>63</v>
      </c>
      <c r="Y27" s="99">
        <v>26913.599999999999</v>
      </c>
      <c r="Z27" s="99">
        <v>61</v>
      </c>
      <c r="AA27" s="99">
        <v>26059.200000000001</v>
      </c>
      <c r="AB27" s="99">
        <v>60</v>
      </c>
      <c r="AC27" s="99">
        <v>25632</v>
      </c>
      <c r="AD27" s="99">
        <v>60</v>
      </c>
      <c r="AE27" s="99">
        <v>25632</v>
      </c>
      <c r="AF27" s="99">
        <v>46.95749589472986</v>
      </c>
      <c r="AG27" s="99">
        <v>20060.242246228594</v>
      </c>
      <c r="AH27" s="99">
        <v>0</v>
      </c>
      <c r="AI27" s="99">
        <v>0</v>
      </c>
      <c r="AJ27" s="99">
        <v>52</v>
      </c>
      <c r="AK27" s="99">
        <v>22214.399999999998</v>
      </c>
      <c r="AL27" s="99">
        <v>35</v>
      </c>
      <c r="AM27" s="99">
        <v>14952</v>
      </c>
      <c r="AN27" s="99">
        <v>57</v>
      </c>
      <c r="AO27" s="99">
        <v>24350.399999999998</v>
      </c>
      <c r="AP27" s="99">
        <v>54</v>
      </c>
      <c r="AQ27" s="99">
        <v>23068.799999999999</v>
      </c>
      <c r="AR27" s="99">
        <v>49</v>
      </c>
      <c r="AS27" s="99">
        <v>20932.8</v>
      </c>
      <c r="AT27" s="99">
        <v>24.349307217035307</v>
      </c>
      <c r="AU27" s="99">
        <v>10402.024043117483</v>
      </c>
      <c r="AV27" s="99">
        <v>40</v>
      </c>
      <c r="AW27" s="99">
        <v>17088</v>
      </c>
      <c r="AX27" s="99">
        <v>58</v>
      </c>
      <c r="AY27" s="99">
        <v>24777.599999999999</v>
      </c>
      <c r="AZ27" s="99">
        <v>50</v>
      </c>
      <c r="BA27" s="99">
        <v>21360</v>
      </c>
      <c r="BB27" s="99">
        <v>56</v>
      </c>
      <c r="BC27" s="99">
        <v>23923.200000000001</v>
      </c>
      <c r="BD27" s="99">
        <v>58</v>
      </c>
      <c r="BE27" s="99">
        <v>24777.599999999999</v>
      </c>
      <c r="BF27" s="99">
        <v>60</v>
      </c>
      <c r="BG27" s="99">
        <v>25632</v>
      </c>
      <c r="BH27" s="99">
        <v>56.72219663028217</v>
      </c>
      <c r="BI27" s="99">
        <v>24231.722400456543</v>
      </c>
      <c r="BJ27" s="99">
        <v>39.85596539504678</v>
      </c>
      <c r="BK27" s="99">
        <v>17026.468416763983</v>
      </c>
      <c r="BL27" s="99">
        <v>26.105344787538115</v>
      </c>
      <c r="BM27" s="99">
        <v>11152.203293236282</v>
      </c>
      <c r="BN27" s="99">
        <v>18.729339180148163</v>
      </c>
      <c r="BO27" s="99">
        <v>8001.1736977592946</v>
      </c>
      <c r="BP27" s="99">
        <v>52</v>
      </c>
      <c r="BQ27" s="99">
        <v>22214.399999999998</v>
      </c>
      <c r="BR27" s="99">
        <v>36.249127382146433</v>
      </c>
      <c r="BS27" s="99">
        <v>15485.627217652956</v>
      </c>
      <c r="BT27" s="99">
        <v>43</v>
      </c>
      <c r="BU27" s="99">
        <v>18369.599999999999</v>
      </c>
      <c r="BV27" s="99">
        <v>46.891129904761897</v>
      </c>
      <c r="BW27" s="99">
        <v>20031.890695314283</v>
      </c>
      <c r="BX27" s="99">
        <v>30.02284898919654</v>
      </c>
      <c r="BY27" s="99">
        <v>12825.761088184761</v>
      </c>
      <c r="BZ27" s="99">
        <v>0</v>
      </c>
      <c r="CA27" s="99">
        <v>0</v>
      </c>
      <c r="CB27" s="99">
        <v>61</v>
      </c>
      <c r="CC27" s="99">
        <v>26059.200000000001</v>
      </c>
      <c r="CD27" s="99">
        <v>61</v>
      </c>
      <c r="CE27" s="99">
        <v>26059.200000000001</v>
      </c>
      <c r="CF27" s="99">
        <v>63</v>
      </c>
      <c r="CG27" s="99">
        <v>26913.599999999999</v>
      </c>
      <c r="CH27" s="99">
        <v>31.893960390750479</v>
      </c>
      <c r="CI27" s="99">
        <v>13625.099878928604</v>
      </c>
      <c r="CJ27" s="99">
        <v>0</v>
      </c>
      <c r="CK27" s="99">
        <v>0</v>
      </c>
      <c r="CL27" s="99">
        <v>0</v>
      </c>
      <c r="CM27" s="99">
        <v>0</v>
      </c>
      <c r="CN27" s="99">
        <v>37</v>
      </c>
      <c r="CO27" s="99">
        <v>15806.4</v>
      </c>
      <c r="CP27" s="99">
        <v>36</v>
      </c>
      <c r="CQ27" s="99">
        <v>15379.199999999999</v>
      </c>
      <c r="CR27" s="99">
        <v>30.102976369039197</v>
      </c>
      <c r="CS27" s="99">
        <v>12859.991504853544</v>
      </c>
      <c r="CT27" s="99">
        <v>16.540260418719988</v>
      </c>
      <c r="CU27" s="99">
        <v>7065.9992508771793</v>
      </c>
    </row>
    <row r="28" spans="2:99">
      <c r="C28" s="98" t="s">
        <v>193</v>
      </c>
      <c r="D28" s="99">
        <v>0</v>
      </c>
      <c r="E28" s="99">
        <v>0</v>
      </c>
      <c r="F28" s="99">
        <v>0</v>
      </c>
      <c r="G28" s="99">
        <v>0</v>
      </c>
      <c r="H28" s="99">
        <v>23.665738161559851</v>
      </c>
      <c r="I28" s="99">
        <v>17465.31476323117</v>
      </c>
      <c r="J28" s="99">
        <v>16.750491542837146</v>
      </c>
      <c r="K28" s="99">
        <v>12361.862758613814</v>
      </c>
      <c r="L28" s="99">
        <v>30</v>
      </c>
      <c r="M28" s="99">
        <v>22140</v>
      </c>
      <c r="N28" s="99">
        <v>55</v>
      </c>
      <c r="O28" s="99">
        <v>40590</v>
      </c>
      <c r="P28" s="99">
        <v>46</v>
      </c>
      <c r="Q28" s="99">
        <v>33948</v>
      </c>
      <c r="R28" s="99">
        <v>24.162501979259279</v>
      </c>
      <c r="S28" s="99">
        <v>17831.926460693347</v>
      </c>
      <c r="T28" s="99">
        <v>45</v>
      </c>
      <c r="U28" s="99">
        <v>33210</v>
      </c>
      <c r="V28" s="99">
        <v>51</v>
      </c>
      <c r="W28" s="99">
        <v>37638</v>
      </c>
      <c r="X28" s="99">
        <v>60</v>
      </c>
      <c r="Y28" s="99">
        <v>44280</v>
      </c>
      <c r="Z28" s="99">
        <v>60</v>
      </c>
      <c r="AA28" s="99">
        <v>44280</v>
      </c>
      <c r="AB28" s="99">
        <v>66</v>
      </c>
      <c r="AC28" s="99">
        <v>48708</v>
      </c>
      <c r="AD28" s="99">
        <v>65</v>
      </c>
      <c r="AE28" s="99">
        <v>47970</v>
      </c>
      <c r="AF28" s="99">
        <v>52.592395402097452</v>
      </c>
      <c r="AG28" s="99">
        <v>38813.187806747919</v>
      </c>
      <c r="AH28" s="99">
        <v>0</v>
      </c>
      <c r="AI28" s="99">
        <v>0</v>
      </c>
      <c r="AJ28" s="99">
        <v>45</v>
      </c>
      <c r="AK28" s="99">
        <v>33210</v>
      </c>
      <c r="AL28" s="99">
        <v>33</v>
      </c>
      <c r="AM28" s="99">
        <v>24354</v>
      </c>
      <c r="AN28" s="99">
        <v>51</v>
      </c>
      <c r="AO28" s="99">
        <v>37638</v>
      </c>
      <c r="AP28" s="99">
        <v>56</v>
      </c>
      <c r="AQ28" s="99">
        <v>41328</v>
      </c>
      <c r="AR28" s="99">
        <v>53</v>
      </c>
      <c r="AS28" s="99">
        <v>39114</v>
      </c>
      <c r="AT28" s="99">
        <v>26.833930402447066</v>
      </c>
      <c r="AU28" s="99">
        <v>19803.440637005933</v>
      </c>
      <c r="AV28" s="99">
        <v>39</v>
      </c>
      <c r="AW28" s="99">
        <v>28782</v>
      </c>
      <c r="AX28" s="99">
        <v>55</v>
      </c>
      <c r="AY28" s="99">
        <v>40590</v>
      </c>
      <c r="AZ28" s="99">
        <v>53</v>
      </c>
      <c r="BA28" s="99">
        <v>39114</v>
      </c>
      <c r="BB28" s="99">
        <v>56</v>
      </c>
      <c r="BC28" s="99">
        <v>41328</v>
      </c>
      <c r="BD28" s="99">
        <v>57</v>
      </c>
      <c r="BE28" s="99">
        <v>42066</v>
      </c>
      <c r="BF28" s="99">
        <v>55</v>
      </c>
      <c r="BG28" s="99">
        <v>40590</v>
      </c>
      <c r="BH28" s="99">
        <v>46.493603795313255</v>
      </c>
      <c r="BI28" s="99">
        <v>34312.279600941183</v>
      </c>
      <c r="BJ28" s="99">
        <v>43.398717874606497</v>
      </c>
      <c r="BK28" s="99">
        <v>32028.253791459596</v>
      </c>
      <c r="BL28" s="99">
        <v>25.483788959263396</v>
      </c>
      <c r="BM28" s="99">
        <v>18807.036251936388</v>
      </c>
      <c r="BN28" s="99">
        <v>18.048272300870046</v>
      </c>
      <c r="BO28" s="99">
        <v>13319.624958042094</v>
      </c>
      <c r="BP28" s="99">
        <v>47</v>
      </c>
      <c r="BQ28" s="99">
        <v>34686</v>
      </c>
      <c r="BR28" s="99">
        <v>35.524144834503502</v>
      </c>
      <c r="BS28" s="99">
        <v>26216.818887863585</v>
      </c>
      <c r="BT28" s="99">
        <v>37</v>
      </c>
      <c r="BU28" s="99">
        <v>27306</v>
      </c>
      <c r="BV28" s="99">
        <v>43.227760380952375</v>
      </c>
      <c r="BW28" s="99">
        <v>31902.087161142852</v>
      </c>
      <c r="BX28" s="99">
        <v>26.838607429736303</v>
      </c>
      <c r="BY28" s="99">
        <v>19806.892283145393</v>
      </c>
      <c r="BZ28" s="99">
        <v>0</v>
      </c>
      <c r="CA28" s="99">
        <v>0</v>
      </c>
      <c r="CB28" s="99">
        <v>62</v>
      </c>
      <c r="CC28" s="99">
        <v>45756</v>
      </c>
      <c r="CD28" s="99">
        <v>56</v>
      </c>
      <c r="CE28" s="99">
        <v>41328</v>
      </c>
      <c r="CF28" s="99">
        <v>65</v>
      </c>
      <c r="CG28" s="99">
        <v>47970</v>
      </c>
      <c r="CH28" s="99">
        <v>27.271647290641717</v>
      </c>
      <c r="CI28" s="99">
        <v>20126.475700493585</v>
      </c>
      <c r="CJ28" s="99">
        <v>0</v>
      </c>
      <c r="CK28" s="99">
        <v>0</v>
      </c>
      <c r="CL28" s="99">
        <v>0</v>
      </c>
      <c r="CM28" s="99">
        <v>0</v>
      </c>
      <c r="CN28" s="99">
        <v>33</v>
      </c>
      <c r="CO28" s="99">
        <v>24354</v>
      </c>
      <c r="CP28" s="99">
        <v>32</v>
      </c>
      <c r="CQ28" s="99">
        <v>23616</v>
      </c>
      <c r="CR28" s="99">
        <v>31.383954086870652</v>
      </c>
      <c r="CS28" s="99">
        <v>23161.358116110543</v>
      </c>
      <c r="CT28" s="99">
        <v>13.89381875172479</v>
      </c>
      <c r="CU28" s="99">
        <v>10253.638238772895</v>
      </c>
    </row>
    <row r="29" spans="2:99">
      <c r="C29" s="98" t="s">
        <v>194</v>
      </c>
      <c r="D29" s="99">
        <v>0</v>
      </c>
      <c r="E29" s="99">
        <v>0</v>
      </c>
      <c r="F29" s="99">
        <v>0</v>
      </c>
      <c r="G29" s="99">
        <v>0</v>
      </c>
      <c r="H29" s="99">
        <v>24.361789283958668</v>
      </c>
      <c r="I29" s="99">
        <v>8244.0294936916125</v>
      </c>
      <c r="J29" s="99">
        <v>18.793234413914846</v>
      </c>
      <c r="K29" s="99">
        <v>6359.6305256687829</v>
      </c>
      <c r="L29" s="99">
        <v>34</v>
      </c>
      <c r="M29" s="99">
        <v>11505.599999999999</v>
      </c>
      <c r="N29" s="99">
        <v>59</v>
      </c>
      <c r="O29" s="99">
        <v>19965.599999999999</v>
      </c>
      <c r="P29" s="99">
        <v>52</v>
      </c>
      <c r="Q29" s="99">
        <v>17596.8</v>
      </c>
      <c r="R29" s="99">
        <v>26.410176581981069</v>
      </c>
      <c r="S29" s="99">
        <v>8937.2037553423925</v>
      </c>
      <c r="T29" s="99">
        <v>55</v>
      </c>
      <c r="U29" s="99">
        <v>18612</v>
      </c>
      <c r="V29" s="99">
        <v>46</v>
      </c>
      <c r="W29" s="99">
        <v>15566.4</v>
      </c>
      <c r="X29" s="99">
        <v>59</v>
      </c>
      <c r="Y29" s="99">
        <v>19965.599999999999</v>
      </c>
      <c r="Z29" s="99">
        <v>59</v>
      </c>
      <c r="AA29" s="99">
        <v>19965.599999999999</v>
      </c>
      <c r="AB29" s="99">
        <v>62</v>
      </c>
      <c r="AC29" s="99">
        <v>20980.799999999999</v>
      </c>
      <c r="AD29" s="99">
        <v>62</v>
      </c>
      <c r="AE29" s="99">
        <v>20980.799999999999</v>
      </c>
      <c r="AF29" s="99">
        <v>47.896645812624463</v>
      </c>
      <c r="AG29" s="99">
        <v>16208.224942992118</v>
      </c>
      <c r="AH29" s="99">
        <v>0</v>
      </c>
      <c r="AI29" s="99">
        <v>0</v>
      </c>
      <c r="AJ29" s="99">
        <v>54</v>
      </c>
      <c r="AK29" s="99">
        <v>18273.599999999999</v>
      </c>
      <c r="AL29" s="99">
        <v>35</v>
      </c>
      <c r="AM29" s="99">
        <v>11844</v>
      </c>
      <c r="AN29" s="99">
        <v>57</v>
      </c>
      <c r="AO29" s="99">
        <v>19288.8</v>
      </c>
      <c r="AP29" s="99">
        <v>54</v>
      </c>
      <c r="AQ29" s="99">
        <v>18273.599999999999</v>
      </c>
      <c r="AR29" s="99">
        <v>49</v>
      </c>
      <c r="AS29" s="99">
        <v>16581.599999999999</v>
      </c>
      <c r="AT29" s="99">
        <v>24.349307217035307</v>
      </c>
      <c r="AU29" s="99">
        <v>8239.8055622447464</v>
      </c>
      <c r="AV29" s="99">
        <v>40</v>
      </c>
      <c r="AW29" s="99">
        <v>13536</v>
      </c>
      <c r="AX29" s="99">
        <v>58</v>
      </c>
      <c r="AY29" s="99">
        <v>19627.199999999997</v>
      </c>
      <c r="AZ29" s="99">
        <v>58</v>
      </c>
      <c r="BA29" s="99">
        <v>19627.199999999997</v>
      </c>
      <c r="BB29" s="99">
        <v>56</v>
      </c>
      <c r="BC29" s="99">
        <v>18950.399999999998</v>
      </c>
      <c r="BD29" s="99">
        <v>63</v>
      </c>
      <c r="BE29" s="99">
        <v>21319.199999999997</v>
      </c>
      <c r="BF29" s="99">
        <v>59</v>
      </c>
      <c r="BG29" s="99">
        <v>19965.599999999999</v>
      </c>
      <c r="BH29" s="99">
        <v>51.142964174844586</v>
      </c>
      <c r="BI29" s="99">
        <v>17306.779076767405</v>
      </c>
      <c r="BJ29" s="99">
        <v>45.170094114386352</v>
      </c>
      <c r="BK29" s="99">
        <v>15285.559848308339</v>
      </c>
      <c r="BL29" s="99">
        <v>25.483788959263396</v>
      </c>
      <c r="BM29" s="99">
        <v>8623.7141838147327</v>
      </c>
      <c r="BN29" s="99">
        <v>16.686138542313817</v>
      </c>
      <c r="BO29" s="99">
        <v>5646.5892827189955</v>
      </c>
      <c r="BP29" s="99">
        <v>52</v>
      </c>
      <c r="BQ29" s="99">
        <v>17596.8</v>
      </c>
      <c r="BR29" s="99">
        <v>33.349197191574717</v>
      </c>
      <c r="BS29" s="99">
        <v>11285.368329628884</v>
      </c>
      <c r="BT29" s="99">
        <v>41</v>
      </c>
      <c r="BU29" s="99">
        <v>13874.4</v>
      </c>
      <c r="BV29" s="99">
        <v>47.6238038095238</v>
      </c>
      <c r="BW29" s="99">
        <v>16115.895209142853</v>
      </c>
      <c r="BX29" s="99">
        <v>28.658174035142153</v>
      </c>
      <c r="BY29" s="99">
        <v>9697.926093492104</v>
      </c>
      <c r="BZ29" s="99">
        <v>0</v>
      </c>
      <c r="CA29" s="99">
        <v>0</v>
      </c>
      <c r="CB29" s="99">
        <v>63</v>
      </c>
      <c r="CC29" s="99">
        <v>21319.199999999997</v>
      </c>
      <c r="CD29" s="99">
        <v>54</v>
      </c>
      <c r="CE29" s="99">
        <v>18273.599999999999</v>
      </c>
      <c r="CF29" s="99">
        <v>59</v>
      </c>
      <c r="CG29" s="99">
        <v>19965.599999999999</v>
      </c>
      <c r="CH29" s="99">
        <v>28.196109910663466</v>
      </c>
      <c r="CI29" s="99">
        <v>9541.5635937685165</v>
      </c>
      <c r="CJ29" s="99">
        <v>0</v>
      </c>
      <c r="CK29" s="99">
        <v>0</v>
      </c>
      <c r="CL29" s="99">
        <v>0</v>
      </c>
      <c r="CM29" s="99">
        <v>0</v>
      </c>
      <c r="CN29" s="99">
        <v>36</v>
      </c>
      <c r="CO29" s="99">
        <v>12182.4</v>
      </c>
      <c r="CP29" s="99">
        <v>34</v>
      </c>
      <c r="CQ29" s="99">
        <v>11505.599999999999</v>
      </c>
      <c r="CR29" s="99">
        <v>31.383954086870652</v>
      </c>
      <c r="CS29" s="99">
        <v>10620.330062997027</v>
      </c>
      <c r="CT29" s="99">
        <v>15.87865000197119</v>
      </c>
      <c r="CU29" s="99">
        <v>5373.3351606670503</v>
      </c>
    </row>
    <row r="30" spans="2:99">
      <c r="C30" s="98" t="s">
        <v>195</v>
      </c>
      <c r="D30" s="99">
        <v>0</v>
      </c>
      <c r="E30" s="99">
        <v>0</v>
      </c>
      <c r="F30" s="99">
        <v>0</v>
      </c>
      <c r="G30" s="99">
        <v>0</v>
      </c>
      <c r="H30" s="99">
        <v>24.361789283958668</v>
      </c>
      <c r="I30" s="99">
        <v>3391.1610683270465</v>
      </c>
      <c r="J30" s="99">
        <v>18.384685839699305</v>
      </c>
      <c r="K30" s="99">
        <v>2559.1482688861429</v>
      </c>
      <c r="L30" s="99">
        <v>33</v>
      </c>
      <c r="M30" s="99">
        <v>4593.5999999999995</v>
      </c>
      <c r="N30" s="99">
        <v>61</v>
      </c>
      <c r="O30" s="99">
        <v>8491.1999999999989</v>
      </c>
      <c r="P30" s="99">
        <v>47</v>
      </c>
      <c r="Q30" s="99">
        <v>6542.4</v>
      </c>
      <c r="R30" s="99">
        <v>25.286339280620172</v>
      </c>
      <c r="S30" s="99">
        <v>3519.8584278623275</v>
      </c>
      <c r="T30" s="99">
        <v>54</v>
      </c>
      <c r="U30" s="99">
        <v>7516.7999999999993</v>
      </c>
      <c r="V30" s="99">
        <v>49</v>
      </c>
      <c r="W30" s="99">
        <v>6820.7999999999993</v>
      </c>
      <c r="X30" s="99">
        <v>65</v>
      </c>
      <c r="Y30" s="99">
        <v>9048</v>
      </c>
      <c r="Z30" s="99">
        <v>62</v>
      </c>
      <c r="AA30" s="99">
        <v>8630.4</v>
      </c>
      <c r="AB30" s="99">
        <v>61</v>
      </c>
      <c r="AC30" s="99">
        <v>8491.1999999999989</v>
      </c>
      <c r="AD30" s="99">
        <v>61</v>
      </c>
      <c r="AE30" s="99">
        <v>8491.1999999999989</v>
      </c>
      <c r="AF30" s="99">
        <v>47.896645812624463</v>
      </c>
      <c r="AG30" s="99">
        <v>6667.2130971173247</v>
      </c>
      <c r="AH30" s="99">
        <v>0</v>
      </c>
      <c r="AI30" s="99">
        <v>0</v>
      </c>
      <c r="AJ30" s="99">
        <v>55</v>
      </c>
      <c r="AK30" s="99">
        <v>7655.9999999999991</v>
      </c>
      <c r="AL30" s="99">
        <v>35</v>
      </c>
      <c r="AM30" s="99">
        <v>4872</v>
      </c>
      <c r="AN30" s="99">
        <v>53</v>
      </c>
      <c r="AO30" s="99">
        <v>7377.5999999999995</v>
      </c>
      <c r="AP30" s="99">
        <v>57</v>
      </c>
      <c r="AQ30" s="99">
        <v>7934.4</v>
      </c>
      <c r="AR30" s="99">
        <v>48</v>
      </c>
      <c r="AS30" s="99">
        <v>6681.5999999999995</v>
      </c>
      <c r="AT30" s="99">
        <v>27.82777967661178</v>
      </c>
      <c r="AU30" s="99">
        <v>3873.6269309843592</v>
      </c>
      <c r="AV30" s="99">
        <v>41</v>
      </c>
      <c r="AW30" s="99">
        <v>5707.2</v>
      </c>
      <c r="AX30" s="99">
        <v>60</v>
      </c>
      <c r="AY30" s="99">
        <v>8352</v>
      </c>
      <c r="AZ30" s="99">
        <v>57</v>
      </c>
      <c r="BA30" s="99">
        <v>7934.4</v>
      </c>
      <c r="BB30" s="99">
        <v>60</v>
      </c>
      <c r="BC30" s="99">
        <v>8352</v>
      </c>
      <c r="BD30" s="99">
        <v>69</v>
      </c>
      <c r="BE30" s="99">
        <v>9604.7999999999993</v>
      </c>
      <c r="BF30" s="99">
        <v>60</v>
      </c>
      <c r="BG30" s="99">
        <v>8352</v>
      </c>
      <c r="BH30" s="99">
        <v>49.283220023032051</v>
      </c>
      <c r="BI30" s="99">
        <v>6860.2242272060612</v>
      </c>
      <c r="BJ30" s="99">
        <v>44.284405994496424</v>
      </c>
      <c r="BK30" s="99">
        <v>6164.3893144339017</v>
      </c>
      <c r="BL30" s="99">
        <v>24.240677302713962</v>
      </c>
      <c r="BM30" s="99">
        <v>3374.3022805377832</v>
      </c>
      <c r="BN30" s="99">
        <v>19.410406059426276</v>
      </c>
      <c r="BO30" s="99">
        <v>2701.9285234721374</v>
      </c>
      <c r="BP30" s="99">
        <v>46</v>
      </c>
      <c r="BQ30" s="99">
        <v>6403.2</v>
      </c>
      <c r="BR30" s="99">
        <v>39.149057572718142</v>
      </c>
      <c r="BS30" s="99">
        <v>5449.548814122365</v>
      </c>
      <c r="BT30" s="99">
        <v>41</v>
      </c>
      <c r="BU30" s="99">
        <v>5707.2</v>
      </c>
      <c r="BV30" s="99">
        <v>49.089151619047612</v>
      </c>
      <c r="BW30" s="99">
        <v>6833.2099053714273</v>
      </c>
      <c r="BX30" s="99">
        <v>33.20709054865678</v>
      </c>
      <c r="BY30" s="99">
        <v>4622.427004373023</v>
      </c>
      <c r="BZ30" s="99">
        <v>0</v>
      </c>
      <c r="CA30" s="99">
        <v>0</v>
      </c>
      <c r="CB30" s="99">
        <v>66</v>
      </c>
      <c r="CC30" s="99">
        <v>9187.1999999999989</v>
      </c>
      <c r="CD30" s="99">
        <v>61</v>
      </c>
      <c r="CE30" s="99">
        <v>8491.1999999999989</v>
      </c>
      <c r="CF30" s="99">
        <v>66</v>
      </c>
      <c r="CG30" s="99">
        <v>9187.1999999999989</v>
      </c>
      <c r="CH30" s="99">
        <v>29.582803840696094</v>
      </c>
      <c r="CI30" s="99">
        <v>4117.9262946248964</v>
      </c>
      <c r="CJ30" s="99">
        <v>0</v>
      </c>
      <c r="CK30" s="99">
        <v>0</v>
      </c>
      <c r="CL30" s="99">
        <v>0</v>
      </c>
      <c r="CM30" s="99">
        <v>0</v>
      </c>
      <c r="CN30" s="99">
        <v>35</v>
      </c>
      <c r="CO30" s="99">
        <v>4872</v>
      </c>
      <c r="CP30" s="99">
        <v>39</v>
      </c>
      <c r="CQ30" s="99">
        <v>5428.7999999999993</v>
      </c>
      <c r="CR30" s="99">
        <v>27.541020933376288</v>
      </c>
      <c r="CS30" s="99">
        <v>3833.7101139259789</v>
      </c>
      <c r="CT30" s="99">
        <v>15.217039585222388</v>
      </c>
      <c r="CU30" s="99">
        <v>2118.2119102629563</v>
      </c>
    </row>
    <row r="31" spans="2:99">
      <c r="C31" s="98" t="s">
        <v>196</v>
      </c>
      <c r="D31" s="99">
        <v>0</v>
      </c>
      <c r="E31" s="99">
        <v>0</v>
      </c>
      <c r="F31" s="99">
        <v>0</v>
      </c>
      <c r="G31" s="99">
        <v>0</v>
      </c>
      <c r="H31" s="99">
        <v>23.665738161559851</v>
      </c>
      <c r="I31" s="99">
        <v>8065.2835654595974</v>
      </c>
      <c r="J31" s="99">
        <v>17.976137265483764</v>
      </c>
      <c r="K31" s="99">
        <v>6126.2675800768675</v>
      </c>
      <c r="L31" s="99">
        <v>36</v>
      </c>
      <c r="M31" s="99">
        <v>12268.800000000001</v>
      </c>
      <c r="N31" s="99">
        <v>51</v>
      </c>
      <c r="O31" s="99">
        <v>17380.8</v>
      </c>
      <c r="P31" s="99">
        <v>51</v>
      </c>
      <c r="Q31" s="99">
        <v>17380.8</v>
      </c>
      <c r="R31" s="99">
        <v>25.286339280620172</v>
      </c>
      <c r="S31" s="99">
        <v>8617.5844268353558</v>
      </c>
      <c r="T31" s="99">
        <v>46</v>
      </c>
      <c r="U31" s="99">
        <v>15676.800000000001</v>
      </c>
      <c r="V31" s="99">
        <v>44</v>
      </c>
      <c r="W31" s="99">
        <v>14995.2</v>
      </c>
      <c r="X31" s="99">
        <v>60</v>
      </c>
      <c r="Y31" s="99">
        <v>20448</v>
      </c>
      <c r="Z31" s="99">
        <v>57</v>
      </c>
      <c r="AA31" s="99">
        <v>19425.600000000002</v>
      </c>
      <c r="AB31" s="99">
        <v>61</v>
      </c>
      <c r="AC31" s="99">
        <v>20788.8</v>
      </c>
      <c r="AD31" s="99">
        <v>64</v>
      </c>
      <c r="AE31" s="99">
        <v>21811.200000000001</v>
      </c>
      <c r="AF31" s="99">
        <v>45.079196058940667</v>
      </c>
      <c r="AG31" s="99">
        <v>15362.990016886979</v>
      </c>
      <c r="AH31" s="99">
        <v>0</v>
      </c>
      <c r="AI31" s="99">
        <v>0</v>
      </c>
      <c r="AJ31" s="99">
        <v>54</v>
      </c>
      <c r="AK31" s="99">
        <v>18403.2</v>
      </c>
      <c r="AL31" s="99">
        <v>35</v>
      </c>
      <c r="AM31" s="99">
        <v>11928</v>
      </c>
      <c r="AN31" s="99">
        <v>50</v>
      </c>
      <c r="AO31" s="99">
        <v>17040</v>
      </c>
      <c r="AP31" s="99">
        <v>55</v>
      </c>
      <c r="AQ31" s="99">
        <v>18744</v>
      </c>
      <c r="AR31" s="99">
        <v>55</v>
      </c>
      <c r="AS31" s="99">
        <v>18744</v>
      </c>
      <c r="AT31" s="99">
        <v>26.833930402447066</v>
      </c>
      <c r="AU31" s="99">
        <v>9145.0034811539608</v>
      </c>
      <c r="AV31" s="99">
        <v>43</v>
      </c>
      <c r="AW31" s="99">
        <v>14654.4</v>
      </c>
      <c r="AX31" s="99">
        <v>54</v>
      </c>
      <c r="AY31" s="99">
        <v>18403.2</v>
      </c>
      <c r="AZ31" s="99">
        <v>52</v>
      </c>
      <c r="BA31" s="99">
        <v>17721.600000000002</v>
      </c>
      <c r="BB31" s="99">
        <v>52</v>
      </c>
      <c r="BC31" s="99">
        <v>17721.600000000002</v>
      </c>
      <c r="BD31" s="99">
        <v>71</v>
      </c>
      <c r="BE31" s="99">
        <v>24196.799999999999</v>
      </c>
      <c r="BF31" s="99">
        <v>62</v>
      </c>
      <c r="BG31" s="99">
        <v>21129.600000000002</v>
      </c>
      <c r="BH31" s="99">
        <v>48.353347947125791</v>
      </c>
      <c r="BI31" s="99">
        <v>16478.820980380471</v>
      </c>
      <c r="BJ31" s="99">
        <v>46.941470354166213</v>
      </c>
      <c r="BK31" s="99">
        <v>15997.653096699845</v>
      </c>
      <c r="BL31" s="99">
        <v>24.862233130988681</v>
      </c>
      <c r="BM31" s="99">
        <v>8473.0490510409436</v>
      </c>
      <c r="BN31" s="99">
        <v>16.005071663035704</v>
      </c>
      <c r="BO31" s="99">
        <v>5454.528422762568</v>
      </c>
      <c r="BP31" s="99">
        <v>45</v>
      </c>
      <c r="BQ31" s="99">
        <v>15336</v>
      </c>
      <c r="BR31" s="99">
        <v>34.799162286860572</v>
      </c>
      <c r="BS31" s="99">
        <v>11859.554507362083</v>
      </c>
      <c r="BT31" s="99">
        <v>44</v>
      </c>
      <c r="BU31" s="99">
        <v>14995.2</v>
      </c>
      <c r="BV31" s="99">
        <v>50.554499428571418</v>
      </c>
      <c r="BW31" s="99">
        <v>17228.97340525714</v>
      </c>
      <c r="BX31" s="99">
        <v>28.20328238379069</v>
      </c>
      <c r="BY31" s="99">
        <v>9611.6786363958672</v>
      </c>
      <c r="BZ31" s="99">
        <v>0</v>
      </c>
      <c r="CA31" s="99">
        <v>0</v>
      </c>
      <c r="CB31" s="99">
        <v>57</v>
      </c>
      <c r="CC31" s="99">
        <v>19425.600000000002</v>
      </c>
      <c r="CD31" s="99">
        <v>54</v>
      </c>
      <c r="CE31" s="99">
        <v>18403.2</v>
      </c>
      <c r="CF31" s="99">
        <v>64</v>
      </c>
      <c r="CG31" s="99">
        <v>21811.200000000001</v>
      </c>
      <c r="CH31" s="99">
        <v>26.809415980630838</v>
      </c>
      <c r="CI31" s="99">
        <v>9136.6489661989908</v>
      </c>
      <c r="CJ31" s="99">
        <v>0</v>
      </c>
      <c r="CK31" s="99">
        <v>0</v>
      </c>
      <c r="CL31" s="99">
        <v>0</v>
      </c>
      <c r="CM31" s="99">
        <v>0</v>
      </c>
      <c r="CN31" s="99">
        <v>36</v>
      </c>
      <c r="CO31" s="99">
        <v>12268.800000000001</v>
      </c>
      <c r="CP31" s="99">
        <v>39</v>
      </c>
      <c r="CQ31" s="99">
        <v>13291.2</v>
      </c>
      <c r="CR31" s="99">
        <v>28.181509792292015</v>
      </c>
      <c r="CS31" s="99">
        <v>9604.2585372131198</v>
      </c>
      <c r="CT31" s="99">
        <v>14.886234376847989</v>
      </c>
      <c r="CU31" s="99">
        <v>5073.2286756297945</v>
      </c>
    </row>
    <row r="32" spans="2:99">
      <c r="C32" s="98" t="s">
        <v>197</v>
      </c>
      <c r="D32" s="99">
        <v>0</v>
      </c>
      <c r="E32" s="99">
        <v>0</v>
      </c>
      <c r="F32" s="99">
        <v>0</v>
      </c>
      <c r="G32" s="99">
        <v>0</v>
      </c>
      <c r="H32" s="99">
        <v>21.577584794363393</v>
      </c>
      <c r="I32" s="99">
        <v>18125.171227265251</v>
      </c>
      <c r="J32" s="99">
        <v>15.524845820190526</v>
      </c>
      <c r="K32" s="99">
        <v>13040.870488960041</v>
      </c>
      <c r="L32" s="99">
        <v>30</v>
      </c>
      <c r="M32" s="99">
        <v>25200</v>
      </c>
      <c r="N32" s="99">
        <v>56</v>
      </c>
      <c r="O32" s="99">
        <v>47040</v>
      </c>
      <c r="P32" s="99">
        <v>43</v>
      </c>
      <c r="Q32" s="99">
        <v>36120</v>
      </c>
      <c r="R32" s="99">
        <v>24.724420629939726</v>
      </c>
      <c r="S32" s="99">
        <v>20768.513329149369</v>
      </c>
      <c r="T32" s="99">
        <v>48</v>
      </c>
      <c r="U32" s="99">
        <v>40320</v>
      </c>
      <c r="V32" s="99">
        <v>44</v>
      </c>
      <c r="W32" s="99">
        <v>36960</v>
      </c>
      <c r="X32" s="99">
        <v>52</v>
      </c>
      <c r="Y32" s="99">
        <v>43680</v>
      </c>
      <c r="Z32" s="99">
        <v>52</v>
      </c>
      <c r="AA32" s="99">
        <v>43680</v>
      </c>
      <c r="AB32" s="99">
        <v>61</v>
      </c>
      <c r="AC32" s="99">
        <v>51240</v>
      </c>
      <c r="AD32" s="99">
        <v>62</v>
      </c>
      <c r="AE32" s="99">
        <v>52080</v>
      </c>
      <c r="AF32" s="99">
        <v>45.079196058940667</v>
      </c>
      <c r="AG32" s="99">
        <v>37866.524689510159</v>
      </c>
      <c r="AH32" s="99">
        <v>0</v>
      </c>
      <c r="AI32" s="99">
        <v>0</v>
      </c>
      <c r="AJ32" s="99">
        <v>47</v>
      </c>
      <c r="AK32" s="99">
        <v>39480</v>
      </c>
      <c r="AL32" s="99">
        <v>30</v>
      </c>
      <c r="AM32" s="99">
        <v>25200</v>
      </c>
      <c r="AN32" s="99">
        <v>51</v>
      </c>
      <c r="AO32" s="99">
        <v>42840</v>
      </c>
      <c r="AP32" s="99">
        <v>55</v>
      </c>
      <c r="AQ32" s="99">
        <v>46200</v>
      </c>
      <c r="AR32" s="99">
        <v>52</v>
      </c>
      <c r="AS32" s="99">
        <v>43680</v>
      </c>
      <c r="AT32" s="99">
        <v>25.840081128282367</v>
      </c>
      <c r="AU32" s="99">
        <v>21705.668147757187</v>
      </c>
      <c r="AV32" s="99">
        <v>43</v>
      </c>
      <c r="AW32" s="99">
        <v>36120</v>
      </c>
      <c r="AX32" s="99">
        <v>59</v>
      </c>
      <c r="AY32" s="99">
        <v>49560</v>
      </c>
      <c r="AZ32" s="99">
        <v>52</v>
      </c>
      <c r="BA32" s="99">
        <v>43680</v>
      </c>
      <c r="BB32" s="99">
        <v>54</v>
      </c>
      <c r="BC32" s="99">
        <v>45360</v>
      </c>
      <c r="BD32" s="99">
        <v>64</v>
      </c>
      <c r="BE32" s="99">
        <v>53760</v>
      </c>
      <c r="BF32" s="99">
        <v>56</v>
      </c>
      <c r="BG32" s="99">
        <v>47040</v>
      </c>
      <c r="BH32" s="99">
        <v>46.493603795313255</v>
      </c>
      <c r="BI32" s="99">
        <v>39054.627188063132</v>
      </c>
      <c r="BJ32" s="99">
        <v>41.627341634826635</v>
      </c>
      <c r="BK32" s="99">
        <v>34966.966973254377</v>
      </c>
      <c r="BL32" s="99">
        <v>25.483788959263396</v>
      </c>
      <c r="BM32" s="99">
        <v>21406.382725781252</v>
      </c>
      <c r="BN32" s="99">
        <v>17.367205421591933</v>
      </c>
      <c r="BO32" s="99">
        <v>14588.452554137224</v>
      </c>
      <c r="BP32" s="99">
        <v>46</v>
      </c>
      <c r="BQ32" s="99">
        <v>38640</v>
      </c>
      <c r="BR32" s="99">
        <v>35.524144834503502</v>
      </c>
      <c r="BS32" s="99">
        <v>29840.281660982942</v>
      </c>
      <c r="BT32" s="99">
        <v>37</v>
      </c>
      <c r="BU32" s="99">
        <v>31080</v>
      </c>
      <c r="BV32" s="99">
        <v>45.425782095238091</v>
      </c>
      <c r="BW32" s="99">
        <v>38157.656959999993</v>
      </c>
      <c r="BX32" s="99">
        <v>30.932632291899466</v>
      </c>
      <c r="BY32" s="99">
        <v>25983.411125195551</v>
      </c>
      <c r="BZ32" s="99">
        <v>0</v>
      </c>
      <c r="CA32" s="99">
        <v>0</v>
      </c>
      <c r="CB32" s="99">
        <v>54</v>
      </c>
      <c r="CC32" s="99">
        <v>45360</v>
      </c>
      <c r="CD32" s="99">
        <v>52</v>
      </c>
      <c r="CE32" s="99">
        <v>43680</v>
      </c>
      <c r="CF32" s="99">
        <v>64</v>
      </c>
      <c r="CG32" s="99">
        <v>53760</v>
      </c>
      <c r="CH32" s="99">
        <v>25.884953360609085</v>
      </c>
      <c r="CI32" s="99">
        <v>21743.360822911633</v>
      </c>
      <c r="CJ32" s="99">
        <v>0</v>
      </c>
      <c r="CK32" s="99">
        <v>0</v>
      </c>
      <c r="CL32" s="99">
        <v>0</v>
      </c>
      <c r="CM32" s="99">
        <v>0</v>
      </c>
      <c r="CN32" s="99">
        <v>38</v>
      </c>
      <c r="CO32" s="99">
        <v>31920</v>
      </c>
      <c r="CP32" s="99">
        <v>37</v>
      </c>
      <c r="CQ32" s="99">
        <v>31080</v>
      </c>
      <c r="CR32" s="99">
        <v>28.181509792292015</v>
      </c>
      <c r="CS32" s="99">
        <v>23672.468225525292</v>
      </c>
      <c r="CT32" s="99">
        <v>15.87865000197119</v>
      </c>
      <c r="CU32" s="99">
        <v>13338.066001655799</v>
      </c>
    </row>
    <row r="33" spans="2:99">
      <c r="C33" s="98" t="s">
        <v>198</v>
      </c>
      <c r="D33" s="99">
        <v>0</v>
      </c>
      <c r="E33" s="99">
        <v>0</v>
      </c>
      <c r="F33" s="99">
        <v>0</v>
      </c>
      <c r="G33" s="99">
        <v>0</v>
      </c>
      <c r="H33" s="99">
        <v>24.361789283958668</v>
      </c>
      <c r="I33" s="99">
        <v>11547.488120596408</v>
      </c>
      <c r="J33" s="99">
        <v>16.750491542837146</v>
      </c>
      <c r="K33" s="99">
        <v>7939.732991304807</v>
      </c>
      <c r="L33" s="99">
        <v>34</v>
      </c>
      <c r="M33" s="99">
        <v>16116</v>
      </c>
      <c r="N33" s="99">
        <v>52</v>
      </c>
      <c r="O33" s="99">
        <v>24648</v>
      </c>
      <c r="P33" s="99">
        <v>48</v>
      </c>
      <c r="Q33" s="99">
        <v>22752</v>
      </c>
      <c r="R33" s="99">
        <v>23.600583328578825</v>
      </c>
      <c r="S33" s="99">
        <v>11186.676497746363</v>
      </c>
      <c r="T33" s="99">
        <v>44</v>
      </c>
      <c r="U33" s="99">
        <v>20856</v>
      </c>
      <c r="V33" s="99">
        <v>52</v>
      </c>
      <c r="W33" s="99">
        <v>24648</v>
      </c>
      <c r="X33" s="99">
        <v>61</v>
      </c>
      <c r="Y33" s="99">
        <v>28914</v>
      </c>
      <c r="Z33" s="99">
        <v>53</v>
      </c>
      <c r="AA33" s="99">
        <v>25122</v>
      </c>
      <c r="AB33" s="99">
        <v>60</v>
      </c>
      <c r="AC33" s="99">
        <v>28440</v>
      </c>
      <c r="AD33" s="99">
        <v>63</v>
      </c>
      <c r="AE33" s="99">
        <v>29862</v>
      </c>
      <c r="AF33" s="99">
        <v>48.83579573051906</v>
      </c>
      <c r="AG33" s="99">
        <v>23148.167176266033</v>
      </c>
      <c r="AH33" s="99">
        <v>0</v>
      </c>
      <c r="AI33" s="99">
        <v>0</v>
      </c>
      <c r="AJ33" s="99">
        <v>49</v>
      </c>
      <c r="AK33" s="99">
        <v>23226</v>
      </c>
      <c r="AL33" s="99">
        <v>34</v>
      </c>
      <c r="AM33" s="99">
        <v>16116</v>
      </c>
      <c r="AN33" s="99">
        <v>53</v>
      </c>
      <c r="AO33" s="99">
        <v>25122</v>
      </c>
      <c r="AP33" s="99">
        <v>51</v>
      </c>
      <c r="AQ33" s="99">
        <v>24174</v>
      </c>
      <c r="AR33" s="99">
        <v>55</v>
      </c>
      <c r="AS33" s="99">
        <v>26070</v>
      </c>
      <c r="AT33" s="99">
        <v>23.852382579952952</v>
      </c>
      <c r="AU33" s="99">
        <v>11306.029342897698</v>
      </c>
      <c r="AV33" s="99">
        <v>45</v>
      </c>
      <c r="AW33" s="99">
        <v>21330</v>
      </c>
      <c r="AX33" s="99">
        <v>63</v>
      </c>
      <c r="AY33" s="99">
        <v>29862</v>
      </c>
      <c r="AZ33" s="99">
        <v>57</v>
      </c>
      <c r="BA33" s="99">
        <v>27018</v>
      </c>
      <c r="BB33" s="99">
        <v>52</v>
      </c>
      <c r="BC33" s="99">
        <v>24648</v>
      </c>
      <c r="BD33" s="99">
        <v>64</v>
      </c>
      <c r="BE33" s="99">
        <v>30336</v>
      </c>
      <c r="BF33" s="99">
        <v>59</v>
      </c>
      <c r="BG33" s="99">
        <v>27966</v>
      </c>
      <c r="BH33" s="99">
        <v>47.423475871219523</v>
      </c>
      <c r="BI33" s="99">
        <v>22478.727562958054</v>
      </c>
      <c r="BJ33" s="99">
        <v>45.170094114386352</v>
      </c>
      <c r="BK33" s="99">
        <v>21410.624610219129</v>
      </c>
      <c r="BL33" s="99">
        <v>24.240677302713962</v>
      </c>
      <c r="BM33" s="99">
        <v>11490.081041486417</v>
      </c>
      <c r="BN33" s="99">
        <v>17.70773886123099</v>
      </c>
      <c r="BO33" s="99">
        <v>8393.468220223489</v>
      </c>
      <c r="BP33" s="99">
        <v>49</v>
      </c>
      <c r="BQ33" s="99">
        <v>23226</v>
      </c>
      <c r="BR33" s="99">
        <v>36.974109929789357</v>
      </c>
      <c r="BS33" s="99">
        <v>17525.728106720155</v>
      </c>
      <c r="BT33" s="99">
        <v>41</v>
      </c>
      <c r="BU33" s="99">
        <v>19434</v>
      </c>
      <c r="BV33" s="99">
        <v>45.425782095238091</v>
      </c>
      <c r="BW33" s="99">
        <v>21531.820713142853</v>
      </c>
      <c r="BX33" s="99">
        <v>32.75219889730532</v>
      </c>
      <c r="BY33" s="99">
        <v>15524.542277322722</v>
      </c>
      <c r="BZ33" s="99">
        <v>0</v>
      </c>
      <c r="CA33" s="99">
        <v>0</v>
      </c>
      <c r="CB33" s="99">
        <v>59</v>
      </c>
      <c r="CC33" s="99">
        <v>27966</v>
      </c>
      <c r="CD33" s="99">
        <v>53</v>
      </c>
      <c r="CE33" s="99">
        <v>25122</v>
      </c>
      <c r="CF33" s="99">
        <v>65</v>
      </c>
      <c r="CG33" s="99">
        <v>30810</v>
      </c>
      <c r="CH33" s="99">
        <v>26.809415980630838</v>
      </c>
      <c r="CI33" s="99">
        <v>12707.663174819018</v>
      </c>
      <c r="CJ33" s="99">
        <v>0</v>
      </c>
      <c r="CK33" s="99">
        <v>0</v>
      </c>
      <c r="CL33" s="99">
        <v>0</v>
      </c>
      <c r="CM33" s="99">
        <v>0</v>
      </c>
      <c r="CN33" s="99">
        <v>38</v>
      </c>
      <c r="CO33" s="99">
        <v>18012</v>
      </c>
      <c r="CP33" s="99">
        <v>37</v>
      </c>
      <c r="CQ33" s="99">
        <v>17538</v>
      </c>
      <c r="CR33" s="99">
        <v>32.024442945786383</v>
      </c>
      <c r="CS33" s="99">
        <v>15179.585956302746</v>
      </c>
      <c r="CT33" s="99">
        <v>16.209455210345588</v>
      </c>
      <c r="CU33" s="99">
        <v>7683.281769703809</v>
      </c>
    </row>
    <row r="34" spans="2:99">
      <c r="C34" s="98" t="s">
        <v>199</v>
      </c>
      <c r="D34" s="99">
        <v>0</v>
      </c>
      <c r="E34" s="99">
        <v>0</v>
      </c>
      <c r="F34" s="99">
        <v>0</v>
      </c>
      <c r="G34" s="99">
        <v>0</v>
      </c>
      <c r="H34" s="99">
        <v>21.577584794363393</v>
      </c>
      <c r="I34" s="99">
        <v>11833.147501228885</v>
      </c>
      <c r="J34" s="99">
        <v>17.567588691268227</v>
      </c>
      <c r="K34" s="99">
        <v>9634.0656382914949</v>
      </c>
      <c r="L34" s="99">
        <v>37</v>
      </c>
      <c r="M34" s="99">
        <v>20290.8</v>
      </c>
      <c r="N34" s="99">
        <v>50</v>
      </c>
      <c r="O34" s="99">
        <v>27420</v>
      </c>
      <c r="P34" s="99">
        <v>52</v>
      </c>
      <c r="Q34" s="99">
        <v>28516.799999999999</v>
      </c>
      <c r="R34" s="99">
        <v>21.352908725857034</v>
      </c>
      <c r="S34" s="99">
        <v>11709.935145259997</v>
      </c>
      <c r="T34" s="99">
        <v>47</v>
      </c>
      <c r="U34" s="99">
        <v>25774.799999999999</v>
      </c>
      <c r="V34" s="99">
        <v>46</v>
      </c>
      <c r="W34" s="99">
        <v>25226.399999999998</v>
      </c>
      <c r="X34" s="99">
        <v>60</v>
      </c>
      <c r="Y34" s="99">
        <v>32904</v>
      </c>
      <c r="Z34" s="99">
        <v>51</v>
      </c>
      <c r="AA34" s="99">
        <v>27968.399999999998</v>
      </c>
      <c r="AB34" s="99">
        <v>59</v>
      </c>
      <c r="AC34" s="99">
        <v>32355.599999999999</v>
      </c>
      <c r="AD34" s="99">
        <v>59</v>
      </c>
      <c r="AE34" s="99">
        <v>32355.599999999999</v>
      </c>
      <c r="AF34" s="99">
        <v>46.018345976835263</v>
      </c>
      <c r="AG34" s="99">
        <v>25236.460933696457</v>
      </c>
      <c r="AH34" s="99">
        <v>0</v>
      </c>
      <c r="AI34" s="99">
        <v>0</v>
      </c>
      <c r="AJ34" s="99">
        <v>48</v>
      </c>
      <c r="AK34" s="99">
        <v>26323.199999999997</v>
      </c>
      <c r="AL34" s="99">
        <v>30</v>
      </c>
      <c r="AM34" s="99">
        <v>16452</v>
      </c>
      <c r="AN34" s="99">
        <v>52</v>
      </c>
      <c r="AO34" s="99">
        <v>28516.799999999999</v>
      </c>
      <c r="AP34" s="99">
        <v>49</v>
      </c>
      <c r="AQ34" s="99">
        <v>26871.599999999999</v>
      </c>
      <c r="AR34" s="99">
        <v>50</v>
      </c>
      <c r="AS34" s="99">
        <v>27420</v>
      </c>
      <c r="AT34" s="99">
        <v>22.858533305788246</v>
      </c>
      <c r="AU34" s="99">
        <v>12535.619664894273</v>
      </c>
      <c r="AV34" s="99">
        <v>43</v>
      </c>
      <c r="AW34" s="99">
        <v>23581.200000000001</v>
      </c>
      <c r="AX34" s="99">
        <v>60</v>
      </c>
      <c r="AY34" s="99">
        <v>32904</v>
      </c>
      <c r="AZ34" s="99">
        <v>54</v>
      </c>
      <c r="BA34" s="99">
        <v>29613.599999999999</v>
      </c>
      <c r="BB34" s="99">
        <v>55</v>
      </c>
      <c r="BC34" s="99">
        <v>30162</v>
      </c>
      <c r="BD34" s="99">
        <v>68</v>
      </c>
      <c r="BE34" s="99">
        <v>37291.199999999997</v>
      </c>
      <c r="BF34" s="99">
        <v>61</v>
      </c>
      <c r="BG34" s="99">
        <v>33452.400000000001</v>
      </c>
      <c r="BH34" s="99">
        <v>48.353347947125791</v>
      </c>
      <c r="BI34" s="99">
        <v>26516.976014203781</v>
      </c>
      <c r="BJ34" s="99">
        <v>43.398717874606497</v>
      </c>
      <c r="BK34" s="99">
        <v>23799.856882434204</v>
      </c>
      <c r="BL34" s="99">
        <v>22.997565646164528</v>
      </c>
      <c r="BM34" s="99">
        <v>12611.865000356627</v>
      </c>
      <c r="BN34" s="99">
        <v>18.729339180148163</v>
      </c>
      <c r="BO34" s="99">
        <v>10271.169606393252</v>
      </c>
      <c r="BP34" s="99">
        <v>52</v>
      </c>
      <c r="BQ34" s="99">
        <v>28516.799999999999</v>
      </c>
      <c r="BR34" s="99">
        <v>33.349197191574717</v>
      </c>
      <c r="BS34" s="99">
        <v>18288.699739859574</v>
      </c>
      <c r="BT34" s="99">
        <v>36</v>
      </c>
      <c r="BU34" s="99">
        <v>19742.399999999998</v>
      </c>
      <c r="BV34" s="99">
        <v>43.960434285714278</v>
      </c>
      <c r="BW34" s="99">
        <v>24107.902162285711</v>
      </c>
      <c r="BX34" s="99">
        <v>28.20328238379069</v>
      </c>
      <c r="BY34" s="99">
        <v>15466.680059270813</v>
      </c>
      <c r="BZ34" s="99">
        <v>0</v>
      </c>
      <c r="CA34" s="99">
        <v>0</v>
      </c>
      <c r="CB34" s="99">
        <v>63</v>
      </c>
      <c r="CC34" s="99">
        <v>34549.199999999997</v>
      </c>
      <c r="CD34" s="99">
        <v>62</v>
      </c>
      <c r="CE34" s="99">
        <v>34000.799999999996</v>
      </c>
      <c r="CF34" s="99">
        <v>61</v>
      </c>
      <c r="CG34" s="99">
        <v>33452.400000000001</v>
      </c>
      <c r="CH34" s="99">
        <v>29.120572530685219</v>
      </c>
      <c r="CI34" s="99">
        <v>15969.721975827773</v>
      </c>
      <c r="CJ34" s="99">
        <v>0</v>
      </c>
      <c r="CK34" s="99">
        <v>0</v>
      </c>
      <c r="CL34" s="99">
        <v>0</v>
      </c>
      <c r="CM34" s="99">
        <v>0</v>
      </c>
      <c r="CN34" s="99">
        <v>40</v>
      </c>
      <c r="CO34" s="99">
        <v>21936</v>
      </c>
      <c r="CP34" s="99">
        <v>32</v>
      </c>
      <c r="CQ34" s="99">
        <v>17548.8</v>
      </c>
      <c r="CR34" s="99">
        <v>28.181509792292015</v>
      </c>
      <c r="CS34" s="99">
        <v>15454.73997009294</v>
      </c>
      <c r="CT34" s="99">
        <v>16.209455210345588</v>
      </c>
      <c r="CU34" s="99">
        <v>8889.2652373535202</v>
      </c>
    </row>
    <row r="35" spans="2:99">
      <c r="C35" s="98" t="s">
        <v>200</v>
      </c>
      <c r="D35" s="99">
        <v>0</v>
      </c>
      <c r="E35" s="99">
        <v>0</v>
      </c>
      <c r="F35" s="99">
        <v>0</v>
      </c>
      <c r="G35" s="99">
        <v>0</v>
      </c>
      <c r="H35" s="99">
        <v>22.27363591676221</v>
      </c>
      <c r="I35" s="99">
        <v>11199.184138948036</v>
      </c>
      <c r="J35" s="99">
        <v>16.341942968621606</v>
      </c>
      <c r="K35" s="99">
        <v>8216.7289246229411</v>
      </c>
      <c r="L35" s="99">
        <v>31</v>
      </c>
      <c r="M35" s="99">
        <v>15586.799999999997</v>
      </c>
      <c r="N35" s="99">
        <v>54</v>
      </c>
      <c r="O35" s="99">
        <v>27151.199999999993</v>
      </c>
      <c r="P35" s="99">
        <v>52</v>
      </c>
      <c r="Q35" s="99">
        <v>26145.599999999995</v>
      </c>
      <c r="R35" s="99">
        <v>24.724420629939726</v>
      </c>
      <c r="S35" s="99">
        <v>12431.438692733691</v>
      </c>
      <c r="T35" s="99">
        <v>53</v>
      </c>
      <c r="U35" s="99">
        <v>26648.399999999994</v>
      </c>
      <c r="V35" s="99">
        <v>46</v>
      </c>
      <c r="W35" s="99">
        <v>23128.799999999996</v>
      </c>
      <c r="X35" s="99">
        <v>52</v>
      </c>
      <c r="Y35" s="99">
        <v>26145.599999999995</v>
      </c>
      <c r="Z35" s="99">
        <v>53</v>
      </c>
      <c r="AA35" s="99">
        <v>26648.399999999994</v>
      </c>
      <c r="AB35" s="99">
        <v>65</v>
      </c>
      <c r="AC35" s="99">
        <v>32681.999999999993</v>
      </c>
      <c r="AD35" s="99">
        <v>56</v>
      </c>
      <c r="AE35" s="99">
        <v>28156.799999999996</v>
      </c>
      <c r="AF35" s="99">
        <v>53.531545319992048</v>
      </c>
      <c r="AG35" s="99">
        <v>26915.660986891995</v>
      </c>
      <c r="AH35" s="99">
        <v>0</v>
      </c>
      <c r="AI35" s="99">
        <v>0</v>
      </c>
      <c r="AJ35" s="99">
        <v>45</v>
      </c>
      <c r="AK35" s="99">
        <v>22625.999999999996</v>
      </c>
      <c r="AL35" s="99">
        <v>31</v>
      </c>
      <c r="AM35" s="99">
        <v>15586.799999999997</v>
      </c>
      <c r="AN35" s="99">
        <v>47</v>
      </c>
      <c r="AO35" s="99">
        <v>23631.599999999995</v>
      </c>
      <c r="AP35" s="99">
        <v>55</v>
      </c>
      <c r="AQ35" s="99">
        <v>27653.999999999993</v>
      </c>
      <c r="AR35" s="99">
        <v>55</v>
      </c>
      <c r="AS35" s="99">
        <v>27653.999999999993</v>
      </c>
      <c r="AT35" s="99">
        <v>25.343156491200009</v>
      </c>
      <c r="AU35" s="99">
        <v>12742.539083775362</v>
      </c>
      <c r="AV35" s="99">
        <v>41</v>
      </c>
      <c r="AW35" s="99">
        <v>20614.799999999996</v>
      </c>
      <c r="AX35" s="99">
        <v>63</v>
      </c>
      <c r="AY35" s="99">
        <v>31676.399999999994</v>
      </c>
      <c r="AZ35" s="99">
        <v>54</v>
      </c>
      <c r="BA35" s="99">
        <v>27151.199999999993</v>
      </c>
      <c r="BB35" s="99">
        <v>57</v>
      </c>
      <c r="BC35" s="99">
        <v>28659.599999999995</v>
      </c>
      <c r="BD35" s="99">
        <v>63</v>
      </c>
      <c r="BE35" s="99">
        <v>31676.399999999994</v>
      </c>
      <c r="BF35" s="99">
        <v>57</v>
      </c>
      <c r="BG35" s="99">
        <v>28659.599999999995</v>
      </c>
      <c r="BH35" s="99">
        <v>50.213092098938318</v>
      </c>
      <c r="BI35" s="99">
        <v>25247.142707346182</v>
      </c>
      <c r="BJ35" s="99">
        <v>38.084589155266926</v>
      </c>
      <c r="BK35" s="99">
        <v>19148.931427268206</v>
      </c>
      <c r="BL35" s="99">
        <v>22.376009817889813</v>
      </c>
      <c r="BM35" s="99">
        <v>11250.657736434996</v>
      </c>
      <c r="BN35" s="99">
        <v>18.048272300870046</v>
      </c>
      <c r="BO35" s="99">
        <v>9074.6713128774572</v>
      </c>
      <c r="BP35" s="99">
        <v>51</v>
      </c>
      <c r="BQ35" s="99">
        <v>25642.799999999996</v>
      </c>
      <c r="BR35" s="99">
        <v>33.349197191574717</v>
      </c>
      <c r="BS35" s="99">
        <v>16767.976347923763</v>
      </c>
      <c r="BT35" s="99">
        <v>43</v>
      </c>
      <c r="BU35" s="99">
        <v>21620.399999999994</v>
      </c>
      <c r="BV35" s="99">
        <v>49.821825523809508</v>
      </c>
      <c r="BW35" s="99">
        <v>25050.413873371417</v>
      </c>
      <c r="BX35" s="99">
        <v>32.75219889730532</v>
      </c>
      <c r="BY35" s="99">
        <v>16467.80560556511</v>
      </c>
      <c r="BZ35" s="99">
        <v>0</v>
      </c>
      <c r="CA35" s="99">
        <v>0</v>
      </c>
      <c r="CB35" s="99">
        <v>55</v>
      </c>
      <c r="CC35" s="99">
        <v>27653.999999999993</v>
      </c>
      <c r="CD35" s="99">
        <v>57</v>
      </c>
      <c r="CE35" s="99">
        <v>28659.599999999995</v>
      </c>
      <c r="CF35" s="99">
        <v>59</v>
      </c>
      <c r="CG35" s="99">
        <v>29665.199999999993</v>
      </c>
      <c r="CH35" s="99">
        <v>26.809415980630838</v>
      </c>
      <c r="CI35" s="99">
        <v>13479.774355061183</v>
      </c>
      <c r="CJ35" s="99">
        <v>0</v>
      </c>
      <c r="CK35" s="99">
        <v>0</v>
      </c>
      <c r="CL35" s="99">
        <v>0</v>
      </c>
      <c r="CM35" s="99">
        <v>0</v>
      </c>
      <c r="CN35" s="99">
        <v>36</v>
      </c>
      <c r="CO35" s="99">
        <v>18100.799999999996</v>
      </c>
      <c r="CP35" s="99">
        <v>35</v>
      </c>
      <c r="CQ35" s="99">
        <v>17597.999999999996</v>
      </c>
      <c r="CR35" s="99">
        <v>26.900532074460557</v>
      </c>
      <c r="CS35" s="99">
        <v>13525.587527038766</v>
      </c>
      <c r="CT35" s="99">
        <v>14.224623960099189</v>
      </c>
      <c r="CU35" s="99">
        <v>7152.1409271378707</v>
      </c>
    </row>
    <row r="36" spans="2:99">
      <c r="C36" s="98" t="s">
        <v>201</v>
      </c>
      <c r="D36" s="99">
        <v>0</v>
      </c>
      <c r="E36" s="99">
        <v>0</v>
      </c>
      <c r="F36" s="99">
        <v>0</v>
      </c>
      <c r="G36" s="99">
        <v>0</v>
      </c>
      <c r="H36" s="99">
        <v>22.27363591676221</v>
      </c>
      <c r="I36" s="99">
        <v>16945.782205472689</v>
      </c>
      <c r="J36" s="99">
        <v>17.159040117052683</v>
      </c>
      <c r="K36" s="99">
        <v>13054.59772105368</v>
      </c>
      <c r="L36" s="99">
        <v>31</v>
      </c>
      <c r="M36" s="99">
        <v>23584.799999999999</v>
      </c>
      <c r="N36" s="99">
        <v>56</v>
      </c>
      <c r="O36" s="99">
        <v>42604.799999999996</v>
      </c>
      <c r="P36" s="99">
        <v>45</v>
      </c>
      <c r="Q36" s="99">
        <v>34236</v>
      </c>
      <c r="R36" s="99">
        <v>23.600583328578825</v>
      </c>
      <c r="S36" s="99">
        <v>17955.323796382771</v>
      </c>
      <c r="T36" s="99">
        <v>47</v>
      </c>
      <c r="U36" s="99">
        <v>35757.599999999999</v>
      </c>
      <c r="V36" s="99">
        <v>46</v>
      </c>
      <c r="W36" s="99">
        <v>34996.799999999996</v>
      </c>
      <c r="X36" s="99">
        <v>60</v>
      </c>
      <c r="Y36" s="99">
        <v>45648</v>
      </c>
      <c r="Z36" s="99">
        <v>52</v>
      </c>
      <c r="AA36" s="99">
        <v>39561.599999999999</v>
      </c>
      <c r="AB36" s="99">
        <v>63</v>
      </c>
      <c r="AC36" s="99">
        <v>47930.399999999994</v>
      </c>
      <c r="AD36" s="99">
        <v>63</v>
      </c>
      <c r="AE36" s="99">
        <v>47930.399999999994</v>
      </c>
      <c r="AF36" s="99">
        <v>50.714095566308252</v>
      </c>
      <c r="AG36" s="99">
        <v>38583.283906847319</v>
      </c>
      <c r="AH36" s="99">
        <v>0</v>
      </c>
      <c r="AI36" s="99">
        <v>0</v>
      </c>
      <c r="AJ36" s="99">
        <v>44</v>
      </c>
      <c r="AK36" s="99">
        <v>33475.199999999997</v>
      </c>
      <c r="AL36" s="99">
        <v>35</v>
      </c>
      <c r="AM36" s="99">
        <v>26628</v>
      </c>
      <c r="AN36" s="99">
        <v>55</v>
      </c>
      <c r="AO36" s="99">
        <v>41844</v>
      </c>
      <c r="AP36" s="99">
        <v>57</v>
      </c>
      <c r="AQ36" s="99">
        <v>43365.599999999999</v>
      </c>
      <c r="AR36" s="99">
        <v>45</v>
      </c>
      <c r="AS36" s="99">
        <v>34236</v>
      </c>
      <c r="AT36" s="99">
        <v>24.349307217035307</v>
      </c>
      <c r="AU36" s="99">
        <v>18524.952930720461</v>
      </c>
      <c r="AV36" s="99">
        <v>39</v>
      </c>
      <c r="AW36" s="99">
        <v>29671.199999999997</v>
      </c>
      <c r="AX36" s="99">
        <v>56</v>
      </c>
      <c r="AY36" s="99">
        <v>42604.799999999996</v>
      </c>
      <c r="AZ36" s="99">
        <v>51</v>
      </c>
      <c r="BA36" s="99">
        <v>38800.799999999996</v>
      </c>
      <c r="BB36" s="99">
        <v>52</v>
      </c>
      <c r="BC36" s="99">
        <v>39561.599999999999</v>
      </c>
      <c r="BD36" s="99">
        <v>59</v>
      </c>
      <c r="BE36" s="99">
        <v>44887.199999999997</v>
      </c>
      <c r="BF36" s="99">
        <v>63</v>
      </c>
      <c r="BG36" s="99">
        <v>47930.399999999994</v>
      </c>
      <c r="BH36" s="99">
        <v>47.423475871219523</v>
      </c>
      <c r="BI36" s="99">
        <v>36079.780442823809</v>
      </c>
      <c r="BJ36" s="99">
        <v>38.970277275156853</v>
      </c>
      <c r="BK36" s="99">
        <v>29648.586950939331</v>
      </c>
      <c r="BL36" s="99">
        <v>22.997565646164528</v>
      </c>
      <c r="BM36" s="99">
        <v>17496.54794360197</v>
      </c>
      <c r="BN36" s="99">
        <v>16.686138542313817</v>
      </c>
      <c r="BO36" s="99">
        <v>12694.814202992351</v>
      </c>
      <c r="BP36" s="99">
        <v>47</v>
      </c>
      <c r="BQ36" s="99">
        <v>35757.599999999999</v>
      </c>
      <c r="BR36" s="99">
        <v>36.249127382146433</v>
      </c>
      <c r="BS36" s="99">
        <v>27578.336112337005</v>
      </c>
      <c r="BT36" s="99">
        <v>41</v>
      </c>
      <c r="BU36" s="99">
        <v>31192.799999999999</v>
      </c>
      <c r="BV36" s="99">
        <v>45.425782095238091</v>
      </c>
      <c r="BW36" s="99">
        <v>34559.935018057135</v>
      </c>
      <c r="BX36" s="99">
        <v>30.02284898919654</v>
      </c>
      <c r="BY36" s="99">
        <v>22841.383510980726</v>
      </c>
      <c r="BZ36" s="99">
        <v>0</v>
      </c>
      <c r="CA36" s="99">
        <v>0</v>
      </c>
      <c r="CB36" s="99">
        <v>53</v>
      </c>
      <c r="CC36" s="99">
        <v>40322.399999999994</v>
      </c>
      <c r="CD36" s="99">
        <v>53</v>
      </c>
      <c r="CE36" s="99">
        <v>40322.399999999994</v>
      </c>
      <c r="CF36" s="99">
        <v>62</v>
      </c>
      <c r="CG36" s="99">
        <v>47169.599999999999</v>
      </c>
      <c r="CH36" s="99">
        <v>26.809415980630838</v>
      </c>
      <c r="CI36" s="99">
        <v>20396.603678063941</v>
      </c>
      <c r="CJ36" s="99">
        <v>0</v>
      </c>
      <c r="CK36" s="99">
        <v>0</v>
      </c>
      <c r="CL36" s="99">
        <v>0</v>
      </c>
      <c r="CM36" s="99">
        <v>0</v>
      </c>
      <c r="CN36" s="99">
        <v>36</v>
      </c>
      <c r="CO36" s="99">
        <v>27388.799999999999</v>
      </c>
      <c r="CP36" s="99">
        <v>33</v>
      </c>
      <c r="CQ36" s="99">
        <v>25106.399999999998</v>
      </c>
      <c r="CR36" s="99">
        <v>27.541020933376288</v>
      </c>
      <c r="CS36" s="99">
        <v>20953.20872611268</v>
      </c>
      <c r="CT36" s="99">
        <v>15.547844793596788</v>
      </c>
      <c r="CU36" s="99">
        <v>11828.800318968435</v>
      </c>
    </row>
    <row r="37" spans="2:99">
      <c r="B37" s="98" t="s">
        <v>128</v>
      </c>
      <c r="C37" s="98" t="s">
        <v>202</v>
      </c>
      <c r="D37" s="99">
        <v>0</v>
      </c>
      <c r="E37" s="99">
        <v>0</v>
      </c>
      <c r="F37" s="99">
        <v>0</v>
      </c>
      <c r="G37" s="99">
        <v>0</v>
      </c>
      <c r="H37" s="99">
        <v>6.2644601015893722</v>
      </c>
      <c r="I37" s="99">
        <v>5389.9414714074956</v>
      </c>
      <c r="J37" s="99">
        <v>4.9025828905864817</v>
      </c>
      <c r="K37" s="99">
        <v>4218.1823190606083</v>
      </c>
      <c r="L37" s="99">
        <v>8</v>
      </c>
      <c r="M37" s="99">
        <v>6883.2</v>
      </c>
      <c r="N37" s="99">
        <v>10</v>
      </c>
      <c r="O37" s="99">
        <v>8604</v>
      </c>
      <c r="P37" s="99">
        <v>10</v>
      </c>
      <c r="Q37" s="99">
        <v>8604</v>
      </c>
      <c r="R37" s="99">
        <v>6.1811051574849314</v>
      </c>
      <c r="S37" s="99">
        <v>5318.2228775000349</v>
      </c>
      <c r="T37" s="99">
        <v>10</v>
      </c>
      <c r="U37" s="99">
        <v>8604</v>
      </c>
      <c r="V37" s="99">
        <v>11</v>
      </c>
      <c r="W37" s="99">
        <v>9464.4</v>
      </c>
      <c r="X37" s="99">
        <v>10</v>
      </c>
      <c r="Y37" s="99">
        <v>8604</v>
      </c>
      <c r="Z37" s="99">
        <v>11</v>
      </c>
      <c r="AA37" s="99">
        <v>9464.4</v>
      </c>
      <c r="AB37" s="99">
        <v>9</v>
      </c>
      <c r="AC37" s="99">
        <v>7743.5999999999995</v>
      </c>
      <c r="AD37" s="99">
        <v>11</v>
      </c>
      <c r="AE37" s="99">
        <v>9464.4</v>
      </c>
      <c r="AF37" s="99">
        <v>8.452349261051376</v>
      </c>
      <c r="AG37" s="99">
        <v>7272.4013042086035</v>
      </c>
      <c r="AH37" s="99">
        <v>0</v>
      </c>
      <c r="AI37" s="99">
        <v>0</v>
      </c>
      <c r="AJ37" s="99">
        <v>7</v>
      </c>
      <c r="AK37" s="99">
        <v>6022.8</v>
      </c>
      <c r="AL37" s="99">
        <v>12</v>
      </c>
      <c r="AM37" s="99">
        <v>10324.799999999999</v>
      </c>
      <c r="AN37" s="99">
        <v>7</v>
      </c>
      <c r="AO37" s="99">
        <v>6022.8</v>
      </c>
      <c r="AP37" s="99">
        <v>8</v>
      </c>
      <c r="AQ37" s="99">
        <v>6883.2</v>
      </c>
      <c r="AR37" s="99">
        <v>10</v>
      </c>
      <c r="AS37" s="99">
        <v>8604</v>
      </c>
      <c r="AT37" s="99">
        <v>4.9692463708235319</v>
      </c>
      <c r="AU37" s="99">
        <v>4275.5395774565668</v>
      </c>
      <c r="AV37" s="99">
        <v>9</v>
      </c>
      <c r="AW37" s="99">
        <v>7743.5999999999995</v>
      </c>
      <c r="AX37" s="99">
        <v>9</v>
      </c>
      <c r="AY37" s="99">
        <v>7743.5999999999995</v>
      </c>
      <c r="AZ37" s="99">
        <v>11</v>
      </c>
      <c r="BA37" s="99">
        <v>9464.4</v>
      </c>
      <c r="BB37" s="99">
        <v>11</v>
      </c>
      <c r="BC37" s="99">
        <v>9464.4</v>
      </c>
      <c r="BD37" s="99">
        <v>8</v>
      </c>
      <c r="BE37" s="99">
        <v>6883.2</v>
      </c>
      <c r="BF37" s="99">
        <v>10</v>
      </c>
      <c r="BG37" s="99">
        <v>8604</v>
      </c>
      <c r="BH37" s="99">
        <v>11.158464910875184</v>
      </c>
      <c r="BI37" s="99">
        <v>9600.7432093170082</v>
      </c>
      <c r="BJ37" s="99">
        <v>9.7425693187892133</v>
      </c>
      <c r="BK37" s="99">
        <v>8382.5066418862389</v>
      </c>
      <c r="BL37" s="99">
        <v>5.5940024544724531</v>
      </c>
      <c r="BM37" s="99">
        <v>4813.0797118280989</v>
      </c>
      <c r="BN37" s="99">
        <v>2.3837340774734024</v>
      </c>
      <c r="BO37" s="99">
        <v>2050.9648002581152</v>
      </c>
      <c r="BP37" s="99">
        <v>10</v>
      </c>
      <c r="BQ37" s="99">
        <v>8604</v>
      </c>
      <c r="BR37" s="99">
        <v>8.6997905717151429</v>
      </c>
      <c r="BS37" s="99">
        <v>7485.2998079037088</v>
      </c>
      <c r="BT37" s="99">
        <v>11</v>
      </c>
      <c r="BU37" s="99">
        <v>9464.4</v>
      </c>
      <c r="BV37" s="99">
        <v>7.3267390476190473</v>
      </c>
      <c r="BW37" s="99">
        <v>6303.9262765714284</v>
      </c>
      <c r="BX37" s="99">
        <v>5.0038081648660899</v>
      </c>
      <c r="BY37" s="99">
        <v>4305.2765450507841</v>
      </c>
      <c r="BZ37" s="99">
        <v>0</v>
      </c>
      <c r="CA37" s="99">
        <v>0</v>
      </c>
      <c r="CB37" s="99">
        <v>12</v>
      </c>
      <c r="CC37" s="99">
        <v>10324.799999999999</v>
      </c>
      <c r="CD37" s="99">
        <v>7</v>
      </c>
      <c r="CE37" s="99">
        <v>6022.8</v>
      </c>
      <c r="CF37" s="99">
        <v>8</v>
      </c>
      <c r="CG37" s="99">
        <v>6883.2</v>
      </c>
      <c r="CH37" s="99">
        <v>5.0845444101196415</v>
      </c>
      <c r="CI37" s="99">
        <v>4374.7420104669391</v>
      </c>
      <c r="CJ37" s="99">
        <v>0</v>
      </c>
      <c r="CK37" s="99">
        <v>0</v>
      </c>
      <c r="CL37" s="99">
        <v>0</v>
      </c>
      <c r="CM37" s="99">
        <v>0</v>
      </c>
      <c r="CN37" s="99">
        <v>8</v>
      </c>
      <c r="CO37" s="99">
        <v>6883.2</v>
      </c>
      <c r="CP37" s="99">
        <v>13</v>
      </c>
      <c r="CQ37" s="99">
        <v>11185.199999999999</v>
      </c>
      <c r="CR37" s="99">
        <v>7.0453774480730038</v>
      </c>
      <c r="CS37" s="99">
        <v>6061.8427563220121</v>
      </c>
      <c r="CT37" s="99">
        <v>2.3156364586207983</v>
      </c>
      <c r="CU37" s="99">
        <v>1992.3736089973347</v>
      </c>
    </row>
    <row r="38" spans="2:99">
      <c r="C38" s="98" t="s">
        <v>203</v>
      </c>
      <c r="D38" s="99">
        <v>0</v>
      </c>
      <c r="E38" s="99">
        <v>0</v>
      </c>
      <c r="F38" s="99">
        <v>0</v>
      </c>
      <c r="G38" s="99">
        <v>0</v>
      </c>
      <c r="H38" s="99">
        <v>5.5684089791905524</v>
      </c>
      <c r="I38" s="99">
        <v>6915.963952154666</v>
      </c>
      <c r="J38" s="99">
        <v>4.0854857421554014</v>
      </c>
      <c r="K38" s="99">
        <v>5074.1732917570089</v>
      </c>
      <c r="L38" s="99">
        <v>8</v>
      </c>
      <c r="M38" s="99">
        <v>9936</v>
      </c>
      <c r="N38" s="99">
        <v>11</v>
      </c>
      <c r="O38" s="99">
        <v>13662</v>
      </c>
      <c r="P38" s="99">
        <v>8</v>
      </c>
      <c r="Q38" s="99">
        <v>9936</v>
      </c>
      <c r="R38" s="99">
        <v>6.1811051574849314</v>
      </c>
      <c r="S38" s="99">
        <v>7676.9326055962847</v>
      </c>
      <c r="T38" s="99">
        <v>9</v>
      </c>
      <c r="U38" s="99">
        <v>11178</v>
      </c>
      <c r="V38" s="99">
        <v>11</v>
      </c>
      <c r="W38" s="99">
        <v>13662</v>
      </c>
      <c r="X38" s="99">
        <v>11</v>
      </c>
      <c r="Y38" s="99">
        <v>13662</v>
      </c>
      <c r="Z38" s="99">
        <v>12</v>
      </c>
      <c r="AA38" s="99">
        <v>14904</v>
      </c>
      <c r="AB38" s="99">
        <v>10</v>
      </c>
      <c r="AC38" s="99">
        <v>12420</v>
      </c>
      <c r="AD38" s="99">
        <v>11</v>
      </c>
      <c r="AE38" s="99">
        <v>13662</v>
      </c>
      <c r="AF38" s="99">
        <v>8.452349261051376</v>
      </c>
      <c r="AG38" s="99">
        <v>10497.817782225809</v>
      </c>
      <c r="AH38" s="99">
        <v>0</v>
      </c>
      <c r="AI38" s="99">
        <v>0</v>
      </c>
      <c r="AJ38" s="99">
        <v>7</v>
      </c>
      <c r="AK38" s="99">
        <v>8694</v>
      </c>
      <c r="AL38" s="99">
        <v>12</v>
      </c>
      <c r="AM38" s="99">
        <v>14904</v>
      </c>
      <c r="AN38" s="99">
        <v>7</v>
      </c>
      <c r="AO38" s="99">
        <v>8694</v>
      </c>
      <c r="AP38" s="99">
        <v>8</v>
      </c>
      <c r="AQ38" s="99">
        <v>9936</v>
      </c>
      <c r="AR38" s="99">
        <v>11</v>
      </c>
      <c r="AS38" s="99">
        <v>13662</v>
      </c>
      <c r="AT38" s="99">
        <v>5.4661710079058849</v>
      </c>
      <c r="AU38" s="99">
        <v>6788.9843918191091</v>
      </c>
      <c r="AV38" s="99">
        <v>9</v>
      </c>
      <c r="AW38" s="99">
        <v>11178</v>
      </c>
      <c r="AX38" s="99">
        <v>9</v>
      </c>
      <c r="AY38" s="99">
        <v>11178</v>
      </c>
      <c r="AZ38" s="99">
        <v>12</v>
      </c>
      <c r="BA38" s="99">
        <v>14904</v>
      </c>
      <c r="BB38" s="99">
        <v>13</v>
      </c>
      <c r="BC38" s="99">
        <v>16146</v>
      </c>
      <c r="BD38" s="99">
        <v>7</v>
      </c>
      <c r="BE38" s="99">
        <v>8694</v>
      </c>
      <c r="BF38" s="99">
        <v>11</v>
      </c>
      <c r="BG38" s="99">
        <v>13662</v>
      </c>
      <c r="BH38" s="99">
        <v>12.088336986781448</v>
      </c>
      <c r="BI38" s="99">
        <v>15013.714537582558</v>
      </c>
      <c r="BJ38" s="99">
        <v>10.628257438679141</v>
      </c>
      <c r="BK38" s="99">
        <v>13200.295738839493</v>
      </c>
      <c r="BL38" s="99">
        <v>6.2155582827471703</v>
      </c>
      <c r="BM38" s="99">
        <v>7719.7233871719855</v>
      </c>
      <c r="BN38" s="99">
        <v>2.043200637834345</v>
      </c>
      <c r="BO38" s="99">
        <v>2537.6551921902565</v>
      </c>
      <c r="BP38" s="99">
        <v>10</v>
      </c>
      <c r="BQ38" s="99">
        <v>12420</v>
      </c>
      <c r="BR38" s="99">
        <v>7.9748080240722157</v>
      </c>
      <c r="BS38" s="99">
        <v>9904.7115658976927</v>
      </c>
      <c r="BT38" s="99">
        <v>12</v>
      </c>
      <c r="BU38" s="99">
        <v>14904</v>
      </c>
      <c r="BV38" s="99">
        <v>5.8613912380952371</v>
      </c>
      <c r="BW38" s="99">
        <v>7279.8479177142844</v>
      </c>
      <c r="BX38" s="99">
        <v>4.5489165135146274</v>
      </c>
      <c r="BY38" s="99">
        <v>5649.7543097851676</v>
      </c>
      <c r="BZ38" s="99">
        <v>0</v>
      </c>
      <c r="CA38" s="99">
        <v>0</v>
      </c>
      <c r="CB38" s="99">
        <v>11</v>
      </c>
      <c r="CC38" s="99">
        <v>13662</v>
      </c>
      <c r="CD38" s="99">
        <v>7</v>
      </c>
      <c r="CE38" s="99">
        <v>8694</v>
      </c>
      <c r="CF38" s="99">
        <v>8</v>
      </c>
      <c r="CG38" s="99">
        <v>9936</v>
      </c>
      <c r="CH38" s="99">
        <v>4.6223131001087658</v>
      </c>
      <c r="CI38" s="99">
        <v>5740.9128703350871</v>
      </c>
      <c r="CJ38" s="99">
        <v>0</v>
      </c>
      <c r="CK38" s="99">
        <v>0</v>
      </c>
      <c r="CL38" s="99">
        <v>0</v>
      </c>
      <c r="CM38" s="99">
        <v>0</v>
      </c>
      <c r="CN38" s="99">
        <v>8</v>
      </c>
      <c r="CO38" s="99">
        <v>9936</v>
      </c>
      <c r="CP38" s="99">
        <v>11</v>
      </c>
      <c r="CQ38" s="99">
        <v>13662</v>
      </c>
      <c r="CR38" s="99">
        <v>7.0453774480730038</v>
      </c>
      <c r="CS38" s="99">
        <v>8750.3587905066706</v>
      </c>
      <c r="CT38" s="99">
        <v>2.646441666995198</v>
      </c>
      <c r="CU38" s="99">
        <v>3286.880550408036</v>
      </c>
    </row>
    <row r="39" spans="2:99">
      <c r="C39" s="98" t="s">
        <v>204</v>
      </c>
      <c r="D39" s="99">
        <v>0</v>
      </c>
      <c r="E39" s="99">
        <v>0</v>
      </c>
      <c r="F39" s="99">
        <v>0</v>
      </c>
      <c r="G39" s="99">
        <v>0</v>
      </c>
      <c r="H39" s="99">
        <v>5.5684089791905524</v>
      </c>
      <c r="I39" s="99">
        <v>7924.9596591839945</v>
      </c>
      <c r="J39" s="99">
        <v>4.0854857421554014</v>
      </c>
      <c r="K39" s="99">
        <v>5814.4633082355676</v>
      </c>
      <c r="L39" s="99">
        <v>8</v>
      </c>
      <c r="M39" s="99">
        <v>11385.6</v>
      </c>
      <c r="N39" s="99">
        <v>11</v>
      </c>
      <c r="O39" s="99">
        <v>15655.2</v>
      </c>
      <c r="P39" s="99">
        <v>9</v>
      </c>
      <c r="Q39" s="99">
        <v>12808.800000000001</v>
      </c>
      <c r="R39" s="99">
        <v>5.6191865068044828</v>
      </c>
      <c r="S39" s="99">
        <v>7997.2262364841399</v>
      </c>
      <c r="T39" s="99">
        <v>10</v>
      </c>
      <c r="U39" s="99">
        <v>14232</v>
      </c>
      <c r="V39" s="99">
        <v>12</v>
      </c>
      <c r="W39" s="99">
        <v>17078.400000000001</v>
      </c>
      <c r="X39" s="99">
        <v>9</v>
      </c>
      <c r="Y39" s="99">
        <v>12808.800000000001</v>
      </c>
      <c r="Z39" s="99">
        <v>11</v>
      </c>
      <c r="AA39" s="99">
        <v>15655.2</v>
      </c>
      <c r="AB39" s="99">
        <v>10</v>
      </c>
      <c r="AC39" s="99">
        <v>14232</v>
      </c>
      <c r="AD39" s="99">
        <v>11</v>
      </c>
      <c r="AE39" s="99">
        <v>15655.2</v>
      </c>
      <c r="AF39" s="99">
        <v>9.3914991789459741</v>
      </c>
      <c r="AG39" s="99">
        <v>13365.98163147591</v>
      </c>
      <c r="AH39" s="99">
        <v>0</v>
      </c>
      <c r="AI39" s="99">
        <v>0</v>
      </c>
      <c r="AJ39" s="99">
        <v>6</v>
      </c>
      <c r="AK39" s="99">
        <v>8539.2000000000007</v>
      </c>
      <c r="AL39" s="99">
        <v>12</v>
      </c>
      <c r="AM39" s="99">
        <v>17078.400000000001</v>
      </c>
      <c r="AN39" s="99">
        <v>7</v>
      </c>
      <c r="AO39" s="99">
        <v>9962.4</v>
      </c>
      <c r="AP39" s="99">
        <v>8</v>
      </c>
      <c r="AQ39" s="99">
        <v>11385.6</v>
      </c>
      <c r="AR39" s="99">
        <v>11</v>
      </c>
      <c r="AS39" s="99">
        <v>15655.2</v>
      </c>
      <c r="AT39" s="99">
        <v>4.472321733741178</v>
      </c>
      <c r="AU39" s="99">
        <v>6365.0082914604445</v>
      </c>
      <c r="AV39" s="99">
        <v>9</v>
      </c>
      <c r="AW39" s="99">
        <v>12808.800000000001</v>
      </c>
      <c r="AX39" s="99">
        <v>9</v>
      </c>
      <c r="AY39" s="99">
        <v>12808.800000000001</v>
      </c>
      <c r="AZ39" s="99">
        <v>10</v>
      </c>
      <c r="BA39" s="99">
        <v>14232</v>
      </c>
      <c r="BB39" s="99">
        <v>13</v>
      </c>
      <c r="BC39" s="99">
        <v>18501.600000000002</v>
      </c>
      <c r="BD39" s="99">
        <v>7</v>
      </c>
      <c r="BE39" s="99">
        <v>9962.4</v>
      </c>
      <c r="BF39" s="99">
        <v>9</v>
      </c>
      <c r="BG39" s="99">
        <v>12808.800000000001</v>
      </c>
      <c r="BH39" s="99">
        <v>11.158464910875184</v>
      </c>
      <c r="BI39" s="99">
        <v>15880.727261157563</v>
      </c>
      <c r="BJ39" s="99">
        <v>10.628257438679141</v>
      </c>
      <c r="BK39" s="99">
        <v>15126.135986728154</v>
      </c>
      <c r="BL39" s="99">
        <v>6.2155582827471703</v>
      </c>
      <c r="BM39" s="99">
        <v>8845.9825480057734</v>
      </c>
      <c r="BN39" s="99">
        <v>2.043200637834345</v>
      </c>
      <c r="BO39" s="99">
        <v>2907.88314776584</v>
      </c>
      <c r="BP39" s="99">
        <v>10</v>
      </c>
      <c r="BQ39" s="99">
        <v>14232</v>
      </c>
      <c r="BR39" s="99">
        <v>7.9748080240722157</v>
      </c>
      <c r="BS39" s="99">
        <v>11349.746779859577</v>
      </c>
      <c r="BT39" s="99">
        <v>11</v>
      </c>
      <c r="BU39" s="99">
        <v>15655.2</v>
      </c>
      <c r="BV39" s="99">
        <v>6.5940651428571417</v>
      </c>
      <c r="BW39" s="99">
        <v>9384.673511314284</v>
      </c>
      <c r="BX39" s="99">
        <v>5.0038081648660899</v>
      </c>
      <c r="BY39" s="99">
        <v>7121.4197802374192</v>
      </c>
      <c r="BZ39" s="99">
        <v>0</v>
      </c>
      <c r="CA39" s="99">
        <v>0</v>
      </c>
      <c r="CB39" s="99">
        <v>12</v>
      </c>
      <c r="CC39" s="99">
        <v>17078.400000000001</v>
      </c>
      <c r="CD39" s="99">
        <v>7</v>
      </c>
      <c r="CE39" s="99">
        <v>9962.4</v>
      </c>
      <c r="CF39" s="99">
        <v>7</v>
      </c>
      <c r="CG39" s="99">
        <v>9962.4</v>
      </c>
      <c r="CH39" s="99">
        <v>5.5467757201305181</v>
      </c>
      <c r="CI39" s="99">
        <v>7894.1712048897534</v>
      </c>
      <c r="CJ39" s="99">
        <v>0</v>
      </c>
      <c r="CK39" s="99">
        <v>0</v>
      </c>
      <c r="CL39" s="99">
        <v>0</v>
      </c>
      <c r="CM39" s="99">
        <v>0</v>
      </c>
      <c r="CN39" s="99">
        <v>7</v>
      </c>
      <c r="CO39" s="99">
        <v>9962.4</v>
      </c>
      <c r="CP39" s="99">
        <v>11</v>
      </c>
      <c r="CQ39" s="99">
        <v>15655.2</v>
      </c>
      <c r="CR39" s="99">
        <v>7.6858663069887312</v>
      </c>
      <c r="CS39" s="99">
        <v>10938.524928106362</v>
      </c>
      <c r="CT39" s="99">
        <v>2.646441666995198</v>
      </c>
      <c r="CU39" s="99">
        <v>3766.415780467566</v>
      </c>
    </row>
    <row r="40" spans="2:99">
      <c r="C40" s="98" t="s">
        <v>205</v>
      </c>
      <c r="D40" s="99">
        <v>0</v>
      </c>
      <c r="E40" s="99">
        <v>0</v>
      </c>
      <c r="F40" s="99">
        <v>0</v>
      </c>
      <c r="G40" s="99">
        <v>0</v>
      </c>
      <c r="H40" s="99">
        <v>6.2644601015893722</v>
      </c>
      <c r="I40" s="99">
        <v>4540.4806816319769</v>
      </c>
      <c r="J40" s="99">
        <v>4.4940343163709411</v>
      </c>
      <c r="K40" s="99">
        <v>3257.2760725056578</v>
      </c>
      <c r="L40" s="99">
        <v>8</v>
      </c>
      <c r="M40" s="99">
        <v>5798.4</v>
      </c>
      <c r="N40" s="99">
        <v>10</v>
      </c>
      <c r="O40" s="99">
        <v>7248</v>
      </c>
      <c r="P40" s="99">
        <v>8</v>
      </c>
      <c r="Q40" s="99">
        <v>5798.4</v>
      </c>
      <c r="R40" s="99">
        <v>6.1811051574849314</v>
      </c>
      <c r="S40" s="99">
        <v>4480.0650181450783</v>
      </c>
      <c r="T40" s="99">
        <v>11</v>
      </c>
      <c r="U40" s="99">
        <v>7972.7999999999993</v>
      </c>
      <c r="V40" s="99">
        <v>12</v>
      </c>
      <c r="W40" s="99">
        <v>8697.5999999999985</v>
      </c>
      <c r="X40" s="99">
        <v>11</v>
      </c>
      <c r="Y40" s="99">
        <v>7972.7999999999993</v>
      </c>
      <c r="Z40" s="99">
        <v>11</v>
      </c>
      <c r="AA40" s="99">
        <v>7972.7999999999993</v>
      </c>
      <c r="AB40" s="99">
        <v>9</v>
      </c>
      <c r="AC40" s="99">
        <v>6523.2</v>
      </c>
      <c r="AD40" s="99">
        <v>11</v>
      </c>
      <c r="AE40" s="99">
        <v>7972.7999999999993</v>
      </c>
      <c r="AF40" s="99">
        <v>8.452349261051376</v>
      </c>
      <c r="AG40" s="99">
        <v>6126.2627444100372</v>
      </c>
      <c r="AH40" s="99">
        <v>0</v>
      </c>
      <c r="AI40" s="99">
        <v>0</v>
      </c>
      <c r="AJ40" s="99">
        <v>7</v>
      </c>
      <c r="AK40" s="99">
        <v>5073.5999999999995</v>
      </c>
      <c r="AL40" s="99">
        <v>11</v>
      </c>
      <c r="AM40" s="99">
        <v>7972.7999999999993</v>
      </c>
      <c r="AN40" s="99">
        <v>7</v>
      </c>
      <c r="AO40" s="99">
        <v>5073.5999999999995</v>
      </c>
      <c r="AP40" s="99">
        <v>8</v>
      </c>
      <c r="AQ40" s="99">
        <v>5798.4</v>
      </c>
      <c r="AR40" s="99">
        <v>11</v>
      </c>
      <c r="AS40" s="99">
        <v>7972.7999999999993</v>
      </c>
      <c r="AT40" s="99">
        <v>4.9692463708235319</v>
      </c>
      <c r="AU40" s="99">
        <v>3601.7097695728958</v>
      </c>
      <c r="AV40" s="99">
        <v>9</v>
      </c>
      <c r="AW40" s="99">
        <v>6523.2</v>
      </c>
      <c r="AX40" s="99">
        <v>8</v>
      </c>
      <c r="AY40" s="99">
        <v>5798.4</v>
      </c>
      <c r="AZ40" s="99">
        <v>12</v>
      </c>
      <c r="BA40" s="99">
        <v>8697.5999999999985</v>
      </c>
      <c r="BB40" s="99">
        <v>13</v>
      </c>
      <c r="BC40" s="99">
        <v>9422.4</v>
      </c>
      <c r="BD40" s="99">
        <v>7</v>
      </c>
      <c r="BE40" s="99">
        <v>5073.5999999999995</v>
      </c>
      <c r="BF40" s="99">
        <v>10</v>
      </c>
      <c r="BG40" s="99">
        <v>7248</v>
      </c>
      <c r="BH40" s="99">
        <v>12.088336986781448</v>
      </c>
      <c r="BI40" s="99">
        <v>8761.6266480191935</v>
      </c>
      <c r="BJ40" s="99">
        <v>10.628257438679141</v>
      </c>
      <c r="BK40" s="99">
        <v>7703.3609915546403</v>
      </c>
      <c r="BL40" s="99">
        <v>6.8371141110218865</v>
      </c>
      <c r="BM40" s="99">
        <v>4955.5403076686634</v>
      </c>
      <c r="BN40" s="99">
        <v>2.3837340774734024</v>
      </c>
      <c r="BO40" s="99">
        <v>1727.7304593527219</v>
      </c>
      <c r="BP40" s="99">
        <v>10</v>
      </c>
      <c r="BQ40" s="99">
        <v>7248</v>
      </c>
      <c r="BR40" s="99">
        <v>7.9748080240722157</v>
      </c>
      <c r="BS40" s="99">
        <v>5780.1408558475414</v>
      </c>
      <c r="BT40" s="99">
        <v>12</v>
      </c>
      <c r="BU40" s="99">
        <v>8697.5999999999985</v>
      </c>
      <c r="BV40" s="99">
        <v>6.5940651428571417</v>
      </c>
      <c r="BW40" s="99">
        <v>4779.3784155428557</v>
      </c>
      <c r="BX40" s="99">
        <v>5.0038081648660899</v>
      </c>
      <c r="BY40" s="99">
        <v>3626.7601578949416</v>
      </c>
      <c r="BZ40" s="99">
        <v>0</v>
      </c>
      <c r="CA40" s="99">
        <v>0</v>
      </c>
      <c r="CB40" s="99">
        <v>12</v>
      </c>
      <c r="CC40" s="99">
        <v>8697.5999999999985</v>
      </c>
      <c r="CD40" s="99">
        <v>8</v>
      </c>
      <c r="CE40" s="99">
        <v>5798.4</v>
      </c>
      <c r="CF40" s="99">
        <v>7</v>
      </c>
      <c r="CG40" s="99">
        <v>5073.5999999999995</v>
      </c>
      <c r="CH40" s="99">
        <v>5.0845444101196415</v>
      </c>
      <c r="CI40" s="99">
        <v>3685.2777884547158</v>
      </c>
      <c r="CJ40" s="99">
        <v>0</v>
      </c>
      <c r="CK40" s="99">
        <v>0</v>
      </c>
      <c r="CL40" s="99">
        <v>0</v>
      </c>
      <c r="CM40" s="99">
        <v>0</v>
      </c>
      <c r="CN40" s="99">
        <v>7</v>
      </c>
      <c r="CO40" s="99">
        <v>5073.5999999999995</v>
      </c>
      <c r="CP40" s="99">
        <v>12</v>
      </c>
      <c r="CQ40" s="99">
        <v>8697.5999999999985</v>
      </c>
      <c r="CR40" s="99">
        <v>7.0453774480730038</v>
      </c>
      <c r="CS40" s="99">
        <v>5106.4895743633133</v>
      </c>
      <c r="CT40" s="99">
        <v>2.646441666995198</v>
      </c>
      <c r="CU40" s="99">
        <v>1918.1409202381194</v>
      </c>
    </row>
    <row r="41" spans="2:99">
      <c r="C41" s="98" t="s">
        <v>206</v>
      </c>
      <c r="D41" s="99">
        <v>0</v>
      </c>
      <c r="E41" s="99">
        <v>0</v>
      </c>
      <c r="F41" s="99">
        <v>0</v>
      </c>
      <c r="G41" s="99">
        <v>0</v>
      </c>
      <c r="H41" s="99">
        <v>6.2644601015893722</v>
      </c>
      <c r="I41" s="99">
        <v>4134.5436670489853</v>
      </c>
      <c r="J41" s="99">
        <v>4.9025828905864817</v>
      </c>
      <c r="K41" s="99">
        <v>3235.704707787078</v>
      </c>
      <c r="L41" s="99">
        <v>9</v>
      </c>
      <c r="M41" s="99">
        <v>5940</v>
      </c>
      <c r="N41" s="99">
        <v>11</v>
      </c>
      <c r="O41" s="99">
        <v>7260</v>
      </c>
      <c r="P41" s="99">
        <v>9</v>
      </c>
      <c r="Q41" s="99">
        <v>5940</v>
      </c>
      <c r="R41" s="99">
        <v>6.1811051574849314</v>
      </c>
      <c r="S41" s="99">
        <v>4079.5294039400546</v>
      </c>
      <c r="T41" s="99">
        <v>10</v>
      </c>
      <c r="U41" s="99">
        <v>6600</v>
      </c>
      <c r="V41" s="99">
        <v>10</v>
      </c>
      <c r="W41" s="99">
        <v>6600</v>
      </c>
      <c r="X41" s="99">
        <v>11</v>
      </c>
      <c r="Y41" s="99">
        <v>7260</v>
      </c>
      <c r="Z41" s="99">
        <v>11</v>
      </c>
      <c r="AA41" s="99">
        <v>7260</v>
      </c>
      <c r="AB41" s="99">
        <v>10</v>
      </c>
      <c r="AC41" s="99">
        <v>6600</v>
      </c>
      <c r="AD41" s="99">
        <v>10</v>
      </c>
      <c r="AE41" s="99">
        <v>6600</v>
      </c>
      <c r="AF41" s="99">
        <v>8.452349261051376</v>
      </c>
      <c r="AG41" s="99">
        <v>5578.5505122939085</v>
      </c>
      <c r="AH41" s="99">
        <v>0</v>
      </c>
      <c r="AI41" s="99">
        <v>0</v>
      </c>
      <c r="AJ41" s="99">
        <v>7</v>
      </c>
      <c r="AK41" s="99">
        <v>4620</v>
      </c>
      <c r="AL41" s="99">
        <v>13</v>
      </c>
      <c r="AM41" s="99">
        <v>8580</v>
      </c>
      <c r="AN41" s="99">
        <v>8</v>
      </c>
      <c r="AO41" s="99">
        <v>5280</v>
      </c>
      <c r="AP41" s="99">
        <v>8</v>
      </c>
      <c r="AQ41" s="99">
        <v>5280</v>
      </c>
      <c r="AR41" s="99">
        <v>10</v>
      </c>
      <c r="AS41" s="99">
        <v>6600</v>
      </c>
      <c r="AT41" s="99">
        <v>4.9692463708235319</v>
      </c>
      <c r="AU41" s="99">
        <v>3279.7026047435311</v>
      </c>
      <c r="AV41" s="99">
        <v>8</v>
      </c>
      <c r="AW41" s="99">
        <v>5280</v>
      </c>
      <c r="AX41" s="99">
        <v>10</v>
      </c>
      <c r="AY41" s="99">
        <v>6600</v>
      </c>
      <c r="AZ41" s="99">
        <v>12</v>
      </c>
      <c r="BA41" s="99">
        <v>7920</v>
      </c>
      <c r="BB41" s="99">
        <v>12</v>
      </c>
      <c r="BC41" s="99">
        <v>7920</v>
      </c>
      <c r="BD41" s="99">
        <v>8</v>
      </c>
      <c r="BE41" s="99">
        <v>5280</v>
      </c>
      <c r="BF41" s="99">
        <v>9</v>
      </c>
      <c r="BG41" s="99">
        <v>5940</v>
      </c>
      <c r="BH41" s="99">
        <v>12.088336986781448</v>
      </c>
      <c r="BI41" s="99">
        <v>7978.3024112757557</v>
      </c>
      <c r="BJ41" s="99">
        <v>9.7425693187892133</v>
      </c>
      <c r="BK41" s="99">
        <v>6430.0957504008811</v>
      </c>
      <c r="BL41" s="99">
        <v>5.5940024544724531</v>
      </c>
      <c r="BM41" s="99">
        <v>3692.041619951819</v>
      </c>
      <c r="BN41" s="99">
        <v>2.3837340774734024</v>
      </c>
      <c r="BO41" s="99">
        <v>1573.2644911324455</v>
      </c>
      <c r="BP41" s="99">
        <v>11</v>
      </c>
      <c r="BQ41" s="99">
        <v>7260</v>
      </c>
      <c r="BR41" s="99">
        <v>9.4247731193580719</v>
      </c>
      <c r="BS41" s="99">
        <v>6220.3502587763278</v>
      </c>
      <c r="BT41" s="99">
        <v>11</v>
      </c>
      <c r="BU41" s="99">
        <v>7260</v>
      </c>
      <c r="BV41" s="99">
        <v>8.059412952380951</v>
      </c>
      <c r="BW41" s="99">
        <v>5319.2125485714278</v>
      </c>
      <c r="BX41" s="99">
        <v>4.5489165135146274</v>
      </c>
      <c r="BY41" s="99">
        <v>3002.2848989196541</v>
      </c>
      <c r="BZ41" s="99">
        <v>0</v>
      </c>
      <c r="CA41" s="99">
        <v>0</v>
      </c>
      <c r="CB41" s="99">
        <v>12</v>
      </c>
      <c r="CC41" s="99">
        <v>7920</v>
      </c>
      <c r="CD41" s="99">
        <v>8</v>
      </c>
      <c r="CE41" s="99">
        <v>5280</v>
      </c>
      <c r="CF41" s="99">
        <v>9</v>
      </c>
      <c r="CG41" s="99">
        <v>5940</v>
      </c>
      <c r="CH41" s="99">
        <v>6.0090070301413947</v>
      </c>
      <c r="CI41" s="99">
        <v>3965.9446398933205</v>
      </c>
      <c r="CJ41" s="99">
        <v>0</v>
      </c>
      <c r="CK41" s="99">
        <v>0</v>
      </c>
      <c r="CL41" s="99">
        <v>0</v>
      </c>
      <c r="CM41" s="99">
        <v>0</v>
      </c>
      <c r="CN41" s="99">
        <v>8</v>
      </c>
      <c r="CO41" s="99">
        <v>5280</v>
      </c>
      <c r="CP41" s="99">
        <v>12</v>
      </c>
      <c r="CQ41" s="99">
        <v>7920</v>
      </c>
      <c r="CR41" s="99">
        <v>7.6858663069887312</v>
      </c>
      <c r="CS41" s="99">
        <v>5072.6717626125628</v>
      </c>
      <c r="CT41" s="99">
        <v>2.3156364586207983</v>
      </c>
      <c r="CU41" s="99">
        <v>1528.3200626897269</v>
      </c>
    </row>
    <row r="42" spans="2:99">
      <c r="C42" s="98" t="s">
        <v>207</v>
      </c>
      <c r="D42" s="99">
        <v>0</v>
      </c>
      <c r="E42" s="99">
        <v>0</v>
      </c>
      <c r="F42" s="99">
        <v>0</v>
      </c>
      <c r="G42" s="99">
        <v>0</v>
      </c>
      <c r="H42" s="99">
        <v>5.5684089791905524</v>
      </c>
      <c r="I42" s="99">
        <v>4710.8739963952075</v>
      </c>
      <c r="J42" s="99">
        <v>4.0854857421554014</v>
      </c>
      <c r="K42" s="99">
        <v>3456.3209378634697</v>
      </c>
      <c r="L42" s="99">
        <v>9</v>
      </c>
      <c r="M42" s="99">
        <v>7614</v>
      </c>
      <c r="N42" s="99">
        <v>11</v>
      </c>
      <c r="O42" s="99">
        <v>9306</v>
      </c>
      <c r="P42" s="99">
        <v>9</v>
      </c>
      <c r="Q42" s="99">
        <v>7614</v>
      </c>
      <c r="R42" s="99">
        <v>6.1811051574849314</v>
      </c>
      <c r="S42" s="99">
        <v>5229.2149632322516</v>
      </c>
      <c r="T42" s="99">
        <v>10</v>
      </c>
      <c r="U42" s="99">
        <v>8460</v>
      </c>
      <c r="V42" s="99">
        <v>12</v>
      </c>
      <c r="W42" s="99">
        <v>10152</v>
      </c>
      <c r="X42" s="99">
        <v>9</v>
      </c>
      <c r="Y42" s="99">
        <v>7614</v>
      </c>
      <c r="Z42" s="99">
        <v>11</v>
      </c>
      <c r="AA42" s="99">
        <v>9306</v>
      </c>
      <c r="AB42" s="99">
        <v>9</v>
      </c>
      <c r="AC42" s="99">
        <v>7614</v>
      </c>
      <c r="AD42" s="99">
        <v>10</v>
      </c>
      <c r="AE42" s="99">
        <v>8460</v>
      </c>
      <c r="AF42" s="99">
        <v>8.452349261051376</v>
      </c>
      <c r="AG42" s="99">
        <v>7150.6874748494638</v>
      </c>
      <c r="AH42" s="99">
        <v>0</v>
      </c>
      <c r="AI42" s="99">
        <v>0</v>
      </c>
      <c r="AJ42" s="99">
        <v>7</v>
      </c>
      <c r="AK42" s="99">
        <v>5922</v>
      </c>
      <c r="AL42" s="99">
        <v>11</v>
      </c>
      <c r="AM42" s="99">
        <v>9306</v>
      </c>
      <c r="AN42" s="99">
        <v>7</v>
      </c>
      <c r="AO42" s="99">
        <v>5922</v>
      </c>
      <c r="AP42" s="99">
        <v>8</v>
      </c>
      <c r="AQ42" s="99">
        <v>6768</v>
      </c>
      <c r="AR42" s="99">
        <v>10</v>
      </c>
      <c r="AS42" s="99">
        <v>8460</v>
      </c>
      <c r="AT42" s="99">
        <v>4.9692463708235319</v>
      </c>
      <c r="AU42" s="99">
        <v>4203.9824297167079</v>
      </c>
      <c r="AV42" s="99">
        <v>9</v>
      </c>
      <c r="AW42" s="99">
        <v>7614</v>
      </c>
      <c r="AX42" s="99">
        <v>10</v>
      </c>
      <c r="AY42" s="99">
        <v>8460</v>
      </c>
      <c r="AZ42" s="99">
        <v>11</v>
      </c>
      <c r="BA42" s="99">
        <v>9306</v>
      </c>
      <c r="BB42" s="99">
        <v>12</v>
      </c>
      <c r="BC42" s="99">
        <v>10152</v>
      </c>
      <c r="BD42" s="99">
        <v>7</v>
      </c>
      <c r="BE42" s="99">
        <v>5922</v>
      </c>
      <c r="BF42" s="99">
        <v>11</v>
      </c>
      <c r="BG42" s="99">
        <v>9306</v>
      </c>
      <c r="BH42" s="99">
        <v>11.158464910875184</v>
      </c>
      <c r="BI42" s="99">
        <v>9440.0613146004052</v>
      </c>
      <c r="BJ42" s="99">
        <v>10.628257438679141</v>
      </c>
      <c r="BK42" s="99">
        <v>8991.5057931225529</v>
      </c>
      <c r="BL42" s="99">
        <v>6.2155582827471703</v>
      </c>
      <c r="BM42" s="99">
        <v>5258.3623072041064</v>
      </c>
      <c r="BN42" s="99">
        <v>2.3837340774734024</v>
      </c>
      <c r="BO42" s="99">
        <v>2016.6390295424985</v>
      </c>
      <c r="BP42" s="99">
        <v>10</v>
      </c>
      <c r="BQ42" s="99">
        <v>8460</v>
      </c>
      <c r="BR42" s="99">
        <v>7.9748080240722157</v>
      </c>
      <c r="BS42" s="99">
        <v>6746.6875883650946</v>
      </c>
      <c r="BT42" s="99">
        <v>13</v>
      </c>
      <c r="BU42" s="99">
        <v>10998</v>
      </c>
      <c r="BV42" s="99">
        <v>7.3267390476190473</v>
      </c>
      <c r="BW42" s="99">
        <v>6198.4212342857136</v>
      </c>
      <c r="BX42" s="99">
        <v>5.0038081648660899</v>
      </c>
      <c r="BY42" s="99">
        <v>4233.2217074767123</v>
      </c>
      <c r="BZ42" s="99">
        <v>0</v>
      </c>
      <c r="CA42" s="99">
        <v>0</v>
      </c>
      <c r="CB42" s="99">
        <v>11</v>
      </c>
      <c r="CC42" s="99">
        <v>9306</v>
      </c>
      <c r="CD42" s="99">
        <v>7</v>
      </c>
      <c r="CE42" s="99">
        <v>5922</v>
      </c>
      <c r="CF42" s="99">
        <v>7</v>
      </c>
      <c r="CG42" s="99">
        <v>5922</v>
      </c>
      <c r="CH42" s="99">
        <v>5.5467757201305181</v>
      </c>
      <c r="CI42" s="99">
        <v>4692.5722592304182</v>
      </c>
      <c r="CJ42" s="99">
        <v>0</v>
      </c>
      <c r="CK42" s="99">
        <v>0</v>
      </c>
      <c r="CL42" s="99">
        <v>0</v>
      </c>
      <c r="CM42" s="99">
        <v>0</v>
      </c>
      <c r="CN42" s="99">
        <v>8</v>
      </c>
      <c r="CO42" s="99">
        <v>6768</v>
      </c>
      <c r="CP42" s="99">
        <v>13</v>
      </c>
      <c r="CQ42" s="99">
        <v>10998</v>
      </c>
      <c r="CR42" s="99">
        <v>7.6858663069887312</v>
      </c>
      <c r="CS42" s="99">
        <v>6502.2428957124666</v>
      </c>
      <c r="CT42" s="99">
        <v>2.646441666995198</v>
      </c>
      <c r="CU42" s="99">
        <v>2238.8896502779376</v>
      </c>
    </row>
    <row r="43" spans="2:99">
      <c r="C43" s="98" t="s">
        <v>208</v>
      </c>
      <c r="D43" s="99">
        <v>0</v>
      </c>
      <c r="E43" s="99">
        <v>0</v>
      </c>
      <c r="F43" s="99">
        <v>0</v>
      </c>
      <c r="G43" s="99">
        <v>0</v>
      </c>
      <c r="H43" s="99">
        <v>6.2644601015893722</v>
      </c>
      <c r="I43" s="99">
        <v>6404.7840078649742</v>
      </c>
      <c r="J43" s="99">
        <v>4.4940343163709411</v>
      </c>
      <c r="K43" s="99">
        <v>4594.7006850576499</v>
      </c>
      <c r="L43" s="99">
        <v>9</v>
      </c>
      <c r="M43" s="99">
        <v>9201.6</v>
      </c>
      <c r="N43" s="99">
        <v>11</v>
      </c>
      <c r="O43" s="99">
        <v>11246.4</v>
      </c>
      <c r="P43" s="99">
        <v>10</v>
      </c>
      <c r="Q43" s="99">
        <v>10224</v>
      </c>
      <c r="R43" s="99">
        <v>5.6191865068044828</v>
      </c>
      <c r="S43" s="99">
        <v>5745.0562845569029</v>
      </c>
      <c r="T43" s="99">
        <v>11</v>
      </c>
      <c r="U43" s="99">
        <v>11246.4</v>
      </c>
      <c r="V43" s="99">
        <v>12</v>
      </c>
      <c r="W43" s="99">
        <v>12268.8</v>
      </c>
      <c r="X43" s="99">
        <v>9</v>
      </c>
      <c r="Y43" s="99">
        <v>9201.6</v>
      </c>
      <c r="Z43" s="99">
        <v>12</v>
      </c>
      <c r="AA43" s="99">
        <v>12268.8</v>
      </c>
      <c r="AB43" s="99">
        <v>10</v>
      </c>
      <c r="AC43" s="99">
        <v>10224</v>
      </c>
      <c r="AD43" s="99">
        <v>11</v>
      </c>
      <c r="AE43" s="99">
        <v>11246.4</v>
      </c>
      <c r="AF43" s="99">
        <v>7.5131993431567778</v>
      </c>
      <c r="AG43" s="99">
        <v>7681.4950084434895</v>
      </c>
      <c r="AH43" s="99">
        <v>0</v>
      </c>
      <c r="AI43" s="99">
        <v>0</v>
      </c>
      <c r="AJ43" s="99">
        <v>7</v>
      </c>
      <c r="AK43" s="99">
        <v>7156.8</v>
      </c>
      <c r="AL43" s="99">
        <v>11</v>
      </c>
      <c r="AM43" s="99">
        <v>11246.4</v>
      </c>
      <c r="AN43" s="99">
        <v>7</v>
      </c>
      <c r="AO43" s="99">
        <v>7156.8</v>
      </c>
      <c r="AP43" s="99">
        <v>8</v>
      </c>
      <c r="AQ43" s="99">
        <v>8179.2</v>
      </c>
      <c r="AR43" s="99">
        <v>10</v>
      </c>
      <c r="AS43" s="99">
        <v>10224</v>
      </c>
      <c r="AT43" s="99">
        <v>4.9692463708235319</v>
      </c>
      <c r="AU43" s="99">
        <v>5080.5574895299787</v>
      </c>
      <c r="AV43" s="99">
        <v>8</v>
      </c>
      <c r="AW43" s="99">
        <v>8179.2</v>
      </c>
      <c r="AX43" s="99">
        <v>9</v>
      </c>
      <c r="AY43" s="99">
        <v>9201.6</v>
      </c>
      <c r="AZ43" s="99">
        <v>12</v>
      </c>
      <c r="BA43" s="99">
        <v>12268.8</v>
      </c>
      <c r="BB43" s="99">
        <v>13</v>
      </c>
      <c r="BC43" s="99">
        <v>13291.199999999999</v>
      </c>
      <c r="BD43" s="99">
        <v>7</v>
      </c>
      <c r="BE43" s="99">
        <v>7156.8</v>
      </c>
      <c r="BF43" s="99">
        <v>10</v>
      </c>
      <c r="BG43" s="99">
        <v>10224</v>
      </c>
      <c r="BH43" s="99">
        <v>12.088336986781448</v>
      </c>
      <c r="BI43" s="99">
        <v>12359.115735285352</v>
      </c>
      <c r="BJ43" s="99">
        <v>9.7425693187892133</v>
      </c>
      <c r="BK43" s="99">
        <v>9960.8028715300916</v>
      </c>
      <c r="BL43" s="99">
        <v>5.5940024544724531</v>
      </c>
      <c r="BM43" s="99">
        <v>5719.308109452636</v>
      </c>
      <c r="BN43" s="99">
        <v>2.3837340774734024</v>
      </c>
      <c r="BO43" s="99">
        <v>2437.1297208088067</v>
      </c>
      <c r="BP43" s="99">
        <v>10</v>
      </c>
      <c r="BQ43" s="99">
        <v>10224</v>
      </c>
      <c r="BR43" s="99">
        <v>7.9748080240722157</v>
      </c>
      <c r="BS43" s="99">
        <v>8153.4437238114333</v>
      </c>
      <c r="BT43" s="99">
        <v>13</v>
      </c>
      <c r="BU43" s="99">
        <v>13291.199999999999</v>
      </c>
      <c r="BV43" s="99">
        <v>6.5940651428571417</v>
      </c>
      <c r="BW43" s="99">
        <v>6741.7722020571418</v>
      </c>
      <c r="BX43" s="99">
        <v>5.4586998162175524</v>
      </c>
      <c r="BY43" s="99">
        <v>5580.9746921008255</v>
      </c>
      <c r="BZ43" s="99">
        <v>0</v>
      </c>
      <c r="CA43" s="99">
        <v>0</v>
      </c>
      <c r="CB43" s="99">
        <v>12</v>
      </c>
      <c r="CC43" s="99">
        <v>12268.8</v>
      </c>
      <c r="CD43" s="99">
        <v>7</v>
      </c>
      <c r="CE43" s="99">
        <v>7156.8</v>
      </c>
      <c r="CF43" s="99">
        <v>7</v>
      </c>
      <c r="CG43" s="99">
        <v>7156.8</v>
      </c>
      <c r="CH43" s="99">
        <v>6.0090070301413947</v>
      </c>
      <c r="CI43" s="99">
        <v>6143.608787616562</v>
      </c>
      <c r="CJ43" s="99">
        <v>0</v>
      </c>
      <c r="CK43" s="99">
        <v>0</v>
      </c>
      <c r="CL43" s="99">
        <v>0</v>
      </c>
      <c r="CM43" s="99">
        <v>0</v>
      </c>
      <c r="CN43" s="99">
        <v>8</v>
      </c>
      <c r="CO43" s="99">
        <v>8179.2</v>
      </c>
      <c r="CP43" s="99">
        <v>13</v>
      </c>
      <c r="CQ43" s="99">
        <v>13291.199999999999</v>
      </c>
      <c r="CR43" s="99">
        <v>7.0453774480730038</v>
      </c>
      <c r="CS43" s="99">
        <v>7203.1939029098394</v>
      </c>
      <c r="CT43" s="99">
        <v>2.3156364586207983</v>
      </c>
      <c r="CU43" s="99">
        <v>2367.5067152939041</v>
      </c>
    </row>
    <row r="44" spans="2:99">
      <c r="C44" s="98" t="s">
        <v>209</v>
      </c>
      <c r="D44" s="99">
        <v>0</v>
      </c>
      <c r="E44" s="99">
        <v>0</v>
      </c>
      <c r="F44" s="99">
        <v>0</v>
      </c>
      <c r="G44" s="99">
        <v>0</v>
      </c>
      <c r="H44" s="99">
        <v>6.2644601015893722</v>
      </c>
      <c r="I44" s="99">
        <v>6404.7840078649742</v>
      </c>
      <c r="J44" s="99">
        <v>4.4940343163709411</v>
      </c>
      <c r="K44" s="99">
        <v>4594.7006850576499</v>
      </c>
      <c r="L44" s="99">
        <v>9</v>
      </c>
      <c r="M44" s="99">
        <v>9201.6</v>
      </c>
      <c r="N44" s="99">
        <v>10</v>
      </c>
      <c r="O44" s="99">
        <v>10224</v>
      </c>
      <c r="P44" s="99">
        <v>10</v>
      </c>
      <c r="Q44" s="99">
        <v>10224</v>
      </c>
      <c r="R44" s="99">
        <v>5.6191865068044828</v>
      </c>
      <c r="S44" s="99">
        <v>5745.0562845569029</v>
      </c>
      <c r="T44" s="99">
        <v>10</v>
      </c>
      <c r="U44" s="99">
        <v>10224</v>
      </c>
      <c r="V44" s="99">
        <v>11</v>
      </c>
      <c r="W44" s="99">
        <v>11246.4</v>
      </c>
      <c r="X44" s="99">
        <v>10</v>
      </c>
      <c r="Y44" s="99">
        <v>10224</v>
      </c>
      <c r="Z44" s="99">
        <v>11</v>
      </c>
      <c r="AA44" s="99">
        <v>11246.4</v>
      </c>
      <c r="AB44" s="99">
        <v>9</v>
      </c>
      <c r="AC44" s="99">
        <v>9201.6</v>
      </c>
      <c r="AD44" s="99">
        <v>11</v>
      </c>
      <c r="AE44" s="99">
        <v>11246.4</v>
      </c>
      <c r="AF44" s="99">
        <v>8.452349261051376</v>
      </c>
      <c r="AG44" s="99">
        <v>8641.6818844989266</v>
      </c>
      <c r="AH44" s="99">
        <v>0</v>
      </c>
      <c r="AI44" s="99">
        <v>0</v>
      </c>
      <c r="AJ44" s="99">
        <v>7</v>
      </c>
      <c r="AK44" s="99">
        <v>7156.8</v>
      </c>
      <c r="AL44" s="99">
        <v>12</v>
      </c>
      <c r="AM44" s="99">
        <v>12268.8</v>
      </c>
      <c r="AN44" s="99">
        <v>8</v>
      </c>
      <c r="AO44" s="99">
        <v>8179.2</v>
      </c>
      <c r="AP44" s="99">
        <v>8</v>
      </c>
      <c r="AQ44" s="99">
        <v>8179.2</v>
      </c>
      <c r="AR44" s="99">
        <v>10</v>
      </c>
      <c r="AS44" s="99">
        <v>10224</v>
      </c>
      <c r="AT44" s="99">
        <v>4.472321733741178</v>
      </c>
      <c r="AU44" s="99">
        <v>4572.5017405769804</v>
      </c>
      <c r="AV44" s="99">
        <v>8</v>
      </c>
      <c r="AW44" s="99">
        <v>8179.2</v>
      </c>
      <c r="AX44" s="99">
        <v>8</v>
      </c>
      <c r="AY44" s="99">
        <v>8179.2</v>
      </c>
      <c r="AZ44" s="99">
        <v>11</v>
      </c>
      <c r="BA44" s="99">
        <v>11246.4</v>
      </c>
      <c r="BB44" s="99">
        <v>12</v>
      </c>
      <c r="BC44" s="99">
        <v>12268.8</v>
      </c>
      <c r="BD44" s="99">
        <v>7</v>
      </c>
      <c r="BE44" s="99">
        <v>7156.8</v>
      </c>
      <c r="BF44" s="99">
        <v>10</v>
      </c>
      <c r="BG44" s="99">
        <v>10224</v>
      </c>
      <c r="BH44" s="99">
        <v>11.158464910875184</v>
      </c>
      <c r="BI44" s="99">
        <v>11408.414524878788</v>
      </c>
      <c r="BJ44" s="99">
        <v>9.7425693187892133</v>
      </c>
      <c r="BK44" s="99">
        <v>9960.8028715300916</v>
      </c>
      <c r="BL44" s="99">
        <v>5.5940024544724531</v>
      </c>
      <c r="BM44" s="99">
        <v>5719.308109452636</v>
      </c>
      <c r="BN44" s="99">
        <v>2.3837340774734024</v>
      </c>
      <c r="BO44" s="99">
        <v>2437.1297208088067</v>
      </c>
      <c r="BP44" s="99">
        <v>11</v>
      </c>
      <c r="BQ44" s="99">
        <v>11246.4</v>
      </c>
      <c r="BR44" s="99">
        <v>9.4247731193580719</v>
      </c>
      <c r="BS44" s="99">
        <v>9635.8880372316926</v>
      </c>
      <c r="BT44" s="99">
        <v>12</v>
      </c>
      <c r="BU44" s="99">
        <v>12268.8</v>
      </c>
      <c r="BV44" s="99">
        <v>6.5940651428571417</v>
      </c>
      <c r="BW44" s="99">
        <v>6741.7722020571418</v>
      </c>
      <c r="BX44" s="99">
        <v>4.5489165135146274</v>
      </c>
      <c r="BY44" s="99">
        <v>4650.8122434173547</v>
      </c>
      <c r="BZ44" s="99">
        <v>0</v>
      </c>
      <c r="CA44" s="99">
        <v>0</v>
      </c>
      <c r="CB44" s="99">
        <v>11</v>
      </c>
      <c r="CC44" s="99">
        <v>11246.4</v>
      </c>
      <c r="CD44" s="99">
        <v>8</v>
      </c>
      <c r="CE44" s="99">
        <v>8179.2</v>
      </c>
      <c r="CF44" s="99">
        <v>8</v>
      </c>
      <c r="CG44" s="99">
        <v>8179.2</v>
      </c>
      <c r="CH44" s="99">
        <v>5.0845444101196415</v>
      </c>
      <c r="CI44" s="99">
        <v>5198.4382049063215</v>
      </c>
      <c r="CJ44" s="99">
        <v>0</v>
      </c>
      <c r="CK44" s="99">
        <v>0</v>
      </c>
      <c r="CL44" s="99">
        <v>0</v>
      </c>
      <c r="CM44" s="99">
        <v>0</v>
      </c>
      <c r="CN44" s="99">
        <v>7</v>
      </c>
      <c r="CO44" s="99">
        <v>7156.8</v>
      </c>
      <c r="CP44" s="99">
        <v>13</v>
      </c>
      <c r="CQ44" s="99">
        <v>13291.199999999999</v>
      </c>
      <c r="CR44" s="99">
        <v>7.6858663069887312</v>
      </c>
      <c r="CS44" s="99">
        <v>7858.0297122652782</v>
      </c>
      <c r="CT44" s="99">
        <v>2.9772468753695982</v>
      </c>
      <c r="CU44" s="99">
        <v>3043.937205377877</v>
      </c>
    </row>
    <row r="45" spans="2:99">
      <c r="C45" s="98" t="s">
        <v>210</v>
      </c>
      <c r="D45" s="99">
        <v>0</v>
      </c>
      <c r="E45" s="99">
        <v>0</v>
      </c>
      <c r="F45" s="99">
        <v>0</v>
      </c>
      <c r="G45" s="99">
        <v>0</v>
      </c>
      <c r="H45" s="99">
        <v>5.5684089791905524</v>
      </c>
      <c r="I45" s="99">
        <v>6956.0564968048384</v>
      </c>
      <c r="J45" s="99">
        <v>4.4940343163709411</v>
      </c>
      <c r="K45" s="99">
        <v>5613.9476680105799</v>
      </c>
      <c r="L45" s="99">
        <v>8</v>
      </c>
      <c r="M45" s="99">
        <v>9993.6</v>
      </c>
      <c r="N45" s="99">
        <v>10</v>
      </c>
      <c r="O45" s="99">
        <v>12492</v>
      </c>
      <c r="P45" s="99">
        <v>9</v>
      </c>
      <c r="Q45" s="99">
        <v>11242.800000000001</v>
      </c>
      <c r="R45" s="99">
        <v>5.6191865068044828</v>
      </c>
      <c r="S45" s="99">
        <v>7019.4877843001605</v>
      </c>
      <c r="T45" s="99">
        <v>11</v>
      </c>
      <c r="U45" s="99">
        <v>13741.2</v>
      </c>
      <c r="V45" s="99">
        <v>11</v>
      </c>
      <c r="W45" s="99">
        <v>13741.2</v>
      </c>
      <c r="X45" s="99">
        <v>10</v>
      </c>
      <c r="Y45" s="99">
        <v>12492</v>
      </c>
      <c r="Z45" s="99">
        <v>12</v>
      </c>
      <c r="AA45" s="99">
        <v>14990.400000000001</v>
      </c>
      <c r="AB45" s="99">
        <v>9</v>
      </c>
      <c r="AC45" s="99">
        <v>11242.800000000001</v>
      </c>
      <c r="AD45" s="99">
        <v>10</v>
      </c>
      <c r="AE45" s="99">
        <v>12492</v>
      </c>
      <c r="AF45" s="99">
        <v>8.452349261051376</v>
      </c>
      <c r="AG45" s="99">
        <v>10558.674696905378</v>
      </c>
      <c r="AH45" s="99">
        <v>0</v>
      </c>
      <c r="AI45" s="99">
        <v>0</v>
      </c>
      <c r="AJ45" s="99">
        <v>6</v>
      </c>
      <c r="AK45" s="99">
        <v>7495.2000000000007</v>
      </c>
      <c r="AL45" s="99">
        <v>11</v>
      </c>
      <c r="AM45" s="99">
        <v>13741.2</v>
      </c>
      <c r="AN45" s="99">
        <v>8</v>
      </c>
      <c r="AO45" s="99">
        <v>9993.6</v>
      </c>
      <c r="AP45" s="99">
        <v>7</v>
      </c>
      <c r="AQ45" s="99">
        <v>8744.4</v>
      </c>
      <c r="AR45" s="99">
        <v>9</v>
      </c>
      <c r="AS45" s="99">
        <v>11242.800000000001</v>
      </c>
      <c r="AT45" s="99">
        <v>4.472321733741178</v>
      </c>
      <c r="AU45" s="99">
        <v>5586.8243097894801</v>
      </c>
      <c r="AV45" s="99">
        <v>8</v>
      </c>
      <c r="AW45" s="99">
        <v>9993.6</v>
      </c>
      <c r="AX45" s="99">
        <v>9</v>
      </c>
      <c r="AY45" s="99">
        <v>11242.800000000001</v>
      </c>
      <c r="AZ45" s="99">
        <v>12</v>
      </c>
      <c r="BA45" s="99">
        <v>14990.400000000001</v>
      </c>
      <c r="BB45" s="99">
        <v>11</v>
      </c>
      <c r="BC45" s="99">
        <v>13741.2</v>
      </c>
      <c r="BD45" s="99">
        <v>6</v>
      </c>
      <c r="BE45" s="99">
        <v>7495.2000000000007</v>
      </c>
      <c r="BF45" s="99">
        <v>9</v>
      </c>
      <c r="BG45" s="99">
        <v>11242.800000000001</v>
      </c>
      <c r="BH45" s="99">
        <v>10.228592834968916</v>
      </c>
      <c r="BI45" s="99">
        <v>12777.558169443171</v>
      </c>
      <c r="BJ45" s="99">
        <v>9.7425693187892133</v>
      </c>
      <c r="BK45" s="99">
        <v>12170.417593031485</v>
      </c>
      <c r="BL45" s="99">
        <v>5.5940024544724531</v>
      </c>
      <c r="BM45" s="99">
        <v>6988.0278661269886</v>
      </c>
      <c r="BN45" s="99">
        <v>2.3837340774734024</v>
      </c>
      <c r="BO45" s="99">
        <v>2977.7606095797742</v>
      </c>
      <c r="BP45" s="99">
        <v>10</v>
      </c>
      <c r="BQ45" s="99">
        <v>12492</v>
      </c>
      <c r="BR45" s="99">
        <v>7.9748080240722157</v>
      </c>
      <c r="BS45" s="99">
        <v>9962.1301836710118</v>
      </c>
      <c r="BT45" s="99">
        <v>12</v>
      </c>
      <c r="BU45" s="99">
        <v>14990.400000000001</v>
      </c>
      <c r="BV45" s="99">
        <v>5.8613912380952371</v>
      </c>
      <c r="BW45" s="99">
        <v>7322.0499346285706</v>
      </c>
      <c r="BX45" s="99">
        <v>4.5489165135146274</v>
      </c>
      <c r="BY45" s="99">
        <v>5682.5065086824725</v>
      </c>
      <c r="BZ45" s="99">
        <v>0</v>
      </c>
      <c r="CA45" s="99">
        <v>0</v>
      </c>
      <c r="CB45" s="99">
        <v>11</v>
      </c>
      <c r="CC45" s="99">
        <v>13741.2</v>
      </c>
      <c r="CD45" s="99">
        <v>8</v>
      </c>
      <c r="CE45" s="99">
        <v>9993.6</v>
      </c>
      <c r="CF45" s="99">
        <v>8</v>
      </c>
      <c r="CG45" s="99">
        <v>9993.6</v>
      </c>
      <c r="CH45" s="99">
        <v>5.0845444101196415</v>
      </c>
      <c r="CI45" s="99">
        <v>6351.6128771214562</v>
      </c>
      <c r="CJ45" s="99">
        <v>0</v>
      </c>
      <c r="CK45" s="99">
        <v>0</v>
      </c>
      <c r="CL45" s="99">
        <v>0</v>
      </c>
      <c r="CM45" s="99">
        <v>0</v>
      </c>
      <c r="CN45" s="99">
        <v>8</v>
      </c>
      <c r="CO45" s="99">
        <v>9993.6</v>
      </c>
      <c r="CP45" s="99">
        <v>13</v>
      </c>
      <c r="CQ45" s="99">
        <v>16239.6</v>
      </c>
      <c r="CR45" s="99">
        <v>6.4048885891572764</v>
      </c>
      <c r="CS45" s="99">
        <v>8000.9868255752699</v>
      </c>
      <c r="CT45" s="99">
        <v>2.3156364586207983</v>
      </c>
      <c r="CU45" s="99">
        <v>2892.6930641091012</v>
      </c>
    </row>
    <row r="46" spans="2:99">
      <c r="C46" s="98" t="s">
        <v>211</v>
      </c>
      <c r="D46" s="99">
        <v>0</v>
      </c>
      <c r="E46" s="99">
        <v>0</v>
      </c>
      <c r="F46" s="99">
        <v>0</v>
      </c>
      <c r="G46" s="99">
        <v>0</v>
      </c>
      <c r="H46" s="99">
        <v>6.2644601015893722</v>
      </c>
      <c r="I46" s="99">
        <v>7592.5256431263188</v>
      </c>
      <c r="J46" s="99">
        <v>4.4940343163709411</v>
      </c>
      <c r="K46" s="99">
        <v>5446.7695914415808</v>
      </c>
      <c r="L46" s="99">
        <v>8</v>
      </c>
      <c r="M46" s="99">
        <v>9696</v>
      </c>
      <c r="N46" s="99">
        <v>11</v>
      </c>
      <c r="O46" s="99">
        <v>13332</v>
      </c>
      <c r="P46" s="99">
        <v>9</v>
      </c>
      <c r="Q46" s="99">
        <v>10908</v>
      </c>
      <c r="R46" s="99">
        <v>5.6191865068044828</v>
      </c>
      <c r="S46" s="99">
        <v>6810.4540462470331</v>
      </c>
      <c r="T46" s="99">
        <v>10</v>
      </c>
      <c r="U46" s="99">
        <v>12120</v>
      </c>
      <c r="V46" s="99">
        <v>10</v>
      </c>
      <c r="W46" s="99">
        <v>12120</v>
      </c>
      <c r="X46" s="99">
        <v>10</v>
      </c>
      <c r="Y46" s="99">
        <v>12120</v>
      </c>
      <c r="Z46" s="99">
        <v>11</v>
      </c>
      <c r="AA46" s="99">
        <v>13332</v>
      </c>
      <c r="AB46" s="99">
        <v>10</v>
      </c>
      <c r="AC46" s="99">
        <v>12120</v>
      </c>
      <c r="AD46" s="99">
        <v>10</v>
      </c>
      <c r="AE46" s="99">
        <v>12120</v>
      </c>
      <c r="AF46" s="99">
        <v>8.452349261051376</v>
      </c>
      <c r="AG46" s="99">
        <v>10244.247304394268</v>
      </c>
      <c r="AH46" s="99">
        <v>0</v>
      </c>
      <c r="AI46" s="99">
        <v>0</v>
      </c>
      <c r="AJ46" s="99">
        <v>6</v>
      </c>
      <c r="AK46" s="99">
        <v>7272</v>
      </c>
      <c r="AL46" s="99">
        <v>12</v>
      </c>
      <c r="AM46" s="99">
        <v>14544</v>
      </c>
      <c r="AN46" s="99">
        <v>7</v>
      </c>
      <c r="AO46" s="99">
        <v>8484</v>
      </c>
      <c r="AP46" s="99">
        <v>8</v>
      </c>
      <c r="AQ46" s="99">
        <v>9696</v>
      </c>
      <c r="AR46" s="99">
        <v>11</v>
      </c>
      <c r="AS46" s="99">
        <v>13332</v>
      </c>
      <c r="AT46" s="99">
        <v>5.4661710079058849</v>
      </c>
      <c r="AU46" s="99">
        <v>6624.9992615819328</v>
      </c>
      <c r="AV46" s="99">
        <v>9</v>
      </c>
      <c r="AW46" s="99">
        <v>10908</v>
      </c>
      <c r="AX46" s="99">
        <v>9</v>
      </c>
      <c r="AY46" s="99">
        <v>10908</v>
      </c>
      <c r="AZ46" s="99">
        <v>12</v>
      </c>
      <c r="BA46" s="99">
        <v>14544</v>
      </c>
      <c r="BB46" s="99">
        <v>13</v>
      </c>
      <c r="BC46" s="99">
        <v>15756</v>
      </c>
      <c r="BD46" s="99">
        <v>7</v>
      </c>
      <c r="BE46" s="99">
        <v>8484</v>
      </c>
      <c r="BF46" s="99">
        <v>9</v>
      </c>
      <c r="BG46" s="99">
        <v>10908</v>
      </c>
      <c r="BH46" s="99">
        <v>11.158464910875184</v>
      </c>
      <c r="BI46" s="99">
        <v>13524.059471980723</v>
      </c>
      <c r="BJ46" s="99">
        <v>10.628257438679141</v>
      </c>
      <c r="BK46" s="99">
        <v>12881.448015679118</v>
      </c>
      <c r="BL46" s="99">
        <v>6.2155582827471703</v>
      </c>
      <c r="BM46" s="99">
        <v>7533.2566386895705</v>
      </c>
      <c r="BN46" s="99">
        <v>2.3837340774734024</v>
      </c>
      <c r="BO46" s="99">
        <v>2889.0857018977636</v>
      </c>
      <c r="BP46" s="99">
        <v>11</v>
      </c>
      <c r="BQ46" s="99">
        <v>13332</v>
      </c>
      <c r="BR46" s="99">
        <v>7.9748080240722157</v>
      </c>
      <c r="BS46" s="99">
        <v>9665.4673251755248</v>
      </c>
      <c r="BT46" s="99">
        <v>11</v>
      </c>
      <c r="BU46" s="99">
        <v>13332</v>
      </c>
      <c r="BV46" s="99">
        <v>6.5940651428571417</v>
      </c>
      <c r="BW46" s="99">
        <v>7992.0069531428562</v>
      </c>
      <c r="BX46" s="99">
        <v>5.0038081648660899</v>
      </c>
      <c r="BY46" s="99">
        <v>6064.6154958177012</v>
      </c>
      <c r="BZ46" s="99">
        <v>0</v>
      </c>
      <c r="CA46" s="99">
        <v>0</v>
      </c>
      <c r="CB46" s="99">
        <v>13</v>
      </c>
      <c r="CC46" s="99">
        <v>15756</v>
      </c>
      <c r="CD46" s="99">
        <v>8</v>
      </c>
      <c r="CE46" s="99">
        <v>9696</v>
      </c>
      <c r="CF46" s="99">
        <v>8</v>
      </c>
      <c r="CG46" s="99">
        <v>9696</v>
      </c>
      <c r="CH46" s="99">
        <v>5.5467757201305181</v>
      </c>
      <c r="CI46" s="99">
        <v>6722.692172798188</v>
      </c>
      <c r="CJ46" s="99">
        <v>0</v>
      </c>
      <c r="CK46" s="99">
        <v>0</v>
      </c>
      <c r="CL46" s="99">
        <v>0</v>
      </c>
      <c r="CM46" s="99">
        <v>0</v>
      </c>
      <c r="CN46" s="99">
        <v>7</v>
      </c>
      <c r="CO46" s="99">
        <v>8484</v>
      </c>
      <c r="CP46" s="99">
        <v>11</v>
      </c>
      <c r="CQ46" s="99">
        <v>13332</v>
      </c>
      <c r="CR46" s="99">
        <v>6.4048885891572764</v>
      </c>
      <c r="CS46" s="99">
        <v>7762.724970058619</v>
      </c>
      <c r="CT46" s="99">
        <v>2.646441666995198</v>
      </c>
      <c r="CU46" s="99">
        <v>3207.4873003981802</v>
      </c>
    </row>
    <row r="47" spans="2:99">
      <c r="C47" s="98" t="s">
        <v>212</v>
      </c>
      <c r="D47" s="99">
        <v>0</v>
      </c>
      <c r="E47" s="99">
        <v>0</v>
      </c>
      <c r="F47" s="99">
        <v>0</v>
      </c>
      <c r="G47" s="99">
        <v>0</v>
      </c>
      <c r="H47" s="99">
        <v>6.2644601015893722</v>
      </c>
      <c r="I47" s="99">
        <v>9569.5892511879247</v>
      </c>
      <c r="J47" s="99">
        <v>4.9025828905864817</v>
      </c>
      <c r="K47" s="99">
        <v>7489.1856236599087</v>
      </c>
      <c r="L47" s="99">
        <v>9</v>
      </c>
      <c r="M47" s="99">
        <v>13748.4</v>
      </c>
      <c r="N47" s="99">
        <v>10</v>
      </c>
      <c r="O47" s="99">
        <v>15276</v>
      </c>
      <c r="P47" s="99">
        <v>9</v>
      </c>
      <c r="Q47" s="99">
        <v>13748.4</v>
      </c>
      <c r="R47" s="99">
        <v>5.0572678561240352</v>
      </c>
      <c r="S47" s="99">
        <v>7725.4823770150761</v>
      </c>
      <c r="T47" s="99">
        <v>11</v>
      </c>
      <c r="U47" s="99">
        <v>16803.599999999999</v>
      </c>
      <c r="V47" s="99">
        <v>11</v>
      </c>
      <c r="W47" s="99">
        <v>16803.599999999999</v>
      </c>
      <c r="X47" s="99">
        <v>9</v>
      </c>
      <c r="Y47" s="99">
        <v>13748.4</v>
      </c>
      <c r="Z47" s="99">
        <v>12</v>
      </c>
      <c r="AA47" s="99">
        <v>18331.199999999997</v>
      </c>
      <c r="AB47" s="99">
        <v>9</v>
      </c>
      <c r="AC47" s="99">
        <v>13748.4</v>
      </c>
      <c r="AD47" s="99">
        <v>10</v>
      </c>
      <c r="AE47" s="99">
        <v>15276</v>
      </c>
      <c r="AF47" s="99">
        <v>7.5131993431567778</v>
      </c>
      <c r="AG47" s="99">
        <v>11477.163316606293</v>
      </c>
      <c r="AH47" s="99">
        <v>0</v>
      </c>
      <c r="AI47" s="99">
        <v>0</v>
      </c>
      <c r="AJ47" s="99">
        <v>7</v>
      </c>
      <c r="AK47" s="99">
        <v>10693.199999999999</v>
      </c>
      <c r="AL47" s="99">
        <v>11</v>
      </c>
      <c r="AM47" s="99">
        <v>16803.599999999999</v>
      </c>
      <c r="AN47" s="99">
        <v>8</v>
      </c>
      <c r="AO47" s="99">
        <v>12220.8</v>
      </c>
      <c r="AP47" s="99">
        <v>8</v>
      </c>
      <c r="AQ47" s="99">
        <v>12220.8</v>
      </c>
      <c r="AR47" s="99">
        <v>10</v>
      </c>
      <c r="AS47" s="99">
        <v>15276</v>
      </c>
      <c r="AT47" s="99">
        <v>4.9692463708235319</v>
      </c>
      <c r="AU47" s="99">
        <v>7591.0207560700273</v>
      </c>
      <c r="AV47" s="99">
        <v>8</v>
      </c>
      <c r="AW47" s="99">
        <v>12220.8</v>
      </c>
      <c r="AX47" s="99">
        <v>9</v>
      </c>
      <c r="AY47" s="99">
        <v>13748.4</v>
      </c>
      <c r="AZ47" s="99">
        <v>12</v>
      </c>
      <c r="BA47" s="99">
        <v>18331.199999999997</v>
      </c>
      <c r="BB47" s="99">
        <v>13</v>
      </c>
      <c r="BC47" s="99">
        <v>19858.8</v>
      </c>
      <c r="BD47" s="99">
        <v>7</v>
      </c>
      <c r="BE47" s="99">
        <v>10693.199999999999</v>
      </c>
      <c r="BF47" s="99">
        <v>11</v>
      </c>
      <c r="BG47" s="99">
        <v>16803.599999999999</v>
      </c>
      <c r="BH47" s="99">
        <v>11.158464910875184</v>
      </c>
      <c r="BI47" s="99">
        <v>17045.670997852929</v>
      </c>
      <c r="BJ47" s="99">
        <v>9.7425693187892133</v>
      </c>
      <c r="BK47" s="99">
        <v>14882.748891382402</v>
      </c>
      <c r="BL47" s="99">
        <v>6.2155582827471703</v>
      </c>
      <c r="BM47" s="99">
        <v>9494.8868327245764</v>
      </c>
      <c r="BN47" s="99">
        <v>2.3837340774734024</v>
      </c>
      <c r="BO47" s="99">
        <v>3641.3921767483694</v>
      </c>
      <c r="BP47" s="99">
        <v>10</v>
      </c>
      <c r="BQ47" s="99">
        <v>15276</v>
      </c>
      <c r="BR47" s="99">
        <v>8.6997905717151429</v>
      </c>
      <c r="BS47" s="99">
        <v>13289.800077352051</v>
      </c>
      <c r="BT47" s="99">
        <v>12</v>
      </c>
      <c r="BU47" s="99">
        <v>18331.199999999997</v>
      </c>
      <c r="BV47" s="99">
        <v>5.8613912380952371</v>
      </c>
      <c r="BW47" s="99">
        <v>8953.861255314283</v>
      </c>
      <c r="BX47" s="99">
        <v>5.0038081648660899</v>
      </c>
      <c r="BY47" s="99">
        <v>7643.8173526494384</v>
      </c>
      <c r="BZ47" s="99">
        <v>0</v>
      </c>
      <c r="CA47" s="99">
        <v>0</v>
      </c>
      <c r="CB47" s="99">
        <v>12</v>
      </c>
      <c r="CC47" s="99">
        <v>18331.199999999997</v>
      </c>
      <c r="CD47" s="99">
        <v>7</v>
      </c>
      <c r="CE47" s="99">
        <v>10693.199999999999</v>
      </c>
      <c r="CF47" s="99">
        <v>7</v>
      </c>
      <c r="CG47" s="99">
        <v>10693.199999999999</v>
      </c>
      <c r="CH47" s="99">
        <v>5.0845444101196415</v>
      </c>
      <c r="CI47" s="99">
        <v>7767.150040898764</v>
      </c>
      <c r="CJ47" s="99">
        <v>0</v>
      </c>
      <c r="CK47" s="99">
        <v>0</v>
      </c>
      <c r="CL47" s="99">
        <v>0</v>
      </c>
      <c r="CM47" s="99">
        <v>0</v>
      </c>
      <c r="CN47" s="99">
        <v>7</v>
      </c>
      <c r="CO47" s="99">
        <v>10693.199999999999</v>
      </c>
      <c r="CP47" s="99">
        <v>12</v>
      </c>
      <c r="CQ47" s="99">
        <v>18331.199999999997</v>
      </c>
      <c r="CR47" s="99">
        <v>7.0453774480730038</v>
      </c>
      <c r="CS47" s="99">
        <v>10762.51858967632</v>
      </c>
      <c r="CT47" s="99">
        <v>2.3156364586207983</v>
      </c>
      <c r="CU47" s="99">
        <v>3537.3662541891313</v>
      </c>
    </row>
    <row r="48" spans="2:99">
      <c r="C48" s="98" t="s">
        <v>213</v>
      </c>
      <c r="D48" s="99">
        <v>0</v>
      </c>
      <c r="E48" s="99">
        <v>0</v>
      </c>
      <c r="F48" s="99">
        <v>0</v>
      </c>
      <c r="G48" s="99">
        <v>0</v>
      </c>
      <c r="H48" s="99">
        <v>6.2644601015893722</v>
      </c>
      <c r="I48" s="99">
        <v>5435.0455841389394</v>
      </c>
      <c r="J48" s="99">
        <v>4.9025828905864817</v>
      </c>
      <c r="K48" s="99">
        <v>4253.4809158728312</v>
      </c>
      <c r="L48" s="99">
        <v>8</v>
      </c>
      <c r="M48" s="99">
        <v>6940.8</v>
      </c>
      <c r="N48" s="99">
        <v>10</v>
      </c>
      <c r="O48" s="99">
        <v>8676</v>
      </c>
      <c r="P48" s="99">
        <v>10</v>
      </c>
      <c r="Q48" s="99">
        <v>8676</v>
      </c>
      <c r="R48" s="99">
        <v>5.6191865068044828</v>
      </c>
      <c r="S48" s="99">
        <v>4875.2062133035697</v>
      </c>
      <c r="T48" s="99">
        <v>11</v>
      </c>
      <c r="U48" s="99">
        <v>9543.6</v>
      </c>
      <c r="V48" s="99">
        <v>11</v>
      </c>
      <c r="W48" s="99">
        <v>9543.6</v>
      </c>
      <c r="X48" s="99">
        <v>10</v>
      </c>
      <c r="Y48" s="99">
        <v>8676</v>
      </c>
      <c r="Z48" s="99">
        <v>13</v>
      </c>
      <c r="AA48" s="99">
        <v>11278.800000000001</v>
      </c>
      <c r="AB48" s="99">
        <v>9</v>
      </c>
      <c r="AC48" s="99">
        <v>7808.4000000000005</v>
      </c>
      <c r="AD48" s="99">
        <v>11</v>
      </c>
      <c r="AE48" s="99">
        <v>9543.6</v>
      </c>
      <c r="AF48" s="99">
        <v>8.452349261051376</v>
      </c>
      <c r="AG48" s="99">
        <v>7333.2582188881743</v>
      </c>
      <c r="AH48" s="99">
        <v>0</v>
      </c>
      <c r="AI48" s="99">
        <v>0</v>
      </c>
      <c r="AJ48" s="99">
        <v>6</v>
      </c>
      <c r="AK48" s="99">
        <v>5205.6000000000004</v>
      </c>
      <c r="AL48" s="99">
        <v>13</v>
      </c>
      <c r="AM48" s="99">
        <v>11278.800000000001</v>
      </c>
      <c r="AN48" s="99">
        <v>7</v>
      </c>
      <c r="AO48" s="99">
        <v>6073.2</v>
      </c>
      <c r="AP48" s="99">
        <v>9</v>
      </c>
      <c r="AQ48" s="99">
        <v>7808.4000000000005</v>
      </c>
      <c r="AR48" s="99">
        <v>11</v>
      </c>
      <c r="AS48" s="99">
        <v>9543.6</v>
      </c>
      <c r="AT48" s="99">
        <v>4.9692463708235319</v>
      </c>
      <c r="AU48" s="99">
        <v>4311.3181513264963</v>
      </c>
      <c r="AV48" s="99">
        <v>8</v>
      </c>
      <c r="AW48" s="99">
        <v>6940.8</v>
      </c>
      <c r="AX48" s="99">
        <v>10</v>
      </c>
      <c r="AY48" s="99">
        <v>8676</v>
      </c>
      <c r="AZ48" s="99">
        <v>12</v>
      </c>
      <c r="BA48" s="99">
        <v>10411.200000000001</v>
      </c>
      <c r="BB48" s="99">
        <v>13</v>
      </c>
      <c r="BC48" s="99">
        <v>11278.800000000001</v>
      </c>
      <c r="BD48" s="99">
        <v>7</v>
      </c>
      <c r="BE48" s="99">
        <v>6073.2</v>
      </c>
      <c r="BF48" s="99">
        <v>10</v>
      </c>
      <c r="BG48" s="99">
        <v>8676</v>
      </c>
      <c r="BH48" s="99">
        <v>12.088336986781448</v>
      </c>
      <c r="BI48" s="99">
        <v>10487.841169731584</v>
      </c>
      <c r="BJ48" s="99">
        <v>9.7425693187892133</v>
      </c>
      <c r="BK48" s="99">
        <v>8452.6531409815216</v>
      </c>
      <c r="BL48" s="99">
        <v>6.2155582827471703</v>
      </c>
      <c r="BM48" s="99">
        <v>5392.6183661114446</v>
      </c>
      <c r="BN48" s="99">
        <v>2.3837340774734024</v>
      </c>
      <c r="BO48" s="99">
        <v>2068.1276856159238</v>
      </c>
      <c r="BP48" s="99">
        <v>11</v>
      </c>
      <c r="BQ48" s="99">
        <v>9543.6</v>
      </c>
      <c r="BR48" s="99">
        <v>9.4247731193580719</v>
      </c>
      <c r="BS48" s="99">
        <v>8176.9331583550638</v>
      </c>
      <c r="BT48" s="99">
        <v>11</v>
      </c>
      <c r="BU48" s="99">
        <v>9543.6</v>
      </c>
      <c r="BV48" s="99">
        <v>7.3267390476190473</v>
      </c>
      <c r="BW48" s="99">
        <v>6356.6787977142858</v>
      </c>
      <c r="BX48" s="99">
        <v>5.4586998162175524</v>
      </c>
      <c r="BY48" s="99">
        <v>4735.9679605503488</v>
      </c>
      <c r="BZ48" s="99">
        <v>0</v>
      </c>
      <c r="CA48" s="99">
        <v>0</v>
      </c>
      <c r="CB48" s="99">
        <v>13</v>
      </c>
      <c r="CC48" s="99">
        <v>11278.800000000001</v>
      </c>
      <c r="CD48" s="99">
        <v>7</v>
      </c>
      <c r="CE48" s="99">
        <v>6073.2</v>
      </c>
      <c r="CF48" s="99">
        <v>8</v>
      </c>
      <c r="CG48" s="99">
        <v>6940.8</v>
      </c>
      <c r="CH48" s="99">
        <v>5.5467757201305181</v>
      </c>
      <c r="CI48" s="99">
        <v>4812.3826147852378</v>
      </c>
      <c r="CJ48" s="99">
        <v>0</v>
      </c>
      <c r="CK48" s="99">
        <v>0</v>
      </c>
      <c r="CL48" s="99">
        <v>0</v>
      </c>
      <c r="CM48" s="99">
        <v>0</v>
      </c>
      <c r="CN48" s="99">
        <v>8</v>
      </c>
      <c r="CO48" s="99">
        <v>6940.8</v>
      </c>
      <c r="CP48" s="99">
        <v>12</v>
      </c>
      <c r="CQ48" s="99">
        <v>10411.200000000001</v>
      </c>
      <c r="CR48" s="99">
        <v>7.6858663069887312</v>
      </c>
      <c r="CS48" s="99">
        <v>6668.257607943423</v>
      </c>
      <c r="CT48" s="99">
        <v>2.646441666995198</v>
      </c>
      <c r="CU48" s="99">
        <v>2296.052790285034</v>
      </c>
    </row>
    <row r="49" spans="2:99">
      <c r="B49" s="98" t="s">
        <v>129</v>
      </c>
      <c r="C49" s="98" t="s">
        <v>214</v>
      </c>
      <c r="D49" s="99">
        <v>0</v>
      </c>
      <c r="E49" s="99">
        <v>0</v>
      </c>
      <c r="F49" s="99">
        <v>0</v>
      </c>
      <c r="G49" s="99">
        <v>0</v>
      </c>
      <c r="H49" s="99">
        <v>13.489554362301668</v>
      </c>
      <c r="I49" s="99">
        <v>13289.908957739603</v>
      </c>
      <c r="J49" s="99">
        <v>29</v>
      </c>
      <c r="K49" s="99">
        <v>28570.799999999999</v>
      </c>
      <c r="L49" s="99">
        <v>25</v>
      </c>
      <c r="M49" s="99">
        <v>24630</v>
      </c>
      <c r="N49" s="99">
        <v>29</v>
      </c>
      <c r="O49" s="99">
        <v>28570.799999999999</v>
      </c>
      <c r="P49" s="99">
        <v>23</v>
      </c>
      <c r="Q49" s="99">
        <v>22659.599999999999</v>
      </c>
      <c r="R49" s="99">
        <v>27</v>
      </c>
      <c r="S49" s="99">
        <v>26600.399999999998</v>
      </c>
      <c r="T49" s="99">
        <v>26</v>
      </c>
      <c r="U49" s="99">
        <v>25615.199999999997</v>
      </c>
      <c r="V49" s="99">
        <v>21</v>
      </c>
      <c r="W49" s="99">
        <v>20689.199999999997</v>
      </c>
      <c r="X49" s="99">
        <v>23</v>
      </c>
      <c r="Y49" s="99">
        <v>22659.599999999999</v>
      </c>
      <c r="Z49" s="99">
        <v>22</v>
      </c>
      <c r="AA49" s="99">
        <v>21674.399999999998</v>
      </c>
      <c r="AB49" s="99">
        <v>16</v>
      </c>
      <c r="AC49" s="99">
        <v>15763.199999999999</v>
      </c>
      <c r="AD49" s="99">
        <v>24</v>
      </c>
      <c r="AE49" s="99">
        <v>23644.799999999999</v>
      </c>
      <c r="AF49" s="99">
        <v>27</v>
      </c>
      <c r="AG49" s="99">
        <v>26600.399999999998</v>
      </c>
      <c r="AH49" s="99">
        <v>23</v>
      </c>
      <c r="AI49" s="99">
        <v>22659.599999999999</v>
      </c>
      <c r="AJ49" s="99">
        <v>29</v>
      </c>
      <c r="AK49" s="99">
        <v>28570.799999999999</v>
      </c>
      <c r="AL49" s="99">
        <v>29</v>
      </c>
      <c r="AM49" s="99">
        <v>28570.799999999999</v>
      </c>
      <c r="AN49" s="99">
        <v>22</v>
      </c>
      <c r="AO49" s="99">
        <v>21674.399999999998</v>
      </c>
      <c r="AP49" s="99">
        <v>17</v>
      </c>
      <c r="AQ49" s="99">
        <v>16748.399999999998</v>
      </c>
      <c r="AR49" s="99">
        <v>25</v>
      </c>
      <c r="AS49" s="99">
        <v>24630</v>
      </c>
      <c r="AT49" s="99">
        <v>21</v>
      </c>
      <c r="AU49" s="99">
        <v>20689.199999999997</v>
      </c>
      <c r="AV49" s="99">
        <v>19</v>
      </c>
      <c r="AW49" s="99">
        <v>18718.8</v>
      </c>
      <c r="AX49" s="99">
        <v>16</v>
      </c>
      <c r="AY49" s="99">
        <v>15763.199999999999</v>
      </c>
      <c r="AZ49" s="99">
        <v>22</v>
      </c>
      <c r="BA49" s="99">
        <v>21674.399999999998</v>
      </c>
      <c r="BB49" s="99">
        <v>23</v>
      </c>
      <c r="BC49" s="99">
        <v>22659.599999999999</v>
      </c>
      <c r="BD49" s="99">
        <v>30</v>
      </c>
      <c r="BE49" s="99">
        <v>29555.999999999996</v>
      </c>
      <c r="BF49" s="99">
        <v>30</v>
      </c>
      <c r="BG49" s="99">
        <v>29555.999999999996</v>
      </c>
      <c r="BH49" s="99">
        <v>29</v>
      </c>
      <c r="BI49" s="99">
        <v>28570.799999999999</v>
      </c>
      <c r="BJ49" s="99">
        <v>25</v>
      </c>
      <c r="BK49" s="99">
        <v>24630</v>
      </c>
      <c r="BL49" s="99">
        <v>20</v>
      </c>
      <c r="BM49" s="99">
        <v>19704</v>
      </c>
      <c r="BN49" s="99">
        <v>29</v>
      </c>
      <c r="BO49" s="99">
        <v>28570.799999999999</v>
      </c>
      <c r="BP49" s="99">
        <v>31</v>
      </c>
      <c r="BQ49" s="99">
        <v>30541.199999999997</v>
      </c>
      <c r="BR49" s="99">
        <v>27</v>
      </c>
      <c r="BS49" s="99">
        <v>26600.399999999998</v>
      </c>
      <c r="BT49" s="99">
        <v>22</v>
      </c>
      <c r="BU49" s="99">
        <v>21674.399999999998</v>
      </c>
      <c r="BV49" s="99">
        <v>20</v>
      </c>
      <c r="BW49" s="99">
        <v>19704</v>
      </c>
      <c r="BX49" s="99">
        <v>16</v>
      </c>
      <c r="BY49" s="99">
        <v>15763.199999999999</v>
      </c>
      <c r="BZ49" s="99">
        <v>25</v>
      </c>
      <c r="CA49" s="99">
        <v>24630</v>
      </c>
      <c r="CB49" s="99">
        <v>19</v>
      </c>
      <c r="CC49" s="99">
        <v>18718.8</v>
      </c>
      <c r="CD49" s="99">
        <v>19</v>
      </c>
      <c r="CE49" s="99">
        <v>18718.8</v>
      </c>
      <c r="CF49" s="99">
        <v>30</v>
      </c>
      <c r="CG49" s="99">
        <v>29555.999999999996</v>
      </c>
      <c r="CH49" s="99">
        <v>22</v>
      </c>
      <c r="CI49" s="99">
        <v>21674.399999999998</v>
      </c>
      <c r="CJ49" s="99">
        <v>19</v>
      </c>
      <c r="CK49" s="99">
        <v>18718.8</v>
      </c>
      <c r="CL49" s="99">
        <v>28</v>
      </c>
      <c r="CM49" s="99">
        <v>27585.599999999999</v>
      </c>
      <c r="CN49" s="99">
        <v>27</v>
      </c>
      <c r="CO49" s="99">
        <v>26600.399999999998</v>
      </c>
      <c r="CP49" s="99">
        <v>27</v>
      </c>
      <c r="CQ49" s="99">
        <v>26600.399999999998</v>
      </c>
      <c r="CR49" s="99">
        <v>16</v>
      </c>
      <c r="CS49" s="99">
        <v>15763.199999999999</v>
      </c>
      <c r="CT49" s="99">
        <v>29</v>
      </c>
      <c r="CU49" s="99">
        <v>28570.799999999999</v>
      </c>
    </row>
    <row r="50" spans="2:99">
      <c r="C50" s="98" t="s">
        <v>215</v>
      </c>
      <c r="D50" s="99">
        <v>0</v>
      </c>
      <c r="E50" s="99">
        <v>0</v>
      </c>
      <c r="F50" s="99">
        <v>0</v>
      </c>
      <c r="G50" s="99">
        <v>0</v>
      </c>
      <c r="H50" s="99">
        <v>11.832869080779925</v>
      </c>
      <c r="I50" s="99">
        <v>3336.8690807799389</v>
      </c>
      <c r="J50" s="99">
        <v>11.030811503819583</v>
      </c>
      <c r="K50" s="99">
        <v>3110.6888440771227</v>
      </c>
      <c r="L50" s="99">
        <v>27</v>
      </c>
      <c r="M50" s="99">
        <v>7614</v>
      </c>
      <c r="N50" s="99">
        <v>34</v>
      </c>
      <c r="O50" s="99">
        <v>9588</v>
      </c>
      <c r="P50" s="99">
        <v>25</v>
      </c>
      <c r="Q50" s="99">
        <v>7050</v>
      </c>
      <c r="R50" s="99">
        <v>17.419478171093896</v>
      </c>
      <c r="S50" s="99">
        <v>4912.292844248479</v>
      </c>
      <c r="T50" s="99">
        <v>29</v>
      </c>
      <c r="U50" s="99">
        <v>8178</v>
      </c>
      <c r="V50" s="99">
        <v>23</v>
      </c>
      <c r="W50" s="99">
        <v>6486</v>
      </c>
      <c r="X50" s="99">
        <v>23</v>
      </c>
      <c r="Y50" s="99">
        <v>6486</v>
      </c>
      <c r="Z50" s="99">
        <v>22</v>
      </c>
      <c r="AA50" s="99">
        <v>6204</v>
      </c>
      <c r="AB50" s="99">
        <v>16</v>
      </c>
      <c r="AC50" s="99">
        <v>4512</v>
      </c>
      <c r="AD50" s="99">
        <v>29</v>
      </c>
      <c r="AE50" s="99">
        <v>8178</v>
      </c>
      <c r="AF50" s="99">
        <v>27.235347618943319</v>
      </c>
      <c r="AG50" s="99">
        <v>7680.368028542016</v>
      </c>
      <c r="AH50" s="99">
        <v>0</v>
      </c>
      <c r="AI50" s="99">
        <v>0</v>
      </c>
      <c r="AJ50" s="99">
        <v>29</v>
      </c>
      <c r="AK50" s="99">
        <v>8178</v>
      </c>
      <c r="AL50" s="99">
        <v>29</v>
      </c>
      <c r="AM50" s="99">
        <v>8178</v>
      </c>
      <c r="AN50" s="99">
        <v>24</v>
      </c>
      <c r="AO50" s="99">
        <v>6768</v>
      </c>
      <c r="AP50" s="99">
        <v>17</v>
      </c>
      <c r="AQ50" s="99">
        <v>4794</v>
      </c>
      <c r="AR50" s="99">
        <v>29</v>
      </c>
      <c r="AS50" s="99">
        <v>8178</v>
      </c>
      <c r="AT50" s="99">
        <v>10.93234201581177</v>
      </c>
      <c r="AU50" s="99">
        <v>3082.9204484589191</v>
      </c>
      <c r="AV50" s="99">
        <v>20</v>
      </c>
      <c r="AW50" s="99">
        <v>5640</v>
      </c>
      <c r="AX50" s="99">
        <v>20</v>
      </c>
      <c r="AY50" s="99">
        <v>5640</v>
      </c>
      <c r="AZ50" s="99">
        <v>21</v>
      </c>
      <c r="BA50" s="99">
        <v>5922</v>
      </c>
      <c r="BB50" s="99">
        <v>20</v>
      </c>
      <c r="BC50" s="99">
        <v>5640</v>
      </c>
      <c r="BD50" s="99">
        <v>33</v>
      </c>
      <c r="BE50" s="99">
        <v>9306</v>
      </c>
      <c r="BF50" s="99">
        <v>30</v>
      </c>
      <c r="BG50" s="99">
        <v>8460</v>
      </c>
      <c r="BH50" s="99">
        <v>29.755906429000486</v>
      </c>
      <c r="BI50" s="99">
        <v>8391.1656129781368</v>
      </c>
      <c r="BJ50" s="99">
        <v>23.027891117138143</v>
      </c>
      <c r="BK50" s="99">
        <v>6493.8652950329561</v>
      </c>
      <c r="BL50" s="99">
        <v>13.052672393769058</v>
      </c>
      <c r="BM50" s="99">
        <v>3680.8536150428745</v>
      </c>
      <c r="BN50" s="99">
        <v>11.578136947727954</v>
      </c>
      <c r="BO50" s="99">
        <v>3265.0346192592829</v>
      </c>
      <c r="BP50" s="99">
        <v>33</v>
      </c>
      <c r="BQ50" s="99">
        <v>9306</v>
      </c>
      <c r="BR50" s="99">
        <v>18.849546238716144</v>
      </c>
      <c r="BS50" s="99">
        <v>5315.5720393179527</v>
      </c>
      <c r="BT50" s="99">
        <v>24</v>
      </c>
      <c r="BU50" s="99">
        <v>6768</v>
      </c>
      <c r="BV50" s="99">
        <v>13.188130285714283</v>
      </c>
      <c r="BW50" s="99">
        <v>3719.0527405714279</v>
      </c>
      <c r="BX50" s="99">
        <v>9.0978330270292549</v>
      </c>
      <c r="BY50" s="99">
        <v>2565.5889136222499</v>
      </c>
      <c r="BZ50" s="99">
        <v>0</v>
      </c>
      <c r="CA50" s="99">
        <v>0</v>
      </c>
      <c r="CB50" s="99">
        <v>18</v>
      </c>
      <c r="CC50" s="99">
        <v>5076</v>
      </c>
      <c r="CD50" s="99">
        <v>24</v>
      </c>
      <c r="CE50" s="99">
        <v>6768</v>
      </c>
      <c r="CF50" s="99">
        <v>33</v>
      </c>
      <c r="CG50" s="99">
        <v>9306</v>
      </c>
      <c r="CH50" s="99">
        <v>11.555782750271913</v>
      </c>
      <c r="CI50" s="99">
        <v>3258.7307355766793</v>
      </c>
      <c r="CJ50" s="99">
        <v>0</v>
      </c>
      <c r="CK50" s="99">
        <v>0</v>
      </c>
      <c r="CL50" s="99">
        <v>0</v>
      </c>
      <c r="CM50" s="99">
        <v>0</v>
      </c>
      <c r="CN50" s="99">
        <v>29</v>
      </c>
      <c r="CO50" s="99">
        <v>8178</v>
      </c>
      <c r="CP50" s="99">
        <v>28</v>
      </c>
      <c r="CQ50" s="99">
        <v>7896</v>
      </c>
      <c r="CR50" s="99">
        <v>10.247821742651642</v>
      </c>
      <c r="CS50" s="99">
        <v>2889.8857314277629</v>
      </c>
      <c r="CT50" s="99">
        <v>10.254961459606392</v>
      </c>
      <c r="CU50" s="99">
        <v>2891.8991316090023</v>
      </c>
    </row>
    <row r="51" spans="2:99">
      <c r="C51" s="98" t="s">
        <v>216</v>
      </c>
      <c r="D51" s="99">
        <v>0</v>
      </c>
      <c r="E51" s="99">
        <v>0</v>
      </c>
      <c r="F51" s="99">
        <v>0</v>
      </c>
      <c r="G51" s="99">
        <v>0</v>
      </c>
      <c r="H51" s="99">
        <v>11.136817958381105</v>
      </c>
      <c r="I51" s="99">
        <v>9515.2972636408158</v>
      </c>
      <c r="J51" s="99">
        <v>11.030811503819583</v>
      </c>
      <c r="K51" s="99">
        <v>9424.7253488634524</v>
      </c>
      <c r="L51" s="99">
        <v>26</v>
      </c>
      <c r="M51" s="99">
        <v>22214.399999999998</v>
      </c>
      <c r="N51" s="99">
        <v>33</v>
      </c>
      <c r="O51" s="99">
        <v>28195.200000000001</v>
      </c>
      <c r="P51" s="99">
        <v>24</v>
      </c>
      <c r="Q51" s="99">
        <v>20505.599999999999</v>
      </c>
      <c r="R51" s="99">
        <v>15.733722219052552</v>
      </c>
      <c r="S51" s="99">
        <v>13442.8922639585</v>
      </c>
      <c r="T51" s="99">
        <v>28</v>
      </c>
      <c r="U51" s="99">
        <v>23923.200000000001</v>
      </c>
      <c r="V51" s="99">
        <v>22</v>
      </c>
      <c r="W51" s="99">
        <v>18796.8</v>
      </c>
      <c r="X51" s="99">
        <v>20</v>
      </c>
      <c r="Y51" s="99">
        <v>17088</v>
      </c>
      <c r="Z51" s="99">
        <v>23</v>
      </c>
      <c r="AA51" s="99">
        <v>19651.2</v>
      </c>
      <c r="AB51" s="99">
        <v>15</v>
      </c>
      <c r="AC51" s="99">
        <v>12816</v>
      </c>
      <c r="AD51" s="99">
        <v>24</v>
      </c>
      <c r="AE51" s="99">
        <v>20505.599999999999</v>
      </c>
      <c r="AF51" s="99">
        <v>26.296197701048726</v>
      </c>
      <c r="AG51" s="99">
        <v>22467.471315776031</v>
      </c>
      <c r="AH51" s="99">
        <v>0</v>
      </c>
      <c r="AI51" s="99">
        <v>0</v>
      </c>
      <c r="AJ51" s="99">
        <v>30</v>
      </c>
      <c r="AK51" s="99">
        <v>25632</v>
      </c>
      <c r="AL51" s="99">
        <v>30</v>
      </c>
      <c r="AM51" s="99">
        <v>25632</v>
      </c>
      <c r="AN51" s="99">
        <v>20</v>
      </c>
      <c r="AO51" s="99">
        <v>17088</v>
      </c>
      <c r="AP51" s="99">
        <v>17</v>
      </c>
      <c r="AQ51" s="99">
        <v>14524.8</v>
      </c>
      <c r="AR51" s="99">
        <v>26</v>
      </c>
      <c r="AS51" s="99">
        <v>22214.399999999998</v>
      </c>
      <c r="AT51" s="99">
        <v>10.435417378729415</v>
      </c>
      <c r="AU51" s="99">
        <v>8916.0206083864123</v>
      </c>
      <c r="AV51" s="99">
        <v>17</v>
      </c>
      <c r="AW51" s="99">
        <v>14524.8</v>
      </c>
      <c r="AX51" s="99">
        <v>18</v>
      </c>
      <c r="AY51" s="99">
        <v>15379.199999999999</v>
      </c>
      <c r="AZ51" s="99">
        <v>22</v>
      </c>
      <c r="BA51" s="99">
        <v>18796.8</v>
      </c>
      <c r="BB51" s="99">
        <v>20</v>
      </c>
      <c r="BC51" s="99">
        <v>17088</v>
      </c>
      <c r="BD51" s="99">
        <v>30</v>
      </c>
      <c r="BE51" s="99">
        <v>25632</v>
      </c>
      <c r="BF51" s="99">
        <v>29</v>
      </c>
      <c r="BG51" s="99">
        <v>24777.599999999999</v>
      </c>
      <c r="BH51" s="99">
        <v>26.966290201281691</v>
      </c>
      <c r="BI51" s="99">
        <v>23039.998347975077</v>
      </c>
      <c r="BJ51" s="99">
        <v>25.684955476807925</v>
      </c>
      <c r="BK51" s="99">
        <v>21945.22595938469</v>
      </c>
      <c r="BL51" s="99">
        <v>11.809560737219622</v>
      </c>
      <c r="BM51" s="99">
        <v>10090.088693880445</v>
      </c>
      <c r="BN51" s="99">
        <v>9.8754697495326678</v>
      </c>
      <c r="BO51" s="99">
        <v>8437.6013540007116</v>
      </c>
      <c r="BP51" s="99">
        <v>28</v>
      </c>
      <c r="BQ51" s="99">
        <v>23923.200000000001</v>
      </c>
      <c r="BR51" s="99">
        <v>21.024493881644929</v>
      </c>
      <c r="BS51" s="99">
        <v>17963.327572477428</v>
      </c>
      <c r="BT51" s="99">
        <v>24</v>
      </c>
      <c r="BU51" s="99">
        <v>20505.599999999999</v>
      </c>
      <c r="BV51" s="99">
        <v>13.920804190476188</v>
      </c>
      <c r="BW51" s="99">
        <v>11893.935100342855</v>
      </c>
      <c r="BX51" s="99">
        <v>7.7331580729748666</v>
      </c>
      <c r="BY51" s="99">
        <v>6607.2102575497256</v>
      </c>
      <c r="BZ51" s="99">
        <v>0</v>
      </c>
      <c r="CA51" s="99">
        <v>0</v>
      </c>
      <c r="CB51" s="99">
        <v>17</v>
      </c>
      <c r="CC51" s="99">
        <v>14524.8</v>
      </c>
      <c r="CD51" s="99">
        <v>21</v>
      </c>
      <c r="CE51" s="99">
        <v>17942.399999999998</v>
      </c>
      <c r="CF51" s="99">
        <v>30</v>
      </c>
      <c r="CG51" s="99">
        <v>25632</v>
      </c>
      <c r="CH51" s="99">
        <v>11.555782750271913</v>
      </c>
      <c r="CI51" s="99">
        <v>9873.2607818323213</v>
      </c>
      <c r="CJ51" s="99">
        <v>0</v>
      </c>
      <c r="CK51" s="99">
        <v>0</v>
      </c>
      <c r="CL51" s="99">
        <v>0</v>
      </c>
      <c r="CM51" s="99">
        <v>0</v>
      </c>
      <c r="CN51" s="99">
        <v>27</v>
      </c>
      <c r="CO51" s="99">
        <v>23068.799999999999</v>
      </c>
      <c r="CP51" s="99">
        <v>26</v>
      </c>
      <c r="CQ51" s="99">
        <v>22214.399999999998</v>
      </c>
      <c r="CR51" s="99">
        <v>11.528799460483098</v>
      </c>
      <c r="CS51" s="99">
        <v>9850.2062590367586</v>
      </c>
      <c r="CT51" s="99">
        <v>10.916571876355194</v>
      </c>
      <c r="CU51" s="99">
        <v>9327.119011157878</v>
      </c>
    </row>
    <row r="52" spans="2:99">
      <c r="C52" s="98" t="s">
        <v>217</v>
      </c>
      <c r="D52" s="99">
        <v>0</v>
      </c>
      <c r="E52" s="99">
        <v>0</v>
      </c>
      <c r="F52" s="99">
        <v>0</v>
      </c>
      <c r="G52" s="99">
        <v>0</v>
      </c>
      <c r="H52" s="99">
        <v>11.136817958381105</v>
      </c>
      <c r="I52" s="99">
        <v>6013.8816975257969</v>
      </c>
      <c r="J52" s="99">
        <v>11.847908652250663</v>
      </c>
      <c r="K52" s="99">
        <v>6397.8706722153574</v>
      </c>
      <c r="L52" s="99">
        <v>26</v>
      </c>
      <c r="M52" s="99">
        <v>14040</v>
      </c>
      <c r="N52" s="99">
        <v>30</v>
      </c>
      <c r="O52" s="99">
        <v>16200</v>
      </c>
      <c r="P52" s="99">
        <v>23</v>
      </c>
      <c r="Q52" s="99">
        <v>12420</v>
      </c>
      <c r="R52" s="99">
        <v>14.609884917691655</v>
      </c>
      <c r="S52" s="99">
        <v>7889.3378555534937</v>
      </c>
      <c r="T52" s="99">
        <v>28</v>
      </c>
      <c r="U52" s="99">
        <v>15120</v>
      </c>
      <c r="V52" s="99">
        <v>23</v>
      </c>
      <c r="W52" s="99">
        <v>12420</v>
      </c>
      <c r="X52" s="99">
        <v>22</v>
      </c>
      <c r="Y52" s="99">
        <v>11880</v>
      </c>
      <c r="Z52" s="99">
        <v>23</v>
      </c>
      <c r="AA52" s="99">
        <v>12420</v>
      </c>
      <c r="AB52" s="99">
        <v>16</v>
      </c>
      <c r="AC52" s="99">
        <v>8640</v>
      </c>
      <c r="AD52" s="99">
        <v>29</v>
      </c>
      <c r="AE52" s="99">
        <v>15660</v>
      </c>
      <c r="AF52" s="99">
        <v>27.235347618943319</v>
      </c>
      <c r="AG52" s="99">
        <v>14707.087714229392</v>
      </c>
      <c r="AH52" s="99">
        <v>0</v>
      </c>
      <c r="AI52" s="99">
        <v>0</v>
      </c>
      <c r="AJ52" s="99">
        <v>33</v>
      </c>
      <c r="AK52" s="99">
        <v>17820</v>
      </c>
      <c r="AL52" s="99">
        <v>34</v>
      </c>
      <c r="AM52" s="99">
        <v>18360</v>
      </c>
      <c r="AN52" s="99">
        <v>23</v>
      </c>
      <c r="AO52" s="99">
        <v>12420</v>
      </c>
      <c r="AP52" s="99">
        <v>18</v>
      </c>
      <c r="AQ52" s="99">
        <v>9720</v>
      </c>
      <c r="AR52" s="99">
        <v>26</v>
      </c>
      <c r="AS52" s="99">
        <v>14040</v>
      </c>
      <c r="AT52" s="99">
        <v>9.4415681045647109</v>
      </c>
      <c r="AU52" s="99">
        <v>5098.4467764649435</v>
      </c>
      <c r="AV52" s="99">
        <v>19</v>
      </c>
      <c r="AW52" s="99">
        <v>10260</v>
      </c>
      <c r="AX52" s="99">
        <v>18</v>
      </c>
      <c r="AY52" s="99">
        <v>9720</v>
      </c>
      <c r="AZ52" s="99">
        <v>19</v>
      </c>
      <c r="BA52" s="99">
        <v>10260</v>
      </c>
      <c r="BB52" s="99">
        <v>21</v>
      </c>
      <c r="BC52" s="99">
        <v>11340</v>
      </c>
      <c r="BD52" s="99">
        <v>32</v>
      </c>
      <c r="BE52" s="99">
        <v>17280</v>
      </c>
      <c r="BF52" s="99">
        <v>29</v>
      </c>
      <c r="BG52" s="99">
        <v>15660</v>
      </c>
      <c r="BH52" s="99">
        <v>26.966290201281691</v>
      </c>
      <c r="BI52" s="99">
        <v>14561.796708692113</v>
      </c>
      <c r="BJ52" s="99">
        <v>25.684955476807925</v>
      </c>
      <c r="BK52" s="99">
        <v>13869.875957476279</v>
      </c>
      <c r="BL52" s="99">
        <v>11.188004908944906</v>
      </c>
      <c r="BM52" s="99">
        <v>6041.5226508302494</v>
      </c>
      <c r="BN52" s="99">
        <v>9.5349363098936095</v>
      </c>
      <c r="BO52" s="99">
        <v>5148.8656073425491</v>
      </c>
      <c r="BP52" s="99">
        <v>27</v>
      </c>
      <c r="BQ52" s="99">
        <v>14580</v>
      </c>
      <c r="BR52" s="99">
        <v>20.299511334002002</v>
      </c>
      <c r="BS52" s="99">
        <v>10961.736120361082</v>
      </c>
      <c r="BT52" s="99">
        <v>24</v>
      </c>
      <c r="BU52" s="99">
        <v>12960</v>
      </c>
      <c r="BV52" s="99">
        <v>13.920804190476188</v>
      </c>
      <c r="BW52" s="99">
        <v>7517.2342628571414</v>
      </c>
      <c r="BX52" s="99">
        <v>8.1880497243263299</v>
      </c>
      <c r="BY52" s="99">
        <v>4421.5468511362178</v>
      </c>
      <c r="BZ52" s="99">
        <v>0</v>
      </c>
      <c r="CA52" s="99">
        <v>0</v>
      </c>
      <c r="CB52" s="99">
        <v>18</v>
      </c>
      <c r="CC52" s="99">
        <v>9720</v>
      </c>
      <c r="CD52" s="99">
        <v>21</v>
      </c>
      <c r="CE52" s="99">
        <v>11340</v>
      </c>
      <c r="CF52" s="99">
        <v>29</v>
      </c>
      <c r="CG52" s="99">
        <v>15660</v>
      </c>
      <c r="CH52" s="99">
        <v>10.63132013025016</v>
      </c>
      <c r="CI52" s="99">
        <v>5740.9128703350862</v>
      </c>
      <c r="CJ52" s="99">
        <v>0</v>
      </c>
      <c r="CK52" s="99">
        <v>0</v>
      </c>
      <c r="CL52" s="99">
        <v>0</v>
      </c>
      <c r="CM52" s="99">
        <v>0</v>
      </c>
      <c r="CN52" s="99">
        <v>27</v>
      </c>
      <c r="CO52" s="99">
        <v>14580</v>
      </c>
      <c r="CP52" s="99">
        <v>28</v>
      </c>
      <c r="CQ52" s="99">
        <v>15120</v>
      </c>
      <c r="CR52" s="99">
        <v>10.247821742651642</v>
      </c>
      <c r="CS52" s="99">
        <v>5533.8237410318861</v>
      </c>
      <c r="CT52" s="99">
        <v>9.9241562512319916</v>
      </c>
      <c r="CU52" s="99">
        <v>5359.0443756652758</v>
      </c>
    </row>
    <row r="53" spans="2:99">
      <c r="C53" s="98" t="s">
        <v>218</v>
      </c>
      <c r="D53" s="99">
        <v>0</v>
      </c>
      <c r="E53" s="99">
        <v>0</v>
      </c>
      <c r="F53" s="99">
        <v>0</v>
      </c>
      <c r="G53" s="99">
        <v>0</v>
      </c>
      <c r="H53" s="99">
        <v>12.528920203178744</v>
      </c>
      <c r="I53" s="99">
        <v>5096.7647386531135</v>
      </c>
      <c r="J53" s="99">
        <v>12.665005800681744</v>
      </c>
      <c r="K53" s="99">
        <v>5152.1243597173334</v>
      </c>
      <c r="L53" s="99">
        <v>29</v>
      </c>
      <c r="M53" s="99">
        <v>11797.2</v>
      </c>
      <c r="N53" s="99">
        <v>30</v>
      </c>
      <c r="O53" s="99">
        <v>12204</v>
      </c>
      <c r="P53" s="99">
        <v>22</v>
      </c>
      <c r="Q53" s="99">
        <v>8949.6</v>
      </c>
      <c r="R53" s="99">
        <v>16.295640869732999</v>
      </c>
      <c r="S53" s="99">
        <v>6629.0667058073841</v>
      </c>
      <c r="T53" s="99">
        <v>29</v>
      </c>
      <c r="U53" s="99">
        <v>11797.2</v>
      </c>
      <c r="V53" s="99">
        <v>21</v>
      </c>
      <c r="W53" s="99">
        <v>8542.8000000000011</v>
      </c>
      <c r="X53" s="99">
        <v>23</v>
      </c>
      <c r="Y53" s="99">
        <v>9356.4</v>
      </c>
      <c r="Z53" s="99">
        <v>25</v>
      </c>
      <c r="AA53" s="99">
        <v>10170</v>
      </c>
      <c r="AB53" s="99">
        <v>16</v>
      </c>
      <c r="AC53" s="99">
        <v>6508.8</v>
      </c>
      <c r="AD53" s="99">
        <v>28</v>
      </c>
      <c r="AE53" s="99">
        <v>11390.4</v>
      </c>
      <c r="AF53" s="99">
        <v>23.47874794736493</v>
      </c>
      <c r="AG53" s="99">
        <v>9551.1546649880529</v>
      </c>
      <c r="AH53" s="99">
        <v>0</v>
      </c>
      <c r="AI53" s="99">
        <v>0</v>
      </c>
      <c r="AJ53" s="99">
        <v>32</v>
      </c>
      <c r="AK53" s="99">
        <v>13017.6</v>
      </c>
      <c r="AL53" s="99">
        <v>30</v>
      </c>
      <c r="AM53" s="99">
        <v>12204</v>
      </c>
      <c r="AN53" s="99">
        <v>23</v>
      </c>
      <c r="AO53" s="99">
        <v>9356.4</v>
      </c>
      <c r="AP53" s="99">
        <v>19</v>
      </c>
      <c r="AQ53" s="99">
        <v>7729.2</v>
      </c>
      <c r="AR53" s="99">
        <v>26</v>
      </c>
      <c r="AS53" s="99">
        <v>10576.800000000001</v>
      </c>
      <c r="AT53" s="99">
        <v>10.435417378729415</v>
      </c>
      <c r="AU53" s="99">
        <v>4245.1277896671263</v>
      </c>
      <c r="AV53" s="99">
        <v>21</v>
      </c>
      <c r="AW53" s="99">
        <v>8542.8000000000011</v>
      </c>
      <c r="AX53" s="99">
        <v>19</v>
      </c>
      <c r="AY53" s="99">
        <v>7729.2</v>
      </c>
      <c r="AZ53" s="99">
        <v>22</v>
      </c>
      <c r="BA53" s="99">
        <v>8949.6</v>
      </c>
      <c r="BB53" s="99">
        <v>22</v>
      </c>
      <c r="BC53" s="99">
        <v>8949.6</v>
      </c>
      <c r="BD53" s="99">
        <v>29</v>
      </c>
      <c r="BE53" s="99">
        <v>11797.2</v>
      </c>
      <c r="BF53" s="99">
        <v>31</v>
      </c>
      <c r="BG53" s="99">
        <v>12610.800000000001</v>
      </c>
      <c r="BH53" s="99">
        <v>28.826034353094222</v>
      </c>
      <c r="BI53" s="99">
        <v>11726.430774838729</v>
      </c>
      <c r="BJ53" s="99">
        <v>23.027891117138143</v>
      </c>
      <c r="BK53" s="99">
        <v>9367.7461064517975</v>
      </c>
      <c r="BL53" s="99">
        <v>11.188004908944906</v>
      </c>
      <c r="BM53" s="99">
        <v>4551.2803969587876</v>
      </c>
      <c r="BN53" s="99">
        <v>10.216003189171726</v>
      </c>
      <c r="BO53" s="99">
        <v>4155.8700973550585</v>
      </c>
      <c r="BP53" s="99">
        <v>28</v>
      </c>
      <c r="BQ53" s="99">
        <v>11390.4</v>
      </c>
      <c r="BR53" s="99">
        <v>19.574528786359071</v>
      </c>
      <c r="BS53" s="99">
        <v>7962.9183102908701</v>
      </c>
      <c r="BT53" s="99">
        <v>25</v>
      </c>
      <c r="BU53" s="99">
        <v>10170</v>
      </c>
      <c r="BV53" s="99">
        <v>15.386151999999997</v>
      </c>
      <c r="BW53" s="99">
        <v>6259.086633599999</v>
      </c>
      <c r="BX53" s="99">
        <v>8.6429413756777915</v>
      </c>
      <c r="BY53" s="99">
        <v>3515.9485516257255</v>
      </c>
      <c r="BZ53" s="99">
        <v>0</v>
      </c>
      <c r="CA53" s="99">
        <v>0</v>
      </c>
      <c r="CB53" s="99">
        <v>18</v>
      </c>
      <c r="CC53" s="99">
        <v>7322.4000000000005</v>
      </c>
      <c r="CD53" s="99">
        <v>23</v>
      </c>
      <c r="CE53" s="99">
        <v>9356.4</v>
      </c>
      <c r="CF53" s="99">
        <v>31</v>
      </c>
      <c r="CG53" s="99">
        <v>12610.800000000001</v>
      </c>
      <c r="CH53" s="99">
        <v>11.093551440261036</v>
      </c>
      <c r="CI53" s="99">
        <v>4512.8567258981893</v>
      </c>
      <c r="CJ53" s="99">
        <v>0</v>
      </c>
      <c r="CK53" s="99">
        <v>0</v>
      </c>
      <c r="CL53" s="99">
        <v>0</v>
      </c>
      <c r="CM53" s="99">
        <v>0</v>
      </c>
      <c r="CN53" s="99">
        <v>24</v>
      </c>
      <c r="CO53" s="99">
        <v>9763.2000000000007</v>
      </c>
      <c r="CP53" s="99">
        <v>26</v>
      </c>
      <c r="CQ53" s="99">
        <v>10576.800000000001</v>
      </c>
      <c r="CR53" s="99">
        <v>10.247821742651642</v>
      </c>
      <c r="CS53" s="99">
        <v>4168.8138849106881</v>
      </c>
      <c r="CT53" s="99">
        <v>9.9241562512319916</v>
      </c>
      <c r="CU53" s="99">
        <v>4037.1467630011743</v>
      </c>
    </row>
    <row r="54" spans="2:99">
      <c r="C54" s="98" t="s">
        <v>219</v>
      </c>
      <c r="D54" s="99">
        <v>0</v>
      </c>
      <c r="E54" s="99">
        <v>0</v>
      </c>
      <c r="F54" s="99">
        <v>0</v>
      </c>
      <c r="G54" s="99">
        <v>0</v>
      </c>
      <c r="H54" s="99">
        <v>11.832869080779925</v>
      </c>
      <c r="I54" s="99">
        <v>3961.644568245119</v>
      </c>
      <c r="J54" s="99">
        <v>10.622262929604043</v>
      </c>
      <c r="K54" s="99">
        <v>3556.3336288314335</v>
      </c>
      <c r="L54" s="99">
        <v>29</v>
      </c>
      <c r="M54" s="99">
        <v>9709.2000000000007</v>
      </c>
      <c r="N54" s="99">
        <v>35</v>
      </c>
      <c r="O54" s="99">
        <v>11718</v>
      </c>
      <c r="P54" s="99">
        <v>26</v>
      </c>
      <c r="Q54" s="99">
        <v>8704.8000000000011</v>
      </c>
      <c r="R54" s="99">
        <v>17.419478171093896</v>
      </c>
      <c r="S54" s="99">
        <v>5832.041291682237</v>
      </c>
      <c r="T54" s="99">
        <v>31</v>
      </c>
      <c r="U54" s="99">
        <v>10378.800000000001</v>
      </c>
      <c r="V54" s="99">
        <v>22</v>
      </c>
      <c r="W54" s="99">
        <v>7365.6</v>
      </c>
      <c r="X54" s="99">
        <v>22</v>
      </c>
      <c r="Y54" s="99">
        <v>7365.6</v>
      </c>
      <c r="Z54" s="99">
        <v>25</v>
      </c>
      <c r="AA54" s="99">
        <v>8370</v>
      </c>
      <c r="AB54" s="99">
        <v>19</v>
      </c>
      <c r="AC54" s="99">
        <v>6361.2</v>
      </c>
      <c r="AD54" s="99">
        <v>27</v>
      </c>
      <c r="AE54" s="99">
        <v>9039.6</v>
      </c>
      <c r="AF54" s="99">
        <v>29.113647454732515</v>
      </c>
      <c r="AG54" s="99">
        <v>9747.2491678444458</v>
      </c>
      <c r="AH54" s="99">
        <v>0</v>
      </c>
      <c r="AI54" s="99">
        <v>0</v>
      </c>
      <c r="AJ54" s="99">
        <v>32</v>
      </c>
      <c r="AK54" s="99">
        <v>10713.6</v>
      </c>
      <c r="AL54" s="99">
        <v>30</v>
      </c>
      <c r="AM54" s="99">
        <v>10044</v>
      </c>
      <c r="AN54" s="99">
        <v>22</v>
      </c>
      <c r="AO54" s="99">
        <v>7365.6</v>
      </c>
      <c r="AP54" s="99">
        <v>19</v>
      </c>
      <c r="AQ54" s="99">
        <v>6361.2</v>
      </c>
      <c r="AR54" s="99">
        <v>26</v>
      </c>
      <c r="AS54" s="99">
        <v>8704.8000000000011</v>
      </c>
      <c r="AT54" s="99">
        <v>9.9384927416470639</v>
      </c>
      <c r="AU54" s="99">
        <v>3327.407369903437</v>
      </c>
      <c r="AV54" s="99">
        <v>19</v>
      </c>
      <c r="AW54" s="99">
        <v>6361.2</v>
      </c>
      <c r="AX54" s="99">
        <v>16</v>
      </c>
      <c r="AY54" s="99">
        <v>5356.8</v>
      </c>
      <c r="AZ54" s="99">
        <v>22</v>
      </c>
      <c r="BA54" s="99">
        <v>7365.6</v>
      </c>
      <c r="BB54" s="99">
        <v>23</v>
      </c>
      <c r="BC54" s="99">
        <v>7700.4000000000005</v>
      </c>
      <c r="BD54" s="99">
        <v>29</v>
      </c>
      <c r="BE54" s="99">
        <v>9709.2000000000007</v>
      </c>
      <c r="BF54" s="99">
        <v>32</v>
      </c>
      <c r="BG54" s="99">
        <v>10713.6</v>
      </c>
      <c r="BH54" s="99">
        <v>28.826034353094222</v>
      </c>
      <c r="BI54" s="99">
        <v>9650.9563014159467</v>
      </c>
      <c r="BJ54" s="99">
        <v>24.799267356917998</v>
      </c>
      <c r="BK54" s="99">
        <v>8302.7947110961468</v>
      </c>
      <c r="BL54" s="99">
        <v>11.809560737219622</v>
      </c>
      <c r="BM54" s="99">
        <v>3953.8409348211294</v>
      </c>
      <c r="BN54" s="99">
        <v>11.237603508088897</v>
      </c>
      <c r="BO54" s="99">
        <v>3762.349654508163</v>
      </c>
      <c r="BP54" s="99">
        <v>32</v>
      </c>
      <c r="BQ54" s="99">
        <v>10713.6</v>
      </c>
      <c r="BR54" s="99">
        <v>19.574528786359071</v>
      </c>
      <c r="BS54" s="99">
        <v>6553.5522376730169</v>
      </c>
      <c r="BT54" s="99">
        <v>22</v>
      </c>
      <c r="BU54" s="99">
        <v>7365.6</v>
      </c>
      <c r="BV54" s="99">
        <v>15.386151999999997</v>
      </c>
      <c r="BW54" s="99">
        <v>5151.283689599999</v>
      </c>
      <c r="BX54" s="99">
        <v>9.0978330270292549</v>
      </c>
      <c r="BY54" s="99">
        <v>3045.9544974493947</v>
      </c>
      <c r="BZ54" s="99">
        <v>0</v>
      </c>
      <c r="CA54" s="99">
        <v>0</v>
      </c>
      <c r="CB54" s="99">
        <v>18</v>
      </c>
      <c r="CC54" s="99">
        <v>6026.4000000000005</v>
      </c>
      <c r="CD54" s="99">
        <v>23</v>
      </c>
      <c r="CE54" s="99">
        <v>7700.4000000000005</v>
      </c>
      <c r="CF54" s="99">
        <v>28</v>
      </c>
      <c r="CG54" s="99">
        <v>9374.4</v>
      </c>
      <c r="CH54" s="99">
        <v>11.093551440261036</v>
      </c>
      <c r="CI54" s="99">
        <v>3714.1210221993952</v>
      </c>
      <c r="CJ54" s="99">
        <v>0</v>
      </c>
      <c r="CK54" s="99">
        <v>0</v>
      </c>
      <c r="CL54" s="99">
        <v>0</v>
      </c>
      <c r="CM54" s="99">
        <v>0</v>
      </c>
      <c r="CN54" s="99">
        <v>27</v>
      </c>
      <c r="CO54" s="99">
        <v>9039.6</v>
      </c>
      <c r="CP54" s="99">
        <v>27</v>
      </c>
      <c r="CQ54" s="99">
        <v>9039.6</v>
      </c>
      <c r="CR54" s="99">
        <v>12.169288319398825</v>
      </c>
      <c r="CS54" s="99">
        <v>4074.2777293347267</v>
      </c>
      <c r="CT54" s="99">
        <v>10.585766667980792</v>
      </c>
      <c r="CU54" s="99">
        <v>3544.1146804399691</v>
      </c>
    </row>
    <row r="55" spans="2:99">
      <c r="C55" s="98" t="s">
        <v>220</v>
      </c>
      <c r="D55" s="99">
        <v>0</v>
      </c>
      <c r="E55" s="99">
        <v>0</v>
      </c>
      <c r="F55" s="99">
        <v>0</v>
      </c>
      <c r="G55" s="99">
        <v>0</v>
      </c>
      <c r="H55" s="99">
        <v>11.136817958381105</v>
      </c>
      <c r="I55" s="99">
        <v>7390.3923971817012</v>
      </c>
      <c r="J55" s="99">
        <v>11.847908652250663</v>
      </c>
      <c r="K55" s="99">
        <v>7862.2721816335397</v>
      </c>
      <c r="L55" s="99">
        <v>25</v>
      </c>
      <c r="M55" s="99">
        <v>16590</v>
      </c>
      <c r="N55" s="99">
        <v>29</v>
      </c>
      <c r="O55" s="99">
        <v>19244.400000000001</v>
      </c>
      <c r="P55" s="99">
        <v>22</v>
      </c>
      <c r="Q55" s="99">
        <v>14599.2</v>
      </c>
      <c r="R55" s="99">
        <v>15.171803568372104</v>
      </c>
      <c r="S55" s="99">
        <v>10068.008847971729</v>
      </c>
      <c r="T55" s="99">
        <v>27</v>
      </c>
      <c r="U55" s="99">
        <v>17917.2</v>
      </c>
      <c r="V55" s="99">
        <v>23</v>
      </c>
      <c r="W55" s="99">
        <v>15262.800000000001</v>
      </c>
      <c r="X55" s="99">
        <v>23</v>
      </c>
      <c r="Y55" s="99">
        <v>15262.800000000001</v>
      </c>
      <c r="Z55" s="99">
        <v>24</v>
      </c>
      <c r="AA55" s="99">
        <v>15926.400000000001</v>
      </c>
      <c r="AB55" s="99">
        <v>16</v>
      </c>
      <c r="AC55" s="99">
        <v>10617.6</v>
      </c>
      <c r="AD55" s="99">
        <v>28</v>
      </c>
      <c r="AE55" s="99">
        <v>18580.8</v>
      </c>
      <c r="AF55" s="99">
        <v>24.41789786525953</v>
      </c>
      <c r="AG55" s="99">
        <v>16203.717023386225</v>
      </c>
      <c r="AH55" s="99">
        <v>0</v>
      </c>
      <c r="AI55" s="99">
        <v>0</v>
      </c>
      <c r="AJ55" s="99">
        <v>33</v>
      </c>
      <c r="AK55" s="99">
        <v>21898.799999999999</v>
      </c>
      <c r="AL55" s="99">
        <v>32</v>
      </c>
      <c r="AM55" s="99">
        <v>21235.200000000001</v>
      </c>
      <c r="AN55" s="99">
        <v>21</v>
      </c>
      <c r="AO55" s="99">
        <v>13935.6</v>
      </c>
      <c r="AP55" s="99">
        <v>17</v>
      </c>
      <c r="AQ55" s="99">
        <v>11281.2</v>
      </c>
      <c r="AR55" s="99">
        <v>25</v>
      </c>
      <c r="AS55" s="99">
        <v>16590</v>
      </c>
      <c r="AT55" s="99">
        <v>9.4415681045647109</v>
      </c>
      <c r="AU55" s="99">
        <v>6265.4245941891422</v>
      </c>
      <c r="AV55" s="99">
        <v>19</v>
      </c>
      <c r="AW55" s="99">
        <v>12608.4</v>
      </c>
      <c r="AX55" s="99">
        <v>16</v>
      </c>
      <c r="AY55" s="99">
        <v>10617.6</v>
      </c>
      <c r="AZ55" s="99">
        <v>20</v>
      </c>
      <c r="BA55" s="99">
        <v>13272</v>
      </c>
      <c r="BB55" s="99">
        <v>21</v>
      </c>
      <c r="BC55" s="99">
        <v>13935.6</v>
      </c>
      <c r="BD55" s="99">
        <v>30</v>
      </c>
      <c r="BE55" s="99">
        <v>19908</v>
      </c>
      <c r="BF55" s="99">
        <v>32</v>
      </c>
      <c r="BG55" s="99">
        <v>21235.200000000001</v>
      </c>
      <c r="BH55" s="99">
        <v>28.826034353094222</v>
      </c>
      <c r="BI55" s="99">
        <v>19128.956396713325</v>
      </c>
      <c r="BJ55" s="99">
        <v>25.684955476807925</v>
      </c>
      <c r="BK55" s="99">
        <v>17044.536454409739</v>
      </c>
      <c r="BL55" s="99">
        <v>11.809560737219622</v>
      </c>
      <c r="BM55" s="99">
        <v>7836.8245052189413</v>
      </c>
      <c r="BN55" s="99">
        <v>10.556536628810782</v>
      </c>
      <c r="BO55" s="99">
        <v>7005.3177068788355</v>
      </c>
      <c r="BP55" s="99">
        <v>31</v>
      </c>
      <c r="BQ55" s="99">
        <v>20571.600000000002</v>
      </c>
      <c r="BR55" s="99">
        <v>18.124563691073217</v>
      </c>
      <c r="BS55" s="99">
        <v>12027.460465396187</v>
      </c>
      <c r="BT55" s="99">
        <v>24</v>
      </c>
      <c r="BU55" s="99">
        <v>15926.400000000001</v>
      </c>
      <c r="BV55" s="99">
        <v>13.188130285714283</v>
      </c>
      <c r="BW55" s="99">
        <v>8751.6432575999988</v>
      </c>
      <c r="BX55" s="99">
        <v>8.6429413756777915</v>
      </c>
      <c r="BY55" s="99">
        <v>5735.4558968997826</v>
      </c>
      <c r="BZ55" s="99">
        <v>0</v>
      </c>
      <c r="CA55" s="99">
        <v>0</v>
      </c>
      <c r="CB55" s="99">
        <v>17</v>
      </c>
      <c r="CC55" s="99">
        <v>11281.2</v>
      </c>
      <c r="CD55" s="99">
        <v>20</v>
      </c>
      <c r="CE55" s="99">
        <v>13272</v>
      </c>
      <c r="CF55" s="99">
        <v>26</v>
      </c>
      <c r="CG55" s="99">
        <v>17253.600000000002</v>
      </c>
      <c r="CH55" s="99">
        <v>11.555782750271913</v>
      </c>
      <c r="CI55" s="99">
        <v>7668.4174330804417</v>
      </c>
      <c r="CJ55" s="99">
        <v>0</v>
      </c>
      <c r="CK55" s="99">
        <v>0</v>
      </c>
      <c r="CL55" s="99">
        <v>0</v>
      </c>
      <c r="CM55" s="99">
        <v>0</v>
      </c>
      <c r="CN55" s="99">
        <v>28</v>
      </c>
      <c r="CO55" s="99">
        <v>18580.8</v>
      </c>
      <c r="CP55" s="99">
        <v>29</v>
      </c>
      <c r="CQ55" s="99">
        <v>19244.400000000001</v>
      </c>
      <c r="CR55" s="99">
        <v>10.888310601567371</v>
      </c>
      <c r="CS55" s="99">
        <v>7225.4829152001075</v>
      </c>
      <c r="CT55" s="99">
        <v>10.254961459606392</v>
      </c>
      <c r="CU55" s="99">
        <v>6805.1924245948021</v>
      </c>
    </row>
    <row r="56" spans="2:99">
      <c r="C56" s="98" t="s">
        <v>221</v>
      </c>
      <c r="D56" s="99">
        <v>0</v>
      </c>
      <c r="E56" s="99">
        <v>0</v>
      </c>
      <c r="F56" s="99">
        <v>0</v>
      </c>
      <c r="G56" s="99">
        <v>0</v>
      </c>
      <c r="H56" s="99">
        <v>12.590250738148224</v>
      </c>
      <c r="I56" s="99">
        <v>14488.860549460976</v>
      </c>
      <c r="J56" s="99">
        <v>26</v>
      </c>
      <c r="K56" s="99">
        <v>29920.799999999999</v>
      </c>
      <c r="L56" s="99">
        <v>26</v>
      </c>
      <c r="M56" s="99">
        <v>29920.799999999999</v>
      </c>
      <c r="N56" s="99">
        <v>33</v>
      </c>
      <c r="O56" s="99">
        <v>37976.400000000001</v>
      </c>
      <c r="P56" s="99">
        <v>21</v>
      </c>
      <c r="Q56" s="99">
        <v>24166.799999999999</v>
      </c>
      <c r="R56" s="99">
        <v>28</v>
      </c>
      <c r="S56" s="99">
        <v>32222.399999999998</v>
      </c>
      <c r="T56" s="99">
        <v>27</v>
      </c>
      <c r="U56" s="99">
        <v>31071.599999999999</v>
      </c>
      <c r="V56" s="99">
        <v>18</v>
      </c>
      <c r="W56" s="99">
        <v>20714.399999999998</v>
      </c>
      <c r="X56" s="99">
        <v>21</v>
      </c>
      <c r="Y56" s="99">
        <v>24166.799999999999</v>
      </c>
      <c r="Z56" s="99">
        <v>22</v>
      </c>
      <c r="AA56" s="99">
        <v>25317.599999999999</v>
      </c>
      <c r="AB56" s="99">
        <v>15</v>
      </c>
      <c r="AC56" s="99">
        <v>17262</v>
      </c>
      <c r="AD56" s="99">
        <v>25</v>
      </c>
      <c r="AE56" s="99">
        <v>28770</v>
      </c>
      <c r="AF56" s="99">
        <v>28</v>
      </c>
      <c r="AG56" s="99">
        <v>32222.399999999998</v>
      </c>
      <c r="AH56" s="99">
        <v>24</v>
      </c>
      <c r="AI56" s="99">
        <v>27619.199999999997</v>
      </c>
      <c r="AJ56" s="99">
        <v>29</v>
      </c>
      <c r="AK56" s="99">
        <v>33373.199999999997</v>
      </c>
      <c r="AL56" s="99">
        <v>29</v>
      </c>
      <c r="AM56" s="99">
        <v>33373.199999999997</v>
      </c>
      <c r="AN56" s="99">
        <v>22</v>
      </c>
      <c r="AO56" s="99">
        <v>25317.599999999999</v>
      </c>
      <c r="AP56" s="99">
        <v>15</v>
      </c>
      <c r="AQ56" s="99">
        <v>17262</v>
      </c>
      <c r="AR56" s="99">
        <v>24</v>
      </c>
      <c r="AS56" s="99">
        <v>27619.199999999997</v>
      </c>
      <c r="AT56" s="99">
        <v>19</v>
      </c>
      <c r="AU56" s="99">
        <v>21865.200000000001</v>
      </c>
      <c r="AV56" s="99">
        <v>18</v>
      </c>
      <c r="AW56" s="99">
        <v>20714.399999999998</v>
      </c>
      <c r="AX56" s="99">
        <v>16</v>
      </c>
      <c r="AY56" s="99">
        <v>18412.8</v>
      </c>
      <c r="AZ56" s="99">
        <v>21</v>
      </c>
      <c r="BA56" s="99">
        <v>24166.799999999999</v>
      </c>
      <c r="BB56" s="99">
        <v>20</v>
      </c>
      <c r="BC56" s="99">
        <v>23016</v>
      </c>
      <c r="BD56" s="99">
        <v>31</v>
      </c>
      <c r="BE56" s="99">
        <v>35674.799999999996</v>
      </c>
      <c r="BF56" s="99">
        <v>29</v>
      </c>
      <c r="BG56" s="99">
        <v>33373.199999999997</v>
      </c>
      <c r="BH56" s="99">
        <v>32</v>
      </c>
      <c r="BI56" s="99">
        <v>36825.599999999999</v>
      </c>
      <c r="BJ56" s="99">
        <v>24</v>
      </c>
      <c r="BK56" s="99">
        <v>27619.199999999997</v>
      </c>
      <c r="BL56" s="99">
        <v>19</v>
      </c>
      <c r="BM56" s="99">
        <v>21865.200000000001</v>
      </c>
      <c r="BN56" s="99">
        <v>32</v>
      </c>
      <c r="BO56" s="99">
        <v>36825.599999999999</v>
      </c>
      <c r="BP56" s="99">
        <v>27</v>
      </c>
      <c r="BQ56" s="99">
        <v>31071.599999999999</v>
      </c>
      <c r="BR56" s="99">
        <v>25</v>
      </c>
      <c r="BS56" s="99">
        <v>28770</v>
      </c>
      <c r="BT56" s="99">
        <v>20</v>
      </c>
      <c r="BU56" s="99">
        <v>23016</v>
      </c>
      <c r="BV56" s="99">
        <v>19</v>
      </c>
      <c r="BW56" s="99">
        <v>21865.200000000001</v>
      </c>
      <c r="BX56" s="99">
        <v>17</v>
      </c>
      <c r="BY56" s="99">
        <v>19563.599999999999</v>
      </c>
      <c r="BZ56" s="99">
        <v>23</v>
      </c>
      <c r="CA56" s="99">
        <v>26468.399999999998</v>
      </c>
      <c r="CB56" s="99">
        <v>16</v>
      </c>
      <c r="CC56" s="99">
        <v>18412.8</v>
      </c>
      <c r="CD56" s="99">
        <v>20</v>
      </c>
      <c r="CE56" s="99">
        <v>23016</v>
      </c>
      <c r="CF56" s="99">
        <v>30</v>
      </c>
      <c r="CG56" s="99">
        <v>34524</v>
      </c>
      <c r="CH56" s="99">
        <v>24</v>
      </c>
      <c r="CI56" s="99">
        <v>27619.199999999997</v>
      </c>
      <c r="CJ56" s="99">
        <v>20</v>
      </c>
      <c r="CK56" s="99">
        <v>23016</v>
      </c>
      <c r="CL56" s="99">
        <v>26</v>
      </c>
      <c r="CM56" s="99">
        <v>29920.799999999999</v>
      </c>
      <c r="CN56" s="99">
        <v>23</v>
      </c>
      <c r="CO56" s="99">
        <v>26468.399999999998</v>
      </c>
      <c r="CP56" s="99">
        <v>29</v>
      </c>
      <c r="CQ56" s="99">
        <v>33373.199999999997</v>
      </c>
      <c r="CR56" s="99">
        <v>16</v>
      </c>
      <c r="CS56" s="99">
        <v>18412.8</v>
      </c>
      <c r="CT56" s="99">
        <v>30</v>
      </c>
      <c r="CU56" s="99">
        <v>34524</v>
      </c>
    </row>
    <row r="57" spans="2:99">
      <c r="C57" s="98" t="s">
        <v>222</v>
      </c>
      <c r="D57" s="99">
        <v>0</v>
      </c>
      <c r="E57" s="99">
        <v>0</v>
      </c>
      <c r="F57" s="99">
        <v>0</v>
      </c>
      <c r="G57" s="99">
        <v>0</v>
      </c>
      <c r="H57" s="99">
        <v>10.440766835982288</v>
      </c>
      <c r="I57" s="99">
        <v>14734.010158938205</v>
      </c>
      <c r="J57" s="99">
        <v>9.8051657811729633</v>
      </c>
      <c r="K57" s="99">
        <v>13837.049950391287</v>
      </c>
      <c r="L57" s="99">
        <v>26</v>
      </c>
      <c r="M57" s="99">
        <v>36691.200000000004</v>
      </c>
      <c r="N57" s="99">
        <v>30</v>
      </c>
      <c r="O57" s="99">
        <v>42336</v>
      </c>
      <c r="P57" s="99">
        <v>20</v>
      </c>
      <c r="Q57" s="99">
        <v>28224</v>
      </c>
      <c r="R57" s="99">
        <v>14.609884917691655</v>
      </c>
      <c r="S57" s="99">
        <v>20617.469595846465</v>
      </c>
      <c r="T57" s="99">
        <v>28</v>
      </c>
      <c r="U57" s="99">
        <v>39513.599999999999</v>
      </c>
      <c r="V57" s="99">
        <v>20</v>
      </c>
      <c r="W57" s="99">
        <v>28224</v>
      </c>
      <c r="X57" s="99">
        <v>22</v>
      </c>
      <c r="Y57" s="99">
        <v>31046.400000000001</v>
      </c>
      <c r="Z57" s="99">
        <v>22</v>
      </c>
      <c r="AA57" s="99">
        <v>31046.400000000001</v>
      </c>
      <c r="AB57" s="99">
        <v>15</v>
      </c>
      <c r="AC57" s="99">
        <v>21168</v>
      </c>
      <c r="AD57" s="99">
        <v>23</v>
      </c>
      <c r="AE57" s="99">
        <v>32457.600000000002</v>
      </c>
      <c r="AF57" s="99">
        <v>23.47874794736493</v>
      </c>
      <c r="AG57" s="99">
        <v>33133.209103321387</v>
      </c>
      <c r="AH57" s="99">
        <v>0</v>
      </c>
      <c r="AI57" s="99">
        <v>0</v>
      </c>
      <c r="AJ57" s="99">
        <v>30</v>
      </c>
      <c r="AK57" s="99">
        <v>42336</v>
      </c>
      <c r="AL57" s="99">
        <v>27</v>
      </c>
      <c r="AM57" s="99">
        <v>38102.400000000001</v>
      </c>
      <c r="AN57" s="99">
        <v>22</v>
      </c>
      <c r="AO57" s="99">
        <v>31046.400000000001</v>
      </c>
      <c r="AP57" s="99">
        <v>15</v>
      </c>
      <c r="AQ57" s="99">
        <v>21168</v>
      </c>
      <c r="AR57" s="99">
        <v>23</v>
      </c>
      <c r="AS57" s="99">
        <v>32457.600000000002</v>
      </c>
      <c r="AT57" s="99">
        <v>9.9384927416470639</v>
      </c>
      <c r="AU57" s="99">
        <v>14025.200957012337</v>
      </c>
      <c r="AV57" s="99">
        <v>18</v>
      </c>
      <c r="AW57" s="99">
        <v>25401.600000000002</v>
      </c>
      <c r="AX57" s="99">
        <v>16</v>
      </c>
      <c r="AY57" s="99">
        <v>22579.200000000001</v>
      </c>
      <c r="AZ57" s="99">
        <v>20</v>
      </c>
      <c r="BA57" s="99">
        <v>28224</v>
      </c>
      <c r="BB57" s="99">
        <v>18</v>
      </c>
      <c r="BC57" s="99">
        <v>25401.600000000002</v>
      </c>
      <c r="BD57" s="99">
        <v>31</v>
      </c>
      <c r="BE57" s="99">
        <v>43747.200000000004</v>
      </c>
      <c r="BF57" s="99">
        <v>26</v>
      </c>
      <c r="BG57" s="99">
        <v>36691.200000000004</v>
      </c>
      <c r="BH57" s="99">
        <v>25.106546049469159</v>
      </c>
      <c r="BI57" s="99">
        <v>35430.357785010878</v>
      </c>
      <c r="BJ57" s="99">
        <v>23.91357923702807</v>
      </c>
      <c r="BK57" s="99">
        <v>33746.843019294014</v>
      </c>
      <c r="BL57" s="99">
        <v>11.188004908944906</v>
      </c>
      <c r="BM57" s="99">
        <v>15788.512527503051</v>
      </c>
      <c r="BN57" s="99">
        <v>9.1944028702545531</v>
      </c>
      <c r="BO57" s="99">
        <v>12975.141330503226</v>
      </c>
      <c r="BP57" s="99">
        <v>29</v>
      </c>
      <c r="BQ57" s="99">
        <v>40924.800000000003</v>
      </c>
      <c r="BR57" s="99">
        <v>17.399581143430286</v>
      </c>
      <c r="BS57" s="99">
        <v>24554.288909608818</v>
      </c>
      <c r="BT57" s="99">
        <v>19</v>
      </c>
      <c r="BU57" s="99">
        <v>26812.799999999999</v>
      </c>
      <c r="BV57" s="99">
        <v>13.188130285714283</v>
      </c>
      <c r="BW57" s="99">
        <v>18611.089459199997</v>
      </c>
      <c r="BX57" s="99">
        <v>7.2782664216234041</v>
      </c>
      <c r="BY57" s="99">
        <v>10271.089574194948</v>
      </c>
      <c r="BZ57" s="99">
        <v>0</v>
      </c>
      <c r="CA57" s="99">
        <v>0</v>
      </c>
      <c r="CB57" s="99">
        <v>16</v>
      </c>
      <c r="CC57" s="99">
        <v>22579.200000000001</v>
      </c>
      <c r="CD57" s="99">
        <v>21</v>
      </c>
      <c r="CE57" s="99">
        <v>29635.200000000001</v>
      </c>
      <c r="CF57" s="99">
        <v>27</v>
      </c>
      <c r="CG57" s="99">
        <v>38102.400000000001</v>
      </c>
      <c r="CH57" s="99">
        <v>10.63132013025016</v>
      </c>
      <c r="CI57" s="99">
        <v>15002.918967809026</v>
      </c>
      <c r="CJ57" s="99">
        <v>0</v>
      </c>
      <c r="CK57" s="99">
        <v>0</v>
      </c>
      <c r="CL57" s="99">
        <v>0</v>
      </c>
      <c r="CM57" s="99">
        <v>0</v>
      </c>
      <c r="CN57" s="99">
        <v>24</v>
      </c>
      <c r="CO57" s="99">
        <v>33868.800000000003</v>
      </c>
      <c r="CP57" s="99">
        <v>25</v>
      </c>
      <c r="CQ57" s="99">
        <v>35280</v>
      </c>
      <c r="CR57" s="99">
        <v>8.9668440248201868</v>
      </c>
      <c r="CS57" s="99">
        <v>12654.010287826248</v>
      </c>
      <c r="CT57" s="99">
        <v>9.5933510428575932</v>
      </c>
      <c r="CU57" s="99">
        <v>13538.136991680636</v>
      </c>
    </row>
    <row r="58" spans="2:99">
      <c r="C58" s="98" t="s">
        <v>223</v>
      </c>
      <c r="D58" s="99">
        <v>0</v>
      </c>
      <c r="E58" s="99">
        <v>0</v>
      </c>
      <c r="F58" s="99">
        <v>0</v>
      </c>
      <c r="G58" s="99">
        <v>0</v>
      </c>
      <c r="H58" s="99">
        <v>15.288161610608558</v>
      </c>
      <c r="I58" s="99">
        <v>17997.223848008394</v>
      </c>
      <c r="J58" s="99">
        <v>26</v>
      </c>
      <c r="K58" s="99">
        <v>30607.200000000001</v>
      </c>
      <c r="L58" s="99">
        <v>26</v>
      </c>
      <c r="M58" s="99">
        <v>30607.200000000001</v>
      </c>
      <c r="N58" s="99">
        <v>32</v>
      </c>
      <c r="O58" s="99">
        <v>37670.400000000001</v>
      </c>
      <c r="P58" s="99">
        <v>21</v>
      </c>
      <c r="Q58" s="99">
        <v>24721.200000000001</v>
      </c>
      <c r="R58" s="99">
        <v>25</v>
      </c>
      <c r="S58" s="99">
        <v>29430</v>
      </c>
      <c r="T58" s="99">
        <v>26</v>
      </c>
      <c r="U58" s="99">
        <v>30607.200000000001</v>
      </c>
      <c r="V58" s="99">
        <v>21</v>
      </c>
      <c r="W58" s="99">
        <v>24721.200000000001</v>
      </c>
      <c r="X58" s="99">
        <v>21</v>
      </c>
      <c r="Y58" s="99">
        <v>24721.200000000001</v>
      </c>
      <c r="Z58" s="99">
        <v>20</v>
      </c>
      <c r="AA58" s="99">
        <v>23544</v>
      </c>
      <c r="AB58" s="99">
        <v>17</v>
      </c>
      <c r="AC58" s="99">
        <v>20012.400000000001</v>
      </c>
      <c r="AD58" s="99">
        <v>24</v>
      </c>
      <c r="AE58" s="99">
        <v>28252.800000000003</v>
      </c>
      <c r="AF58" s="99">
        <v>27</v>
      </c>
      <c r="AG58" s="99">
        <v>31784.400000000001</v>
      </c>
      <c r="AH58" s="99">
        <v>24</v>
      </c>
      <c r="AI58" s="99">
        <v>28252.800000000003</v>
      </c>
      <c r="AJ58" s="99">
        <v>30</v>
      </c>
      <c r="AK58" s="99">
        <v>35316</v>
      </c>
      <c r="AL58" s="99">
        <v>30</v>
      </c>
      <c r="AM58" s="99">
        <v>35316</v>
      </c>
      <c r="AN58" s="99">
        <v>22</v>
      </c>
      <c r="AO58" s="99">
        <v>25898.400000000001</v>
      </c>
      <c r="AP58" s="99">
        <v>17</v>
      </c>
      <c r="AQ58" s="99">
        <v>20012.400000000001</v>
      </c>
      <c r="AR58" s="99">
        <v>26</v>
      </c>
      <c r="AS58" s="99">
        <v>30607.200000000001</v>
      </c>
      <c r="AT58" s="99">
        <v>21</v>
      </c>
      <c r="AU58" s="99">
        <v>24721.200000000001</v>
      </c>
      <c r="AV58" s="99">
        <v>18</v>
      </c>
      <c r="AW58" s="99">
        <v>21189.600000000002</v>
      </c>
      <c r="AX58" s="99">
        <v>17</v>
      </c>
      <c r="AY58" s="99">
        <v>20012.400000000001</v>
      </c>
      <c r="AZ58" s="99">
        <v>19</v>
      </c>
      <c r="BA58" s="99">
        <v>22366.799999999999</v>
      </c>
      <c r="BB58" s="99">
        <v>19</v>
      </c>
      <c r="BC58" s="99">
        <v>22366.799999999999</v>
      </c>
      <c r="BD58" s="99">
        <v>31</v>
      </c>
      <c r="BE58" s="99">
        <v>36493.200000000004</v>
      </c>
      <c r="BF58" s="99">
        <v>31</v>
      </c>
      <c r="BG58" s="99">
        <v>36493.200000000004</v>
      </c>
      <c r="BH58" s="99">
        <v>31</v>
      </c>
      <c r="BI58" s="99">
        <v>36493.200000000004</v>
      </c>
      <c r="BJ58" s="99">
        <v>28</v>
      </c>
      <c r="BK58" s="99">
        <v>32961.599999999999</v>
      </c>
      <c r="BL58" s="99">
        <v>19</v>
      </c>
      <c r="BM58" s="99">
        <v>22366.799999999999</v>
      </c>
      <c r="BN58" s="99">
        <v>28</v>
      </c>
      <c r="BO58" s="99">
        <v>32961.599999999999</v>
      </c>
      <c r="BP58" s="99">
        <v>25</v>
      </c>
      <c r="BQ58" s="99">
        <v>29430</v>
      </c>
      <c r="BR58" s="99">
        <v>23</v>
      </c>
      <c r="BS58" s="99">
        <v>27075.600000000002</v>
      </c>
      <c r="BT58" s="99">
        <v>21</v>
      </c>
      <c r="BU58" s="99">
        <v>24721.200000000001</v>
      </c>
      <c r="BV58" s="99">
        <v>17</v>
      </c>
      <c r="BW58" s="99">
        <v>20012.400000000001</v>
      </c>
      <c r="BX58" s="99">
        <v>15</v>
      </c>
      <c r="BY58" s="99">
        <v>17658</v>
      </c>
      <c r="BZ58" s="99">
        <v>24</v>
      </c>
      <c r="CA58" s="99">
        <v>28252.800000000003</v>
      </c>
      <c r="CB58" s="99">
        <v>17</v>
      </c>
      <c r="CC58" s="99">
        <v>20012.400000000001</v>
      </c>
      <c r="CD58" s="99">
        <v>21</v>
      </c>
      <c r="CE58" s="99">
        <v>24721.200000000001</v>
      </c>
      <c r="CF58" s="99">
        <v>27</v>
      </c>
      <c r="CG58" s="99">
        <v>31784.400000000001</v>
      </c>
      <c r="CH58" s="99">
        <v>24</v>
      </c>
      <c r="CI58" s="99">
        <v>28252.800000000003</v>
      </c>
      <c r="CJ58" s="99">
        <v>20</v>
      </c>
      <c r="CK58" s="99">
        <v>23544</v>
      </c>
      <c r="CL58" s="99">
        <v>31</v>
      </c>
      <c r="CM58" s="99">
        <v>36493.200000000004</v>
      </c>
      <c r="CN58" s="99">
        <v>26</v>
      </c>
      <c r="CO58" s="99">
        <v>30607.200000000001</v>
      </c>
      <c r="CP58" s="99">
        <v>26</v>
      </c>
      <c r="CQ58" s="99">
        <v>30607.200000000001</v>
      </c>
      <c r="CR58" s="99">
        <v>17</v>
      </c>
      <c r="CS58" s="99">
        <v>20012.400000000001</v>
      </c>
      <c r="CT58" s="99">
        <v>30</v>
      </c>
      <c r="CU58" s="99">
        <v>35316</v>
      </c>
    </row>
    <row r="59" spans="2:99">
      <c r="C59" s="98" t="s">
        <v>224</v>
      </c>
      <c r="D59" s="99">
        <v>0</v>
      </c>
      <c r="E59" s="99">
        <v>0</v>
      </c>
      <c r="F59" s="99">
        <v>0</v>
      </c>
      <c r="G59" s="99">
        <v>0</v>
      </c>
      <c r="H59" s="99">
        <v>12.528920203178744</v>
      </c>
      <c r="I59" s="99">
        <v>3803.7801736850665</v>
      </c>
      <c r="J59" s="99">
        <v>11.439360078035122</v>
      </c>
      <c r="K59" s="99">
        <v>3472.9897196914626</v>
      </c>
      <c r="L59" s="99">
        <v>30</v>
      </c>
      <c r="M59" s="99">
        <v>9107.9999999999982</v>
      </c>
      <c r="N59" s="99">
        <v>30</v>
      </c>
      <c r="O59" s="99">
        <v>9107.9999999999982</v>
      </c>
      <c r="P59" s="99">
        <v>22</v>
      </c>
      <c r="Q59" s="99">
        <v>6679.1999999999989</v>
      </c>
      <c r="R59" s="99">
        <v>16.857559520413449</v>
      </c>
      <c r="S59" s="99">
        <v>5117.9550703975228</v>
      </c>
      <c r="T59" s="99">
        <v>32</v>
      </c>
      <c r="U59" s="99">
        <v>9715.1999999999989</v>
      </c>
      <c r="V59" s="99">
        <v>23</v>
      </c>
      <c r="W59" s="99">
        <v>6982.7999999999993</v>
      </c>
      <c r="X59" s="99">
        <v>24</v>
      </c>
      <c r="Y59" s="99">
        <v>7286.4</v>
      </c>
      <c r="Z59" s="99">
        <v>24</v>
      </c>
      <c r="AA59" s="99">
        <v>7286.4</v>
      </c>
      <c r="AB59" s="99">
        <v>18</v>
      </c>
      <c r="AC59" s="99">
        <v>5464.7999999999993</v>
      </c>
      <c r="AD59" s="99">
        <v>26</v>
      </c>
      <c r="AE59" s="99">
        <v>7893.5999999999995</v>
      </c>
      <c r="AF59" s="99">
        <v>25.357047783154126</v>
      </c>
      <c r="AG59" s="99">
        <v>7698.3997069655916</v>
      </c>
      <c r="AH59" s="99">
        <v>0</v>
      </c>
      <c r="AI59" s="99">
        <v>0</v>
      </c>
      <c r="AJ59" s="99">
        <v>32</v>
      </c>
      <c r="AK59" s="99">
        <v>9715.1999999999989</v>
      </c>
      <c r="AL59" s="99">
        <v>34</v>
      </c>
      <c r="AM59" s="99">
        <v>10322.4</v>
      </c>
      <c r="AN59" s="99">
        <v>23</v>
      </c>
      <c r="AO59" s="99">
        <v>6982.7999999999993</v>
      </c>
      <c r="AP59" s="99">
        <v>17</v>
      </c>
      <c r="AQ59" s="99">
        <v>5161.2</v>
      </c>
      <c r="AR59" s="99">
        <v>30</v>
      </c>
      <c r="AS59" s="99">
        <v>9107.9999999999982</v>
      </c>
      <c r="AT59" s="99">
        <v>10.93234201581177</v>
      </c>
      <c r="AU59" s="99">
        <v>3319.059036000453</v>
      </c>
      <c r="AV59" s="99">
        <v>20</v>
      </c>
      <c r="AW59" s="99">
        <v>6071.9999999999991</v>
      </c>
      <c r="AX59" s="99">
        <v>20</v>
      </c>
      <c r="AY59" s="99">
        <v>6071.9999999999991</v>
      </c>
      <c r="AZ59" s="99">
        <v>21</v>
      </c>
      <c r="BA59" s="99">
        <v>6375.5999999999995</v>
      </c>
      <c r="BB59" s="99">
        <v>23</v>
      </c>
      <c r="BC59" s="99">
        <v>6982.7999999999993</v>
      </c>
      <c r="BD59" s="99">
        <v>34</v>
      </c>
      <c r="BE59" s="99">
        <v>10322.4</v>
      </c>
      <c r="BF59" s="99">
        <v>30</v>
      </c>
      <c r="BG59" s="99">
        <v>9107.9999999999982</v>
      </c>
      <c r="BH59" s="99">
        <v>28.826034353094222</v>
      </c>
      <c r="BI59" s="99">
        <v>8751.5840295994058</v>
      </c>
      <c r="BJ59" s="99">
        <v>23.027891117138143</v>
      </c>
      <c r="BK59" s="99">
        <v>6991.2677431631391</v>
      </c>
      <c r="BL59" s="99">
        <v>11.809560737219622</v>
      </c>
      <c r="BM59" s="99">
        <v>3585.3826398198767</v>
      </c>
      <c r="BN59" s="99">
        <v>11.578136947727954</v>
      </c>
      <c r="BO59" s="99">
        <v>3515.1223773302063</v>
      </c>
      <c r="BP59" s="99">
        <v>32</v>
      </c>
      <c r="BQ59" s="99">
        <v>9715.1999999999989</v>
      </c>
      <c r="BR59" s="99">
        <v>21.024493881644929</v>
      </c>
      <c r="BS59" s="99">
        <v>6383.0363424673997</v>
      </c>
      <c r="BT59" s="99">
        <v>24</v>
      </c>
      <c r="BU59" s="99">
        <v>7286.4</v>
      </c>
      <c r="BV59" s="99">
        <v>14.653478095238095</v>
      </c>
      <c r="BW59" s="99">
        <v>4448.7959497142847</v>
      </c>
      <c r="BX59" s="99">
        <v>8.1880497243263299</v>
      </c>
      <c r="BY59" s="99">
        <v>2485.8918963054734</v>
      </c>
      <c r="BZ59" s="99">
        <v>0</v>
      </c>
      <c r="CA59" s="99">
        <v>0</v>
      </c>
      <c r="CB59" s="99">
        <v>19</v>
      </c>
      <c r="CC59" s="99">
        <v>5768.4</v>
      </c>
      <c r="CD59" s="99">
        <v>22</v>
      </c>
      <c r="CE59" s="99">
        <v>6679.1999999999989</v>
      </c>
      <c r="CF59" s="99">
        <v>30</v>
      </c>
      <c r="CG59" s="99">
        <v>9107.9999999999982</v>
      </c>
      <c r="CH59" s="99">
        <v>12.480245370293666</v>
      </c>
      <c r="CI59" s="99">
        <v>3789.0024944211564</v>
      </c>
      <c r="CJ59" s="99">
        <v>0</v>
      </c>
      <c r="CK59" s="99">
        <v>0</v>
      </c>
      <c r="CL59" s="99">
        <v>0</v>
      </c>
      <c r="CM59" s="99">
        <v>0</v>
      </c>
      <c r="CN59" s="99">
        <v>27</v>
      </c>
      <c r="CO59" s="99">
        <v>8197.1999999999989</v>
      </c>
      <c r="CP59" s="99">
        <v>29</v>
      </c>
      <c r="CQ59" s="99">
        <v>8804.4</v>
      </c>
      <c r="CR59" s="99">
        <v>10.888310601567371</v>
      </c>
      <c r="CS59" s="99">
        <v>3305.6910986358535</v>
      </c>
      <c r="CT59" s="99">
        <v>10.254961459606392</v>
      </c>
      <c r="CU59" s="99">
        <v>3113.4062991365004</v>
      </c>
    </row>
    <row r="60" spans="2:99">
      <c r="C60" s="98" t="s">
        <v>225</v>
      </c>
      <c r="D60" s="99">
        <v>0</v>
      </c>
      <c r="E60" s="99">
        <v>0</v>
      </c>
      <c r="F60" s="99">
        <v>0</v>
      </c>
      <c r="G60" s="99">
        <v>0</v>
      </c>
      <c r="H60" s="99">
        <v>11.832869080779925</v>
      </c>
      <c r="I60" s="99">
        <v>7710.2974930361997</v>
      </c>
      <c r="J60" s="99">
        <v>11.847908652250663</v>
      </c>
      <c r="K60" s="99">
        <v>7720.0972778065325</v>
      </c>
      <c r="L60" s="99">
        <v>30</v>
      </c>
      <c r="M60" s="99">
        <v>19548</v>
      </c>
      <c r="N60" s="99">
        <v>35</v>
      </c>
      <c r="O60" s="99">
        <v>22806</v>
      </c>
      <c r="P60" s="99">
        <v>24</v>
      </c>
      <c r="Q60" s="99">
        <v>15638.400000000001</v>
      </c>
      <c r="R60" s="99">
        <v>15.171803568372104</v>
      </c>
      <c r="S60" s="99">
        <v>9885.9472051512639</v>
      </c>
      <c r="T60" s="99">
        <v>27</v>
      </c>
      <c r="U60" s="99">
        <v>17593.2</v>
      </c>
      <c r="V60" s="99">
        <v>23</v>
      </c>
      <c r="W60" s="99">
        <v>14986.800000000001</v>
      </c>
      <c r="X60" s="99">
        <v>23</v>
      </c>
      <c r="Y60" s="99">
        <v>14986.800000000001</v>
      </c>
      <c r="Z60" s="99">
        <v>22</v>
      </c>
      <c r="AA60" s="99">
        <v>14335.2</v>
      </c>
      <c r="AB60" s="99">
        <v>17</v>
      </c>
      <c r="AC60" s="99">
        <v>11077.2</v>
      </c>
      <c r="AD60" s="99">
        <v>28</v>
      </c>
      <c r="AE60" s="99">
        <v>18244.8</v>
      </c>
      <c r="AF60" s="99">
        <v>23.47874794736493</v>
      </c>
      <c r="AG60" s="99">
        <v>15298.752162502989</v>
      </c>
      <c r="AH60" s="99">
        <v>0</v>
      </c>
      <c r="AI60" s="99">
        <v>0</v>
      </c>
      <c r="AJ60" s="99">
        <v>31</v>
      </c>
      <c r="AK60" s="99">
        <v>20199.600000000002</v>
      </c>
      <c r="AL60" s="99">
        <v>33</v>
      </c>
      <c r="AM60" s="99">
        <v>21502.799999999999</v>
      </c>
      <c r="AN60" s="99">
        <v>21</v>
      </c>
      <c r="AO60" s="99">
        <v>13683.6</v>
      </c>
      <c r="AP60" s="99">
        <v>16</v>
      </c>
      <c r="AQ60" s="99">
        <v>10425.6</v>
      </c>
      <c r="AR60" s="99">
        <v>29</v>
      </c>
      <c r="AS60" s="99">
        <v>18896.400000000001</v>
      </c>
      <c r="AT60" s="99">
        <v>9.9384927416470639</v>
      </c>
      <c r="AU60" s="99">
        <v>6475.9218704572268</v>
      </c>
      <c r="AV60" s="99">
        <v>19</v>
      </c>
      <c r="AW60" s="99">
        <v>12380.4</v>
      </c>
      <c r="AX60" s="99">
        <v>17</v>
      </c>
      <c r="AY60" s="99">
        <v>11077.2</v>
      </c>
      <c r="AZ60" s="99">
        <v>19</v>
      </c>
      <c r="BA60" s="99">
        <v>12380.4</v>
      </c>
      <c r="BB60" s="99">
        <v>21</v>
      </c>
      <c r="BC60" s="99">
        <v>13683.6</v>
      </c>
      <c r="BD60" s="99">
        <v>31</v>
      </c>
      <c r="BE60" s="99">
        <v>20199.600000000002</v>
      </c>
      <c r="BF60" s="99">
        <v>31</v>
      </c>
      <c r="BG60" s="99">
        <v>20199.600000000002</v>
      </c>
      <c r="BH60" s="99">
        <v>26.036418125375427</v>
      </c>
      <c r="BI60" s="99">
        <v>16965.330050494627</v>
      </c>
      <c r="BJ60" s="99">
        <v>23.027891117138143</v>
      </c>
      <c r="BK60" s="99">
        <v>15004.973851927214</v>
      </c>
      <c r="BL60" s="99">
        <v>12.431116565494341</v>
      </c>
      <c r="BM60" s="99">
        <v>8100.1155540761129</v>
      </c>
      <c r="BN60" s="99">
        <v>10.216003189171726</v>
      </c>
      <c r="BO60" s="99">
        <v>6656.7476780642965</v>
      </c>
      <c r="BP60" s="99">
        <v>31</v>
      </c>
      <c r="BQ60" s="99">
        <v>20199.600000000002</v>
      </c>
      <c r="BR60" s="99">
        <v>18.124563691073217</v>
      </c>
      <c r="BS60" s="99">
        <v>11809.965701103309</v>
      </c>
      <c r="BT60" s="99">
        <v>24</v>
      </c>
      <c r="BU60" s="99">
        <v>15638.400000000001</v>
      </c>
      <c r="BV60" s="99">
        <v>14.653478095238095</v>
      </c>
      <c r="BW60" s="99">
        <v>9548.2063268571419</v>
      </c>
      <c r="BX60" s="99">
        <v>8.6429413756777915</v>
      </c>
      <c r="BY60" s="99">
        <v>5631.7406003916494</v>
      </c>
      <c r="BZ60" s="99">
        <v>0</v>
      </c>
      <c r="CA60" s="99">
        <v>0</v>
      </c>
      <c r="CB60" s="99">
        <v>19</v>
      </c>
      <c r="CC60" s="99">
        <v>12380.4</v>
      </c>
      <c r="CD60" s="99">
        <v>20</v>
      </c>
      <c r="CE60" s="99">
        <v>13032</v>
      </c>
      <c r="CF60" s="99">
        <v>30</v>
      </c>
      <c r="CG60" s="99">
        <v>19548</v>
      </c>
      <c r="CH60" s="99">
        <v>12.018014060282789</v>
      </c>
      <c r="CI60" s="99">
        <v>7830.9379616802662</v>
      </c>
      <c r="CJ60" s="99">
        <v>0</v>
      </c>
      <c r="CK60" s="99">
        <v>0</v>
      </c>
      <c r="CL60" s="99">
        <v>0</v>
      </c>
      <c r="CM60" s="99">
        <v>0</v>
      </c>
      <c r="CN60" s="99">
        <v>26</v>
      </c>
      <c r="CO60" s="99">
        <v>16941.600000000002</v>
      </c>
      <c r="CP60" s="99">
        <v>29</v>
      </c>
      <c r="CQ60" s="99">
        <v>18896.400000000001</v>
      </c>
      <c r="CR60" s="99">
        <v>10.888310601567371</v>
      </c>
      <c r="CS60" s="99">
        <v>7094.8231879812993</v>
      </c>
      <c r="CT60" s="99">
        <v>11.247377084729591</v>
      </c>
      <c r="CU60" s="99">
        <v>7328.7909084098019</v>
      </c>
    </row>
    <row r="61" spans="2:99">
      <c r="C61" s="98" t="s">
        <v>226</v>
      </c>
      <c r="D61" s="99">
        <v>0</v>
      </c>
      <c r="E61" s="99">
        <v>0</v>
      </c>
      <c r="F61" s="99">
        <v>0</v>
      </c>
      <c r="G61" s="99">
        <v>0</v>
      </c>
      <c r="H61" s="99">
        <v>11.832869080779925</v>
      </c>
      <c r="I61" s="99">
        <v>11260.158217270176</v>
      </c>
      <c r="J61" s="99">
        <v>11.439360078035122</v>
      </c>
      <c r="K61" s="99">
        <v>10885.69505025822</v>
      </c>
      <c r="L61" s="99">
        <v>25</v>
      </c>
      <c r="M61" s="99">
        <v>23789.999999999996</v>
      </c>
      <c r="N61" s="99">
        <v>33</v>
      </c>
      <c r="O61" s="99">
        <v>31402.799999999996</v>
      </c>
      <c r="P61" s="99">
        <v>22</v>
      </c>
      <c r="Q61" s="99">
        <v>20935.199999999997</v>
      </c>
      <c r="R61" s="99">
        <v>15.733722219052552</v>
      </c>
      <c r="S61" s="99">
        <v>14972.210063650407</v>
      </c>
      <c r="T61" s="99">
        <v>29</v>
      </c>
      <c r="U61" s="99">
        <v>27596.399999999998</v>
      </c>
      <c r="V61" s="99">
        <v>22</v>
      </c>
      <c r="W61" s="99">
        <v>20935.199999999997</v>
      </c>
      <c r="X61" s="99">
        <v>20</v>
      </c>
      <c r="Y61" s="99">
        <v>19032</v>
      </c>
      <c r="Z61" s="99">
        <v>25</v>
      </c>
      <c r="AA61" s="99">
        <v>23789.999999999996</v>
      </c>
      <c r="AB61" s="99">
        <v>17</v>
      </c>
      <c r="AC61" s="99">
        <v>16177.199999999999</v>
      </c>
      <c r="AD61" s="99">
        <v>24</v>
      </c>
      <c r="AE61" s="99">
        <v>22838.399999999998</v>
      </c>
      <c r="AF61" s="99">
        <v>26.296197701048726</v>
      </c>
      <c r="AG61" s="99">
        <v>25023.461732317966</v>
      </c>
      <c r="AH61" s="99">
        <v>0</v>
      </c>
      <c r="AI61" s="99">
        <v>0</v>
      </c>
      <c r="AJ61" s="99">
        <v>31</v>
      </c>
      <c r="AK61" s="99">
        <v>29499.599999999999</v>
      </c>
      <c r="AL61" s="99">
        <v>30</v>
      </c>
      <c r="AM61" s="99">
        <v>28547.999999999996</v>
      </c>
      <c r="AN61" s="99">
        <v>20</v>
      </c>
      <c r="AO61" s="99">
        <v>19032</v>
      </c>
      <c r="AP61" s="99">
        <v>18</v>
      </c>
      <c r="AQ61" s="99">
        <v>17128.8</v>
      </c>
      <c r="AR61" s="99">
        <v>25</v>
      </c>
      <c r="AS61" s="99">
        <v>23789.999999999996</v>
      </c>
      <c r="AT61" s="99">
        <v>9.4415681045647109</v>
      </c>
      <c r="AU61" s="99">
        <v>8984.5962083037775</v>
      </c>
      <c r="AV61" s="99">
        <v>19</v>
      </c>
      <c r="AW61" s="99">
        <v>18080.399999999998</v>
      </c>
      <c r="AX61" s="99">
        <v>16</v>
      </c>
      <c r="AY61" s="99">
        <v>15225.599999999999</v>
      </c>
      <c r="AZ61" s="99">
        <v>20</v>
      </c>
      <c r="BA61" s="99">
        <v>19032</v>
      </c>
      <c r="BB61" s="99">
        <v>19</v>
      </c>
      <c r="BC61" s="99">
        <v>18080.399999999998</v>
      </c>
      <c r="BD61" s="99">
        <v>31</v>
      </c>
      <c r="BE61" s="99">
        <v>29499.599999999999</v>
      </c>
      <c r="BF61" s="99">
        <v>26</v>
      </c>
      <c r="BG61" s="99">
        <v>24741.599999999999</v>
      </c>
      <c r="BH61" s="99">
        <v>26.966290201281691</v>
      </c>
      <c r="BI61" s="99">
        <v>25661.121755539654</v>
      </c>
      <c r="BJ61" s="99">
        <v>23.027891117138143</v>
      </c>
      <c r="BK61" s="99">
        <v>21913.341187068654</v>
      </c>
      <c r="BL61" s="99">
        <v>12.431116565494341</v>
      </c>
      <c r="BM61" s="99">
        <v>11829.450523724414</v>
      </c>
      <c r="BN61" s="99">
        <v>10.897070068449841</v>
      </c>
      <c r="BO61" s="99">
        <v>10369.651877136868</v>
      </c>
      <c r="BP61" s="99">
        <v>31</v>
      </c>
      <c r="BQ61" s="99">
        <v>29499.599999999999</v>
      </c>
      <c r="BR61" s="99">
        <v>20.299511334002002</v>
      </c>
      <c r="BS61" s="99">
        <v>19317.014985436304</v>
      </c>
      <c r="BT61" s="99">
        <v>23</v>
      </c>
      <c r="BU61" s="99">
        <v>21886.799999999999</v>
      </c>
      <c r="BV61" s="99">
        <v>13.920804190476188</v>
      </c>
      <c r="BW61" s="99">
        <v>13247.037267657139</v>
      </c>
      <c r="BX61" s="99">
        <v>7.2782664216234041</v>
      </c>
      <c r="BY61" s="99">
        <v>6925.9983268168307</v>
      </c>
      <c r="BZ61" s="99">
        <v>0</v>
      </c>
      <c r="CA61" s="99">
        <v>0</v>
      </c>
      <c r="CB61" s="99">
        <v>19</v>
      </c>
      <c r="CC61" s="99">
        <v>18080.399999999998</v>
      </c>
      <c r="CD61" s="99">
        <v>20</v>
      </c>
      <c r="CE61" s="99">
        <v>19032</v>
      </c>
      <c r="CF61" s="99">
        <v>26</v>
      </c>
      <c r="CG61" s="99">
        <v>24741.599999999999</v>
      </c>
      <c r="CH61" s="99">
        <v>11.555782750271913</v>
      </c>
      <c r="CI61" s="99">
        <v>10996.48286515875</v>
      </c>
      <c r="CJ61" s="99">
        <v>0</v>
      </c>
      <c r="CK61" s="99">
        <v>0</v>
      </c>
      <c r="CL61" s="99">
        <v>0</v>
      </c>
      <c r="CM61" s="99">
        <v>0</v>
      </c>
      <c r="CN61" s="99">
        <v>24</v>
      </c>
      <c r="CO61" s="99">
        <v>22838.399999999998</v>
      </c>
      <c r="CP61" s="99">
        <v>29</v>
      </c>
      <c r="CQ61" s="99">
        <v>27596.399999999998</v>
      </c>
      <c r="CR61" s="99">
        <v>11.528799460483098</v>
      </c>
      <c r="CS61" s="99">
        <v>10970.805566595714</v>
      </c>
      <c r="CT61" s="99">
        <v>10.585766667980792</v>
      </c>
      <c r="CU61" s="99">
        <v>10073.41556125052</v>
      </c>
    </row>
    <row r="62" spans="2:99">
      <c r="C62" s="98" t="s">
        <v>227</v>
      </c>
      <c r="D62" s="99">
        <v>0</v>
      </c>
      <c r="E62" s="99">
        <v>0</v>
      </c>
      <c r="F62" s="99">
        <v>0</v>
      </c>
      <c r="G62" s="99">
        <v>0</v>
      </c>
      <c r="H62" s="99">
        <v>9.7447157135834672</v>
      </c>
      <c r="I62" s="99">
        <v>16616.689234802529</v>
      </c>
      <c r="J62" s="99">
        <v>11.030811503819583</v>
      </c>
      <c r="K62" s="99">
        <v>18809.739776313156</v>
      </c>
      <c r="L62" s="99">
        <v>24</v>
      </c>
      <c r="M62" s="99">
        <v>40924.800000000003</v>
      </c>
      <c r="N62" s="99">
        <v>27</v>
      </c>
      <c r="O62" s="99">
        <v>46040.4</v>
      </c>
      <c r="P62" s="99">
        <v>19</v>
      </c>
      <c r="Q62" s="99">
        <v>32398.799999999999</v>
      </c>
      <c r="R62" s="99">
        <v>13.486047616330758</v>
      </c>
      <c r="S62" s="99">
        <v>22996.408395367209</v>
      </c>
      <c r="T62" s="99">
        <v>24</v>
      </c>
      <c r="U62" s="99">
        <v>40924.800000000003</v>
      </c>
      <c r="V62" s="99">
        <v>21</v>
      </c>
      <c r="W62" s="99">
        <v>35809.200000000004</v>
      </c>
      <c r="X62" s="99">
        <v>20</v>
      </c>
      <c r="Y62" s="99">
        <v>34104</v>
      </c>
      <c r="Z62" s="99">
        <v>23</v>
      </c>
      <c r="AA62" s="99">
        <v>39219.599999999999</v>
      </c>
      <c r="AB62" s="99">
        <v>14</v>
      </c>
      <c r="AC62" s="99">
        <v>23872.799999999999</v>
      </c>
      <c r="AD62" s="99">
        <v>26</v>
      </c>
      <c r="AE62" s="99">
        <v>44335.200000000004</v>
      </c>
      <c r="AF62" s="99">
        <v>22.539598029470334</v>
      </c>
      <c r="AG62" s="99">
        <v>38434.522559852812</v>
      </c>
      <c r="AH62" s="99">
        <v>0</v>
      </c>
      <c r="AI62" s="99">
        <v>0</v>
      </c>
      <c r="AJ62" s="99">
        <v>27</v>
      </c>
      <c r="AK62" s="99">
        <v>46040.4</v>
      </c>
      <c r="AL62" s="99">
        <v>28</v>
      </c>
      <c r="AM62" s="99">
        <v>47745.599999999999</v>
      </c>
      <c r="AN62" s="99">
        <v>19</v>
      </c>
      <c r="AO62" s="99">
        <v>32398.799999999999</v>
      </c>
      <c r="AP62" s="99">
        <v>16</v>
      </c>
      <c r="AQ62" s="99">
        <v>27283.200000000001</v>
      </c>
      <c r="AR62" s="99">
        <v>25</v>
      </c>
      <c r="AS62" s="99">
        <v>42630</v>
      </c>
      <c r="AT62" s="99">
        <v>9.4415681045647109</v>
      </c>
      <c r="AU62" s="99">
        <v>16099.761931903746</v>
      </c>
      <c r="AV62" s="99">
        <v>16</v>
      </c>
      <c r="AW62" s="99">
        <v>27283.200000000001</v>
      </c>
      <c r="AX62" s="99">
        <v>17</v>
      </c>
      <c r="AY62" s="99">
        <v>28988.400000000001</v>
      </c>
      <c r="AZ62" s="99">
        <v>17</v>
      </c>
      <c r="BA62" s="99">
        <v>28988.400000000001</v>
      </c>
      <c r="BB62" s="99">
        <v>21</v>
      </c>
      <c r="BC62" s="99">
        <v>35809.200000000004</v>
      </c>
      <c r="BD62" s="99">
        <v>29</v>
      </c>
      <c r="BE62" s="99">
        <v>49450.8</v>
      </c>
      <c r="BF62" s="99">
        <v>25</v>
      </c>
      <c r="BG62" s="99">
        <v>42630</v>
      </c>
      <c r="BH62" s="99">
        <v>25.106546049469159</v>
      </c>
      <c r="BI62" s="99">
        <v>42811.682323554815</v>
      </c>
      <c r="BJ62" s="99">
        <v>19.485138637578427</v>
      </c>
      <c r="BK62" s="99">
        <v>33226.058404798736</v>
      </c>
      <c r="BL62" s="99">
        <v>9.9448932523954703</v>
      </c>
      <c r="BM62" s="99">
        <v>16958.031973984755</v>
      </c>
      <c r="BN62" s="99">
        <v>9.8754697495326678</v>
      </c>
      <c r="BO62" s="99">
        <v>16839.651016903106</v>
      </c>
      <c r="BP62" s="99">
        <v>25</v>
      </c>
      <c r="BQ62" s="99">
        <v>42630</v>
      </c>
      <c r="BR62" s="99">
        <v>16.674598595787359</v>
      </c>
      <c r="BS62" s="99">
        <v>28433.525525536606</v>
      </c>
      <c r="BT62" s="99">
        <v>20</v>
      </c>
      <c r="BU62" s="99">
        <v>34104</v>
      </c>
      <c r="BV62" s="99">
        <v>11.722782476190474</v>
      </c>
      <c r="BW62" s="99">
        <v>19989.688678399998</v>
      </c>
      <c r="BX62" s="99">
        <v>7.2782664216234041</v>
      </c>
      <c r="BY62" s="99">
        <v>12410.899902152229</v>
      </c>
      <c r="BZ62" s="99">
        <v>0</v>
      </c>
      <c r="CA62" s="99">
        <v>0</v>
      </c>
      <c r="CB62" s="99">
        <v>17</v>
      </c>
      <c r="CC62" s="99">
        <v>28988.400000000001</v>
      </c>
      <c r="CD62" s="99">
        <v>18</v>
      </c>
      <c r="CE62" s="99">
        <v>30693.600000000002</v>
      </c>
      <c r="CF62" s="99">
        <v>27</v>
      </c>
      <c r="CG62" s="99">
        <v>46040.4</v>
      </c>
      <c r="CH62" s="99">
        <v>11.093551440261036</v>
      </c>
      <c r="CI62" s="99">
        <v>18916.723915933118</v>
      </c>
      <c r="CJ62" s="99">
        <v>0</v>
      </c>
      <c r="CK62" s="99">
        <v>0</v>
      </c>
      <c r="CL62" s="99">
        <v>0</v>
      </c>
      <c r="CM62" s="99">
        <v>0</v>
      </c>
      <c r="CN62" s="99">
        <v>22</v>
      </c>
      <c r="CO62" s="99">
        <v>37514.400000000001</v>
      </c>
      <c r="CP62" s="99">
        <v>26</v>
      </c>
      <c r="CQ62" s="99">
        <v>44335.200000000004</v>
      </c>
      <c r="CR62" s="99">
        <v>10.247821742651642</v>
      </c>
      <c r="CS62" s="99">
        <v>17474.58563556958</v>
      </c>
      <c r="CT62" s="99">
        <v>9.262545834483193</v>
      </c>
      <c r="CU62" s="99">
        <v>15794.493156960742</v>
      </c>
    </row>
    <row r="63" spans="2:99">
      <c r="C63" s="98" t="s">
        <v>228</v>
      </c>
      <c r="D63" s="99">
        <v>0</v>
      </c>
      <c r="E63" s="99">
        <v>0</v>
      </c>
      <c r="F63" s="99">
        <v>0</v>
      </c>
      <c r="G63" s="99">
        <v>0</v>
      </c>
      <c r="H63" s="99">
        <v>11.832869080779925</v>
      </c>
      <c r="I63" s="99">
        <v>9414.2306406685093</v>
      </c>
      <c r="J63" s="99">
        <v>12.256457226466205</v>
      </c>
      <c r="K63" s="99">
        <v>9751.237369376513</v>
      </c>
      <c r="L63" s="99">
        <v>26</v>
      </c>
      <c r="M63" s="99">
        <v>20685.600000000002</v>
      </c>
      <c r="N63" s="99">
        <v>33</v>
      </c>
      <c r="O63" s="99">
        <v>26254.799999999999</v>
      </c>
      <c r="P63" s="99">
        <v>21</v>
      </c>
      <c r="Q63" s="99">
        <v>16707.600000000002</v>
      </c>
      <c r="R63" s="99">
        <v>16.295640869732999</v>
      </c>
      <c r="S63" s="99">
        <v>12964.811875959575</v>
      </c>
      <c r="T63" s="99">
        <v>28</v>
      </c>
      <c r="U63" s="99">
        <v>22276.799999999999</v>
      </c>
      <c r="V63" s="99">
        <v>23</v>
      </c>
      <c r="W63" s="99">
        <v>18298.8</v>
      </c>
      <c r="X63" s="99">
        <v>23</v>
      </c>
      <c r="Y63" s="99">
        <v>18298.8</v>
      </c>
      <c r="Z63" s="99">
        <v>24</v>
      </c>
      <c r="AA63" s="99">
        <v>19094.400000000001</v>
      </c>
      <c r="AB63" s="99">
        <v>15</v>
      </c>
      <c r="AC63" s="99">
        <v>11934</v>
      </c>
      <c r="AD63" s="99">
        <v>27</v>
      </c>
      <c r="AE63" s="99">
        <v>21481.200000000001</v>
      </c>
      <c r="AF63" s="99">
        <v>25.357047783154126</v>
      </c>
      <c r="AG63" s="99">
        <v>20174.067216277424</v>
      </c>
      <c r="AH63" s="99">
        <v>0</v>
      </c>
      <c r="AI63" s="99">
        <v>0</v>
      </c>
      <c r="AJ63" s="99">
        <v>29</v>
      </c>
      <c r="AK63" s="99">
        <v>23072.400000000001</v>
      </c>
      <c r="AL63" s="99">
        <v>33</v>
      </c>
      <c r="AM63" s="99">
        <v>26254.799999999999</v>
      </c>
      <c r="AN63" s="99">
        <v>22</v>
      </c>
      <c r="AO63" s="99">
        <v>17503.2</v>
      </c>
      <c r="AP63" s="99">
        <v>17</v>
      </c>
      <c r="AQ63" s="99">
        <v>13525.2</v>
      </c>
      <c r="AR63" s="99">
        <v>24</v>
      </c>
      <c r="AS63" s="99">
        <v>19094.400000000001</v>
      </c>
      <c r="AT63" s="99">
        <v>10.435417378729415</v>
      </c>
      <c r="AU63" s="99">
        <v>8302.4180665171225</v>
      </c>
      <c r="AV63" s="99">
        <v>20</v>
      </c>
      <c r="AW63" s="99">
        <v>15912</v>
      </c>
      <c r="AX63" s="99">
        <v>16</v>
      </c>
      <c r="AY63" s="99">
        <v>12729.6</v>
      </c>
      <c r="AZ63" s="99">
        <v>22</v>
      </c>
      <c r="BA63" s="99">
        <v>17503.2</v>
      </c>
      <c r="BB63" s="99">
        <v>21</v>
      </c>
      <c r="BC63" s="99">
        <v>16707.600000000002</v>
      </c>
      <c r="BD63" s="99">
        <v>33</v>
      </c>
      <c r="BE63" s="99">
        <v>26254.799999999999</v>
      </c>
      <c r="BF63" s="99">
        <v>30</v>
      </c>
      <c r="BG63" s="99">
        <v>23868</v>
      </c>
      <c r="BH63" s="99">
        <v>29.755906429000486</v>
      </c>
      <c r="BI63" s="99">
        <v>23673.799154912787</v>
      </c>
      <c r="BJ63" s="99">
        <v>25.684955476807925</v>
      </c>
      <c r="BK63" s="99">
        <v>20434.950577348387</v>
      </c>
      <c r="BL63" s="99">
        <v>11.188004908944906</v>
      </c>
      <c r="BM63" s="99">
        <v>8901.176705556567</v>
      </c>
      <c r="BN63" s="99">
        <v>11.237603508088897</v>
      </c>
      <c r="BO63" s="99">
        <v>8940.6373510355261</v>
      </c>
      <c r="BP63" s="99">
        <v>32</v>
      </c>
      <c r="BQ63" s="99">
        <v>25459.200000000001</v>
      </c>
      <c r="BR63" s="99">
        <v>18.849546238716144</v>
      </c>
      <c r="BS63" s="99">
        <v>14996.698987522564</v>
      </c>
      <c r="BT63" s="99">
        <v>23</v>
      </c>
      <c r="BU63" s="99">
        <v>18298.8</v>
      </c>
      <c r="BV63" s="99">
        <v>13.188130285714283</v>
      </c>
      <c r="BW63" s="99">
        <v>10492.476455314285</v>
      </c>
      <c r="BX63" s="99">
        <v>7.7331580729748666</v>
      </c>
      <c r="BY63" s="99">
        <v>6152.5005628588042</v>
      </c>
      <c r="BZ63" s="99">
        <v>0</v>
      </c>
      <c r="CA63" s="99">
        <v>0</v>
      </c>
      <c r="CB63" s="99">
        <v>19</v>
      </c>
      <c r="CC63" s="99">
        <v>15116.4</v>
      </c>
      <c r="CD63" s="99">
        <v>21</v>
      </c>
      <c r="CE63" s="99">
        <v>16707.600000000002</v>
      </c>
      <c r="CF63" s="99">
        <v>26</v>
      </c>
      <c r="CG63" s="99">
        <v>20685.600000000002</v>
      </c>
      <c r="CH63" s="99">
        <v>10.63132013025016</v>
      </c>
      <c r="CI63" s="99">
        <v>8458.2782956270275</v>
      </c>
      <c r="CJ63" s="99">
        <v>0</v>
      </c>
      <c r="CK63" s="99">
        <v>0</v>
      </c>
      <c r="CL63" s="99">
        <v>0</v>
      </c>
      <c r="CM63" s="99">
        <v>0</v>
      </c>
      <c r="CN63" s="99">
        <v>27</v>
      </c>
      <c r="CO63" s="99">
        <v>21481.200000000001</v>
      </c>
      <c r="CP63" s="99">
        <v>25</v>
      </c>
      <c r="CQ63" s="99">
        <v>19890</v>
      </c>
      <c r="CR63" s="99">
        <v>10.888310601567371</v>
      </c>
      <c r="CS63" s="99">
        <v>8662.7399146070002</v>
      </c>
      <c r="CT63" s="99">
        <v>10.585766667980792</v>
      </c>
      <c r="CU63" s="99">
        <v>8422.035961045518</v>
      </c>
    </row>
    <row r="64" spans="2:99">
      <c r="C64" s="98" t="s">
        <v>229</v>
      </c>
      <c r="D64" s="99">
        <v>0</v>
      </c>
      <c r="E64" s="99">
        <v>0</v>
      </c>
      <c r="F64" s="99">
        <v>0</v>
      </c>
      <c r="G64" s="99">
        <v>0</v>
      </c>
      <c r="H64" s="99">
        <v>10.440766835982288</v>
      </c>
      <c r="I64" s="99">
        <v>10536.821890873323</v>
      </c>
      <c r="J64" s="99">
        <v>11.030811503819583</v>
      </c>
      <c r="K64" s="99">
        <v>11132.294969654722</v>
      </c>
      <c r="L64" s="99">
        <v>26</v>
      </c>
      <c r="M64" s="99">
        <v>26239.199999999997</v>
      </c>
      <c r="N64" s="99">
        <v>31</v>
      </c>
      <c r="O64" s="99">
        <v>31285.199999999993</v>
      </c>
      <c r="P64" s="99">
        <v>24</v>
      </c>
      <c r="Q64" s="99">
        <v>24220.799999999996</v>
      </c>
      <c r="R64" s="99">
        <v>15.733722219052552</v>
      </c>
      <c r="S64" s="99">
        <v>15878.472463467833</v>
      </c>
      <c r="T64" s="99">
        <v>27</v>
      </c>
      <c r="U64" s="99">
        <v>27248.399999999994</v>
      </c>
      <c r="V64" s="99">
        <v>22</v>
      </c>
      <c r="W64" s="99">
        <v>22202.399999999994</v>
      </c>
      <c r="X64" s="99">
        <v>22</v>
      </c>
      <c r="Y64" s="99">
        <v>22202.399999999994</v>
      </c>
      <c r="Z64" s="99">
        <v>21</v>
      </c>
      <c r="AA64" s="99">
        <v>21193.199999999997</v>
      </c>
      <c r="AB64" s="99">
        <v>16</v>
      </c>
      <c r="AC64" s="99">
        <v>16147.199999999997</v>
      </c>
      <c r="AD64" s="99">
        <v>24</v>
      </c>
      <c r="AE64" s="99">
        <v>24220.799999999996</v>
      </c>
      <c r="AF64" s="99">
        <v>23.47874794736493</v>
      </c>
      <c r="AG64" s="99">
        <v>23694.752428480682</v>
      </c>
      <c r="AH64" s="99">
        <v>0</v>
      </c>
      <c r="AI64" s="99">
        <v>0</v>
      </c>
      <c r="AJ64" s="99">
        <v>30</v>
      </c>
      <c r="AK64" s="99">
        <v>30275.999999999993</v>
      </c>
      <c r="AL64" s="99">
        <v>30</v>
      </c>
      <c r="AM64" s="99">
        <v>30275.999999999993</v>
      </c>
      <c r="AN64" s="99">
        <v>22</v>
      </c>
      <c r="AO64" s="99">
        <v>22202.399999999994</v>
      </c>
      <c r="AP64" s="99">
        <v>15</v>
      </c>
      <c r="AQ64" s="99">
        <v>15137.999999999996</v>
      </c>
      <c r="AR64" s="99">
        <v>26</v>
      </c>
      <c r="AS64" s="99">
        <v>26239.199999999997</v>
      </c>
      <c r="AT64" s="99">
        <v>9.9384927416470639</v>
      </c>
      <c r="AU64" s="99">
        <v>10029.926874870214</v>
      </c>
      <c r="AV64" s="99">
        <v>17</v>
      </c>
      <c r="AW64" s="99">
        <v>17156.399999999998</v>
      </c>
      <c r="AX64" s="99">
        <v>16</v>
      </c>
      <c r="AY64" s="99">
        <v>16147.199999999997</v>
      </c>
      <c r="AZ64" s="99">
        <v>21</v>
      </c>
      <c r="BA64" s="99">
        <v>21193.199999999997</v>
      </c>
      <c r="BB64" s="99">
        <v>22</v>
      </c>
      <c r="BC64" s="99">
        <v>22202.399999999994</v>
      </c>
      <c r="BD64" s="99">
        <v>32</v>
      </c>
      <c r="BE64" s="99">
        <v>32294.399999999994</v>
      </c>
      <c r="BF64" s="99">
        <v>29</v>
      </c>
      <c r="BG64" s="99">
        <v>29266.799999999996</v>
      </c>
      <c r="BH64" s="99">
        <v>28.826034353094222</v>
      </c>
      <c r="BI64" s="99">
        <v>29091.233869142685</v>
      </c>
      <c r="BJ64" s="99">
        <v>23.91357923702807</v>
      </c>
      <c r="BK64" s="99">
        <v>24133.584166008724</v>
      </c>
      <c r="BL64" s="99">
        <v>11.188004908944906</v>
      </c>
      <c r="BM64" s="99">
        <v>11290.934554107198</v>
      </c>
      <c r="BN64" s="99">
        <v>9.5349363098936095</v>
      </c>
      <c r="BO64" s="99">
        <v>9622.6577239446287</v>
      </c>
      <c r="BP64" s="99">
        <v>27</v>
      </c>
      <c r="BQ64" s="99">
        <v>27248.399999999994</v>
      </c>
      <c r="BR64" s="99">
        <v>16.674598595787359</v>
      </c>
      <c r="BS64" s="99">
        <v>16828.004902868601</v>
      </c>
      <c r="BT64" s="99">
        <v>24</v>
      </c>
      <c r="BU64" s="99">
        <v>24220.799999999996</v>
      </c>
      <c r="BV64" s="99">
        <v>13.188130285714283</v>
      </c>
      <c r="BW64" s="99">
        <v>13309.461084342853</v>
      </c>
      <c r="BX64" s="99">
        <v>7.7331580729748666</v>
      </c>
      <c r="BY64" s="99">
        <v>7804.303127246234</v>
      </c>
      <c r="BZ64" s="99">
        <v>0</v>
      </c>
      <c r="CA64" s="99">
        <v>0</v>
      </c>
      <c r="CB64" s="99">
        <v>16</v>
      </c>
      <c r="CC64" s="99">
        <v>16147.199999999997</v>
      </c>
      <c r="CD64" s="99">
        <v>19</v>
      </c>
      <c r="CE64" s="99">
        <v>19174.799999999996</v>
      </c>
      <c r="CF64" s="99">
        <v>26</v>
      </c>
      <c r="CG64" s="99">
        <v>26239.199999999997</v>
      </c>
      <c r="CH64" s="99">
        <v>10.63132013025016</v>
      </c>
      <c r="CI64" s="99">
        <v>10729.12827544846</v>
      </c>
      <c r="CJ64" s="99">
        <v>0</v>
      </c>
      <c r="CK64" s="99">
        <v>0</v>
      </c>
      <c r="CL64" s="99">
        <v>0</v>
      </c>
      <c r="CM64" s="99">
        <v>0</v>
      </c>
      <c r="CN64" s="99">
        <v>25</v>
      </c>
      <c r="CO64" s="99">
        <v>25229.999999999996</v>
      </c>
      <c r="CP64" s="99">
        <v>28</v>
      </c>
      <c r="CQ64" s="99">
        <v>28257.599999999995</v>
      </c>
      <c r="CR64" s="99">
        <v>9.6073328837359142</v>
      </c>
      <c r="CS64" s="99">
        <v>9695.7203462662837</v>
      </c>
      <c r="CT64" s="99">
        <v>9.262545834483193</v>
      </c>
      <c r="CU64" s="99">
        <v>9347.7612561604365</v>
      </c>
    </row>
    <row r="65" spans="2:99">
      <c r="C65" s="98" t="s">
        <v>230</v>
      </c>
      <c r="D65" s="99">
        <v>0</v>
      </c>
      <c r="E65" s="99">
        <v>0</v>
      </c>
      <c r="F65" s="99">
        <v>0</v>
      </c>
      <c r="G65" s="99">
        <v>0</v>
      </c>
      <c r="H65" s="99">
        <v>9.7447157135834672</v>
      </c>
      <c r="I65" s="99">
        <v>9998.0783221366382</v>
      </c>
      <c r="J65" s="99">
        <v>11.030811503819583</v>
      </c>
      <c r="K65" s="99">
        <v>11317.612602918893</v>
      </c>
      <c r="L65" s="99">
        <v>27</v>
      </c>
      <c r="M65" s="99">
        <v>27702</v>
      </c>
      <c r="N65" s="99">
        <v>28</v>
      </c>
      <c r="O65" s="99">
        <v>28728</v>
      </c>
      <c r="P65" s="99">
        <v>24</v>
      </c>
      <c r="Q65" s="99">
        <v>24624</v>
      </c>
      <c r="R65" s="99">
        <v>16.295640869732999</v>
      </c>
      <c r="S65" s="99">
        <v>16719.327532346058</v>
      </c>
      <c r="T65" s="99">
        <v>25</v>
      </c>
      <c r="U65" s="99">
        <v>25650</v>
      </c>
      <c r="V65" s="99">
        <v>19</v>
      </c>
      <c r="W65" s="99">
        <v>19494</v>
      </c>
      <c r="X65" s="99">
        <v>20</v>
      </c>
      <c r="Y65" s="99">
        <v>20520</v>
      </c>
      <c r="Z65" s="99">
        <v>21</v>
      </c>
      <c r="AA65" s="99">
        <v>21546</v>
      </c>
      <c r="AB65" s="99">
        <v>17</v>
      </c>
      <c r="AC65" s="99">
        <v>17442</v>
      </c>
      <c r="AD65" s="99">
        <v>26</v>
      </c>
      <c r="AE65" s="99">
        <v>26676</v>
      </c>
      <c r="AF65" s="99">
        <v>26.296197701048726</v>
      </c>
      <c r="AG65" s="99">
        <v>26979.898841275994</v>
      </c>
      <c r="AH65" s="99">
        <v>0</v>
      </c>
      <c r="AI65" s="99">
        <v>0</v>
      </c>
      <c r="AJ65" s="99">
        <v>29</v>
      </c>
      <c r="AK65" s="99">
        <v>29754</v>
      </c>
      <c r="AL65" s="99">
        <v>31</v>
      </c>
      <c r="AM65" s="99">
        <v>31806</v>
      </c>
      <c r="AN65" s="99">
        <v>21</v>
      </c>
      <c r="AO65" s="99">
        <v>21546</v>
      </c>
      <c r="AP65" s="99">
        <v>16</v>
      </c>
      <c r="AQ65" s="99">
        <v>16416</v>
      </c>
      <c r="AR65" s="99">
        <v>25</v>
      </c>
      <c r="AS65" s="99">
        <v>25650</v>
      </c>
      <c r="AT65" s="99">
        <v>9.4415681045647109</v>
      </c>
      <c r="AU65" s="99">
        <v>9687.0488752833935</v>
      </c>
      <c r="AV65" s="99">
        <v>18</v>
      </c>
      <c r="AW65" s="99">
        <v>18468</v>
      </c>
      <c r="AX65" s="99">
        <v>17</v>
      </c>
      <c r="AY65" s="99">
        <v>17442</v>
      </c>
      <c r="AZ65" s="99">
        <v>19</v>
      </c>
      <c r="BA65" s="99">
        <v>19494</v>
      </c>
      <c r="BB65" s="99">
        <v>22</v>
      </c>
      <c r="BC65" s="99">
        <v>22572</v>
      </c>
      <c r="BD65" s="99">
        <v>27</v>
      </c>
      <c r="BE65" s="99">
        <v>27702</v>
      </c>
      <c r="BF65" s="99">
        <v>31</v>
      </c>
      <c r="BG65" s="99">
        <v>31806</v>
      </c>
      <c r="BH65" s="99">
        <v>26.036418125375427</v>
      </c>
      <c r="BI65" s="99">
        <v>26713.364996635188</v>
      </c>
      <c r="BJ65" s="99">
        <v>21.256514877358281</v>
      </c>
      <c r="BK65" s="99">
        <v>21809.184264169595</v>
      </c>
      <c r="BL65" s="99">
        <v>11.188004908944906</v>
      </c>
      <c r="BM65" s="99">
        <v>11478.893036577474</v>
      </c>
      <c r="BN65" s="99">
        <v>9.1944028702545531</v>
      </c>
      <c r="BO65" s="99">
        <v>9433.4573448811716</v>
      </c>
      <c r="BP65" s="99">
        <v>26</v>
      </c>
      <c r="BQ65" s="99">
        <v>26676</v>
      </c>
      <c r="BR65" s="99">
        <v>19.574528786359071</v>
      </c>
      <c r="BS65" s="99">
        <v>20083.466534804407</v>
      </c>
      <c r="BT65" s="99">
        <v>23</v>
      </c>
      <c r="BU65" s="99">
        <v>23598</v>
      </c>
      <c r="BV65" s="99">
        <v>14.653478095238095</v>
      </c>
      <c r="BW65" s="99">
        <v>15034.468525714285</v>
      </c>
      <c r="BX65" s="99">
        <v>7.7331580729748666</v>
      </c>
      <c r="BY65" s="99">
        <v>7934.2201828722127</v>
      </c>
      <c r="BZ65" s="99">
        <v>0</v>
      </c>
      <c r="CA65" s="99">
        <v>0</v>
      </c>
      <c r="CB65" s="99">
        <v>18</v>
      </c>
      <c r="CC65" s="99">
        <v>18468</v>
      </c>
      <c r="CD65" s="99">
        <v>21</v>
      </c>
      <c r="CE65" s="99">
        <v>21546</v>
      </c>
      <c r="CF65" s="99">
        <v>25</v>
      </c>
      <c r="CG65" s="99">
        <v>25650</v>
      </c>
      <c r="CH65" s="99">
        <v>10.63132013025016</v>
      </c>
      <c r="CI65" s="99">
        <v>10907.734453636664</v>
      </c>
      <c r="CJ65" s="99">
        <v>0</v>
      </c>
      <c r="CK65" s="99">
        <v>0</v>
      </c>
      <c r="CL65" s="99">
        <v>0</v>
      </c>
      <c r="CM65" s="99">
        <v>0</v>
      </c>
      <c r="CN65" s="99">
        <v>25</v>
      </c>
      <c r="CO65" s="99">
        <v>25650</v>
      </c>
      <c r="CP65" s="99">
        <v>28</v>
      </c>
      <c r="CQ65" s="99">
        <v>28728</v>
      </c>
      <c r="CR65" s="99">
        <v>9.6073328837359142</v>
      </c>
      <c r="CS65" s="99">
        <v>9857.1235387130473</v>
      </c>
      <c r="CT65" s="99">
        <v>9.262545834483193</v>
      </c>
      <c r="CU65" s="99">
        <v>9503.3720261797553</v>
      </c>
    </row>
    <row r="66" spans="2:99">
      <c r="C66" s="98" t="s">
        <v>231</v>
      </c>
      <c r="D66" s="99">
        <v>0</v>
      </c>
      <c r="E66" s="99">
        <v>0</v>
      </c>
      <c r="F66" s="99">
        <v>0</v>
      </c>
      <c r="G66" s="99">
        <v>0</v>
      </c>
      <c r="H66" s="99">
        <v>9.7447157135834672</v>
      </c>
      <c r="I66" s="99">
        <v>11600.109585449758</v>
      </c>
      <c r="J66" s="99">
        <v>10.622262929604043</v>
      </c>
      <c r="K66" s="99">
        <v>12644.741791400651</v>
      </c>
      <c r="L66" s="99">
        <v>26</v>
      </c>
      <c r="M66" s="99">
        <v>30950.399999999998</v>
      </c>
      <c r="N66" s="99">
        <v>28</v>
      </c>
      <c r="O66" s="99">
        <v>33331.199999999997</v>
      </c>
      <c r="P66" s="99">
        <v>22</v>
      </c>
      <c r="Q66" s="99">
        <v>26188.799999999996</v>
      </c>
      <c r="R66" s="99">
        <v>15.733722219052552</v>
      </c>
      <c r="S66" s="99">
        <v>18729.422929560154</v>
      </c>
      <c r="T66" s="99">
        <v>27</v>
      </c>
      <c r="U66" s="99">
        <v>32140.799999999996</v>
      </c>
      <c r="V66" s="99">
        <v>22</v>
      </c>
      <c r="W66" s="99">
        <v>26188.799999999996</v>
      </c>
      <c r="X66" s="99">
        <v>21</v>
      </c>
      <c r="Y66" s="99">
        <v>24998.399999999998</v>
      </c>
      <c r="Z66" s="99">
        <v>23</v>
      </c>
      <c r="AA66" s="99">
        <v>27379.199999999997</v>
      </c>
      <c r="AB66" s="99">
        <v>14</v>
      </c>
      <c r="AC66" s="99">
        <v>16665.599999999999</v>
      </c>
      <c r="AD66" s="99">
        <v>25</v>
      </c>
      <c r="AE66" s="99">
        <v>29759.999999999996</v>
      </c>
      <c r="AF66" s="99">
        <v>23.47874794736493</v>
      </c>
      <c r="AG66" s="99">
        <v>27949.10155654321</v>
      </c>
      <c r="AH66" s="99">
        <v>0</v>
      </c>
      <c r="AI66" s="99">
        <v>0</v>
      </c>
      <c r="AJ66" s="99">
        <v>31</v>
      </c>
      <c r="AK66" s="99">
        <v>36902.399999999994</v>
      </c>
      <c r="AL66" s="99">
        <v>31</v>
      </c>
      <c r="AM66" s="99">
        <v>36902.399999999994</v>
      </c>
      <c r="AN66" s="99">
        <v>21</v>
      </c>
      <c r="AO66" s="99">
        <v>24998.399999999998</v>
      </c>
      <c r="AP66" s="99">
        <v>17</v>
      </c>
      <c r="AQ66" s="99">
        <v>20236.8</v>
      </c>
      <c r="AR66" s="99">
        <v>27</v>
      </c>
      <c r="AS66" s="99">
        <v>32140.799999999996</v>
      </c>
      <c r="AT66" s="99">
        <v>8.447718830400003</v>
      </c>
      <c r="AU66" s="99">
        <v>10056.164495708163</v>
      </c>
      <c r="AV66" s="99">
        <v>18</v>
      </c>
      <c r="AW66" s="99">
        <v>21427.199999999997</v>
      </c>
      <c r="AX66" s="99">
        <v>18</v>
      </c>
      <c r="AY66" s="99">
        <v>21427.199999999997</v>
      </c>
      <c r="AZ66" s="99">
        <v>21</v>
      </c>
      <c r="BA66" s="99">
        <v>24998.399999999998</v>
      </c>
      <c r="BB66" s="99">
        <v>22</v>
      </c>
      <c r="BC66" s="99">
        <v>26188.799999999996</v>
      </c>
      <c r="BD66" s="99">
        <v>31</v>
      </c>
      <c r="BE66" s="99">
        <v>36902.399999999994</v>
      </c>
      <c r="BF66" s="99">
        <v>30</v>
      </c>
      <c r="BG66" s="99">
        <v>35711.999999999993</v>
      </c>
      <c r="BH66" s="99">
        <v>26.966290201281691</v>
      </c>
      <c r="BI66" s="99">
        <v>32100.67185560572</v>
      </c>
      <c r="BJ66" s="99">
        <v>23.027891117138143</v>
      </c>
      <c r="BK66" s="99">
        <v>27412.401585841242</v>
      </c>
      <c r="BL66" s="99">
        <v>11.809560737219622</v>
      </c>
      <c r="BM66" s="99">
        <v>14058.101101586237</v>
      </c>
      <c r="BN66" s="99">
        <v>9.8754697495326678</v>
      </c>
      <c r="BO66" s="99">
        <v>11755.759189843686</v>
      </c>
      <c r="BP66" s="99">
        <v>26</v>
      </c>
      <c r="BQ66" s="99">
        <v>30950.399999999998</v>
      </c>
      <c r="BR66" s="99">
        <v>20.299511334002002</v>
      </c>
      <c r="BS66" s="99">
        <v>24164.538291995981</v>
      </c>
      <c r="BT66" s="99">
        <v>23</v>
      </c>
      <c r="BU66" s="99">
        <v>27379.199999999997</v>
      </c>
      <c r="BV66" s="99">
        <v>13.920804190476188</v>
      </c>
      <c r="BW66" s="99">
        <v>16571.325308342854</v>
      </c>
      <c r="BX66" s="99">
        <v>7.2782664216234041</v>
      </c>
      <c r="BY66" s="99">
        <v>8664.0483483004991</v>
      </c>
      <c r="BZ66" s="99">
        <v>0</v>
      </c>
      <c r="CA66" s="99">
        <v>0</v>
      </c>
      <c r="CB66" s="99">
        <v>17</v>
      </c>
      <c r="CC66" s="99">
        <v>20236.8</v>
      </c>
      <c r="CD66" s="99">
        <v>20</v>
      </c>
      <c r="CE66" s="99">
        <v>23807.999999999996</v>
      </c>
      <c r="CF66" s="99">
        <v>29</v>
      </c>
      <c r="CG66" s="99">
        <v>34521.599999999999</v>
      </c>
      <c r="CH66" s="99">
        <v>10.169088820239283</v>
      </c>
      <c r="CI66" s="99">
        <v>12105.283331612842</v>
      </c>
      <c r="CJ66" s="99">
        <v>0</v>
      </c>
      <c r="CK66" s="99">
        <v>0</v>
      </c>
      <c r="CL66" s="99">
        <v>0</v>
      </c>
      <c r="CM66" s="99">
        <v>0</v>
      </c>
      <c r="CN66" s="99">
        <v>25</v>
      </c>
      <c r="CO66" s="99">
        <v>29759.999999999996</v>
      </c>
      <c r="CP66" s="99">
        <v>25</v>
      </c>
      <c r="CQ66" s="99">
        <v>29759.999999999996</v>
      </c>
      <c r="CR66" s="99">
        <v>10.247821742651642</v>
      </c>
      <c r="CS66" s="99">
        <v>12199.007002452512</v>
      </c>
      <c r="CT66" s="99">
        <v>8.9317406261087928</v>
      </c>
      <c r="CU66" s="99">
        <v>10632.344041319906</v>
      </c>
    </row>
    <row r="67" spans="2:99">
      <c r="C67" s="98" t="s">
        <v>232</v>
      </c>
      <c r="D67" s="99">
        <v>0</v>
      </c>
      <c r="E67" s="99">
        <v>0</v>
      </c>
      <c r="F67" s="99">
        <v>0</v>
      </c>
      <c r="G67" s="99">
        <v>0</v>
      </c>
      <c r="H67" s="99">
        <v>9.7447157135834672</v>
      </c>
      <c r="I67" s="99">
        <v>10945.264689496951</v>
      </c>
      <c r="J67" s="99">
        <v>9.8051657811729633</v>
      </c>
      <c r="K67" s="99">
        <v>11013.162205413473</v>
      </c>
      <c r="L67" s="99">
        <v>24</v>
      </c>
      <c r="M67" s="99">
        <v>26956.800000000003</v>
      </c>
      <c r="N67" s="99">
        <v>31</v>
      </c>
      <c r="O67" s="99">
        <v>34819.200000000004</v>
      </c>
      <c r="P67" s="99">
        <v>22</v>
      </c>
      <c r="Q67" s="99">
        <v>24710.400000000001</v>
      </c>
      <c r="R67" s="99">
        <v>16.295640869732999</v>
      </c>
      <c r="S67" s="99">
        <v>18303.263824884107</v>
      </c>
      <c r="T67" s="99">
        <v>29</v>
      </c>
      <c r="U67" s="99">
        <v>32572.800000000003</v>
      </c>
      <c r="V67" s="99">
        <v>21</v>
      </c>
      <c r="W67" s="99">
        <v>23587.200000000001</v>
      </c>
      <c r="X67" s="99">
        <v>23</v>
      </c>
      <c r="Y67" s="99">
        <v>25833.600000000002</v>
      </c>
      <c r="Z67" s="99">
        <v>21</v>
      </c>
      <c r="AA67" s="99">
        <v>23587.200000000001</v>
      </c>
      <c r="AB67" s="99">
        <v>16</v>
      </c>
      <c r="AC67" s="99">
        <v>17971.2</v>
      </c>
      <c r="AD67" s="99">
        <v>28</v>
      </c>
      <c r="AE67" s="99">
        <v>31449.600000000002</v>
      </c>
      <c r="AF67" s="99">
        <v>24.41789786525953</v>
      </c>
      <c r="AG67" s="99">
        <v>27426.182882259505</v>
      </c>
      <c r="AH67" s="99">
        <v>0</v>
      </c>
      <c r="AI67" s="99">
        <v>0</v>
      </c>
      <c r="AJ67" s="99">
        <v>32</v>
      </c>
      <c r="AK67" s="99">
        <v>35942.400000000001</v>
      </c>
      <c r="AL67" s="99">
        <v>29</v>
      </c>
      <c r="AM67" s="99">
        <v>32572.800000000003</v>
      </c>
      <c r="AN67" s="99">
        <v>23</v>
      </c>
      <c r="AO67" s="99">
        <v>25833.600000000002</v>
      </c>
      <c r="AP67" s="99">
        <v>16</v>
      </c>
      <c r="AQ67" s="99">
        <v>17971.2</v>
      </c>
      <c r="AR67" s="99">
        <v>23</v>
      </c>
      <c r="AS67" s="99">
        <v>25833.600000000002</v>
      </c>
      <c r="AT67" s="99">
        <v>9.9384927416470639</v>
      </c>
      <c r="AU67" s="99">
        <v>11162.915047417982</v>
      </c>
      <c r="AV67" s="99">
        <v>18</v>
      </c>
      <c r="AW67" s="99">
        <v>20217.600000000002</v>
      </c>
      <c r="AX67" s="99">
        <v>15</v>
      </c>
      <c r="AY67" s="99">
        <v>16848</v>
      </c>
      <c r="AZ67" s="99">
        <v>20</v>
      </c>
      <c r="BA67" s="99">
        <v>22464</v>
      </c>
      <c r="BB67" s="99">
        <v>22</v>
      </c>
      <c r="BC67" s="99">
        <v>24710.400000000001</v>
      </c>
      <c r="BD67" s="99">
        <v>32</v>
      </c>
      <c r="BE67" s="99">
        <v>35942.400000000001</v>
      </c>
      <c r="BF67" s="99">
        <v>29</v>
      </c>
      <c r="BG67" s="99">
        <v>32572.800000000003</v>
      </c>
      <c r="BH67" s="99">
        <v>27.896162277187955</v>
      </c>
      <c r="BI67" s="99">
        <v>31332.969469737513</v>
      </c>
      <c r="BJ67" s="99">
        <v>23.027891117138143</v>
      </c>
      <c r="BK67" s="99">
        <v>25864.927302769564</v>
      </c>
      <c r="BL67" s="99">
        <v>10.566449080670189</v>
      </c>
      <c r="BM67" s="99">
        <v>11868.235607408757</v>
      </c>
      <c r="BN67" s="99">
        <v>9.8754697495326678</v>
      </c>
      <c r="BO67" s="99">
        <v>11092.127622675092</v>
      </c>
      <c r="BP67" s="99">
        <v>26</v>
      </c>
      <c r="BQ67" s="99">
        <v>29203.200000000001</v>
      </c>
      <c r="BR67" s="99">
        <v>18.124563691073217</v>
      </c>
      <c r="BS67" s="99">
        <v>20357.509937813436</v>
      </c>
      <c r="BT67" s="99">
        <v>22</v>
      </c>
      <c r="BU67" s="99">
        <v>24710.400000000001</v>
      </c>
      <c r="BV67" s="99">
        <v>13.920804190476188</v>
      </c>
      <c r="BW67" s="99">
        <v>15635.847266742856</v>
      </c>
      <c r="BX67" s="99">
        <v>7.2782664216234041</v>
      </c>
      <c r="BY67" s="99">
        <v>8174.9488447674075</v>
      </c>
      <c r="BZ67" s="99">
        <v>0</v>
      </c>
      <c r="CA67" s="99">
        <v>0</v>
      </c>
      <c r="CB67" s="99">
        <v>19</v>
      </c>
      <c r="CC67" s="99">
        <v>21340.799999999999</v>
      </c>
      <c r="CD67" s="99">
        <v>20</v>
      </c>
      <c r="CE67" s="99">
        <v>22464</v>
      </c>
      <c r="CF67" s="99">
        <v>28</v>
      </c>
      <c r="CG67" s="99">
        <v>31449.600000000002</v>
      </c>
      <c r="CH67" s="99">
        <v>11.555782750271913</v>
      </c>
      <c r="CI67" s="99">
        <v>12979.455185105413</v>
      </c>
      <c r="CJ67" s="99">
        <v>0</v>
      </c>
      <c r="CK67" s="99">
        <v>0</v>
      </c>
      <c r="CL67" s="99">
        <v>0</v>
      </c>
      <c r="CM67" s="99">
        <v>0</v>
      </c>
      <c r="CN67" s="99">
        <v>25</v>
      </c>
      <c r="CO67" s="99">
        <v>28080</v>
      </c>
      <c r="CP67" s="99">
        <v>27</v>
      </c>
      <c r="CQ67" s="99">
        <v>30326.400000000001</v>
      </c>
      <c r="CR67" s="99">
        <v>10.247821742651642</v>
      </c>
      <c r="CS67" s="99">
        <v>11510.353381346324</v>
      </c>
      <c r="CT67" s="99">
        <v>10.585766667980792</v>
      </c>
      <c r="CU67" s="99">
        <v>11889.933121476026</v>
      </c>
    </row>
    <row r="68" spans="2:99">
      <c r="C68" s="98" t="s">
        <v>233</v>
      </c>
      <c r="D68" s="99">
        <v>0</v>
      </c>
      <c r="E68" s="99">
        <v>0</v>
      </c>
      <c r="F68" s="99">
        <v>0</v>
      </c>
      <c r="G68" s="99">
        <v>0</v>
      </c>
      <c r="H68" s="99">
        <v>10.440766835982288</v>
      </c>
      <c r="I68" s="99">
        <v>10787.400294936901</v>
      </c>
      <c r="J68" s="99">
        <v>10.622262929604043</v>
      </c>
      <c r="K68" s="99">
        <v>10974.922058866898</v>
      </c>
      <c r="L68" s="99">
        <v>28</v>
      </c>
      <c r="M68" s="99">
        <v>28929.600000000002</v>
      </c>
      <c r="N68" s="99">
        <v>29</v>
      </c>
      <c r="O68" s="99">
        <v>29962.800000000003</v>
      </c>
      <c r="P68" s="99">
        <v>23</v>
      </c>
      <c r="Q68" s="99">
        <v>23763.600000000002</v>
      </c>
      <c r="R68" s="99">
        <v>15.171803568372104</v>
      </c>
      <c r="S68" s="99">
        <v>15675.507446842059</v>
      </c>
      <c r="T68" s="99">
        <v>29</v>
      </c>
      <c r="U68" s="99">
        <v>29962.800000000003</v>
      </c>
      <c r="V68" s="99">
        <v>21</v>
      </c>
      <c r="W68" s="99">
        <v>21697.200000000001</v>
      </c>
      <c r="X68" s="99">
        <v>23</v>
      </c>
      <c r="Y68" s="99">
        <v>23763.600000000002</v>
      </c>
      <c r="Z68" s="99">
        <v>24</v>
      </c>
      <c r="AA68" s="99">
        <v>24796.800000000003</v>
      </c>
      <c r="AB68" s="99">
        <v>16</v>
      </c>
      <c r="AC68" s="99">
        <v>16531.2</v>
      </c>
      <c r="AD68" s="99">
        <v>25</v>
      </c>
      <c r="AE68" s="99">
        <v>25830</v>
      </c>
      <c r="AF68" s="99">
        <v>23.47874794736493</v>
      </c>
      <c r="AG68" s="99">
        <v>24258.242379217445</v>
      </c>
      <c r="AH68" s="99">
        <v>0</v>
      </c>
      <c r="AI68" s="99">
        <v>0</v>
      </c>
      <c r="AJ68" s="99">
        <v>28</v>
      </c>
      <c r="AK68" s="99">
        <v>28929.600000000002</v>
      </c>
      <c r="AL68" s="99">
        <v>28</v>
      </c>
      <c r="AM68" s="99">
        <v>28929.600000000002</v>
      </c>
      <c r="AN68" s="99">
        <v>20</v>
      </c>
      <c r="AO68" s="99">
        <v>20664</v>
      </c>
      <c r="AP68" s="99">
        <v>16</v>
      </c>
      <c r="AQ68" s="99">
        <v>16531.2</v>
      </c>
      <c r="AR68" s="99">
        <v>26</v>
      </c>
      <c r="AS68" s="99">
        <v>26863.200000000001</v>
      </c>
      <c r="AT68" s="99">
        <v>10.435417378729415</v>
      </c>
      <c r="AU68" s="99">
        <v>10781.873235703231</v>
      </c>
      <c r="AV68" s="99">
        <v>17</v>
      </c>
      <c r="AW68" s="99">
        <v>17564.400000000001</v>
      </c>
      <c r="AX68" s="99">
        <v>17</v>
      </c>
      <c r="AY68" s="99">
        <v>17564.400000000001</v>
      </c>
      <c r="AZ68" s="99">
        <v>21</v>
      </c>
      <c r="BA68" s="99">
        <v>21697.200000000001</v>
      </c>
      <c r="BB68" s="99">
        <v>20</v>
      </c>
      <c r="BC68" s="99">
        <v>20664</v>
      </c>
      <c r="BD68" s="99">
        <v>28</v>
      </c>
      <c r="BE68" s="99">
        <v>28929.600000000002</v>
      </c>
      <c r="BF68" s="99">
        <v>26</v>
      </c>
      <c r="BG68" s="99">
        <v>26863.200000000001</v>
      </c>
      <c r="BH68" s="99">
        <v>26.036418125375427</v>
      </c>
      <c r="BI68" s="99">
        <v>26900.827207137892</v>
      </c>
      <c r="BJ68" s="99">
        <v>23.91357923702807</v>
      </c>
      <c r="BK68" s="99">
        <v>24707.510067697403</v>
      </c>
      <c r="BL68" s="99">
        <v>10.566449080670189</v>
      </c>
      <c r="BM68" s="99">
        <v>10917.25519014844</v>
      </c>
      <c r="BN68" s="99">
        <v>9.5349363098936095</v>
      </c>
      <c r="BO68" s="99">
        <v>9851.4961953820784</v>
      </c>
      <c r="BP68" s="99">
        <v>30</v>
      </c>
      <c r="BQ68" s="99">
        <v>30996</v>
      </c>
      <c r="BR68" s="99">
        <v>20.299511334002002</v>
      </c>
      <c r="BS68" s="99">
        <v>20973.45511029087</v>
      </c>
      <c r="BT68" s="99">
        <v>22</v>
      </c>
      <c r="BU68" s="99">
        <v>22730.400000000001</v>
      </c>
      <c r="BV68" s="99">
        <v>12.455456380952377</v>
      </c>
      <c r="BW68" s="99">
        <v>12868.977532799996</v>
      </c>
      <c r="BX68" s="99">
        <v>8.6429413756777915</v>
      </c>
      <c r="BY68" s="99">
        <v>8929.8870293502951</v>
      </c>
      <c r="BZ68" s="99">
        <v>0</v>
      </c>
      <c r="CA68" s="99">
        <v>0</v>
      </c>
      <c r="CB68" s="99">
        <v>16</v>
      </c>
      <c r="CC68" s="99">
        <v>16531.2</v>
      </c>
      <c r="CD68" s="99">
        <v>20</v>
      </c>
      <c r="CE68" s="99">
        <v>20664</v>
      </c>
      <c r="CF68" s="99">
        <v>29</v>
      </c>
      <c r="CG68" s="99">
        <v>29962.800000000003</v>
      </c>
      <c r="CH68" s="99">
        <v>11.555782750271913</v>
      </c>
      <c r="CI68" s="99">
        <v>11939.434737580941</v>
      </c>
      <c r="CJ68" s="99">
        <v>0</v>
      </c>
      <c r="CK68" s="99">
        <v>0</v>
      </c>
      <c r="CL68" s="99">
        <v>0</v>
      </c>
      <c r="CM68" s="99">
        <v>0</v>
      </c>
      <c r="CN68" s="99">
        <v>26</v>
      </c>
      <c r="CO68" s="99">
        <v>26863.200000000001</v>
      </c>
      <c r="CP68" s="99">
        <v>25</v>
      </c>
      <c r="CQ68" s="99">
        <v>25830</v>
      </c>
      <c r="CR68" s="99">
        <v>9.6073328837359142</v>
      </c>
      <c r="CS68" s="99">
        <v>9926.2963354759468</v>
      </c>
      <c r="CT68" s="99">
        <v>10.916571876355194</v>
      </c>
      <c r="CU68" s="99">
        <v>11279.002062650186</v>
      </c>
    </row>
    <row r="69" spans="2:99">
      <c r="C69" s="98" t="s">
        <v>234</v>
      </c>
      <c r="D69" s="99">
        <v>0</v>
      </c>
      <c r="E69" s="99">
        <v>0</v>
      </c>
      <c r="F69" s="99">
        <v>0</v>
      </c>
      <c r="G69" s="99">
        <v>0</v>
      </c>
      <c r="H69" s="99">
        <v>11.136817958381105</v>
      </c>
      <c r="I69" s="99">
        <v>8446.1627396362292</v>
      </c>
      <c r="J69" s="99">
        <v>12.256457226466205</v>
      </c>
      <c r="K69" s="99">
        <v>9295.2971605519688</v>
      </c>
      <c r="L69" s="99">
        <v>25</v>
      </c>
      <c r="M69" s="99">
        <v>18960</v>
      </c>
      <c r="N69" s="99">
        <v>30</v>
      </c>
      <c r="O69" s="99">
        <v>22752</v>
      </c>
      <c r="P69" s="99">
        <v>22</v>
      </c>
      <c r="Q69" s="99">
        <v>16684.8</v>
      </c>
      <c r="R69" s="99">
        <v>16.295640869732999</v>
      </c>
      <c r="S69" s="99">
        <v>12358.614035605506</v>
      </c>
      <c r="T69" s="99">
        <v>26</v>
      </c>
      <c r="U69" s="99">
        <v>19718.399999999998</v>
      </c>
      <c r="V69" s="99">
        <v>19</v>
      </c>
      <c r="W69" s="99">
        <v>14409.6</v>
      </c>
      <c r="X69" s="99">
        <v>21</v>
      </c>
      <c r="Y69" s="99">
        <v>15926.4</v>
      </c>
      <c r="Z69" s="99">
        <v>25</v>
      </c>
      <c r="AA69" s="99">
        <v>18960</v>
      </c>
      <c r="AB69" s="99">
        <v>15</v>
      </c>
      <c r="AC69" s="99">
        <v>11376</v>
      </c>
      <c r="AD69" s="99">
        <v>27</v>
      </c>
      <c r="AE69" s="99">
        <v>20476.8</v>
      </c>
      <c r="AF69" s="99">
        <v>23.47874794736493</v>
      </c>
      <c r="AG69" s="99">
        <v>17806.282443281561</v>
      </c>
      <c r="AH69" s="99">
        <v>0</v>
      </c>
      <c r="AI69" s="99">
        <v>0</v>
      </c>
      <c r="AJ69" s="99">
        <v>33</v>
      </c>
      <c r="AK69" s="99">
        <v>25027.200000000001</v>
      </c>
      <c r="AL69" s="99">
        <v>28</v>
      </c>
      <c r="AM69" s="99">
        <v>21235.200000000001</v>
      </c>
      <c r="AN69" s="99">
        <v>23</v>
      </c>
      <c r="AO69" s="99">
        <v>17443.2</v>
      </c>
      <c r="AP69" s="99">
        <v>18</v>
      </c>
      <c r="AQ69" s="99">
        <v>13651.199999999999</v>
      </c>
      <c r="AR69" s="99">
        <v>25</v>
      </c>
      <c r="AS69" s="99">
        <v>18960</v>
      </c>
      <c r="AT69" s="99">
        <v>8.9446434674823561</v>
      </c>
      <c r="AU69" s="99">
        <v>6783.6176057386183</v>
      </c>
      <c r="AV69" s="99">
        <v>19</v>
      </c>
      <c r="AW69" s="99">
        <v>14409.6</v>
      </c>
      <c r="AX69" s="99">
        <v>18</v>
      </c>
      <c r="AY69" s="99">
        <v>13651.199999999999</v>
      </c>
      <c r="AZ69" s="99">
        <v>20</v>
      </c>
      <c r="BA69" s="99">
        <v>15168</v>
      </c>
      <c r="BB69" s="99">
        <v>20</v>
      </c>
      <c r="BC69" s="99">
        <v>15168</v>
      </c>
      <c r="BD69" s="99">
        <v>29</v>
      </c>
      <c r="BE69" s="99">
        <v>21993.599999999999</v>
      </c>
      <c r="BF69" s="99">
        <v>27</v>
      </c>
      <c r="BG69" s="99">
        <v>20476.8</v>
      </c>
      <c r="BH69" s="99">
        <v>30.68577850490675</v>
      </c>
      <c r="BI69" s="99">
        <v>23272.09441812128</v>
      </c>
      <c r="BJ69" s="99">
        <v>23.027891117138143</v>
      </c>
      <c r="BK69" s="99">
        <v>17464.352623237566</v>
      </c>
      <c r="BL69" s="99">
        <v>12.431116565494341</v>
      </c>
      <c r="BM69" s="99">
        <v>9427.7588032709082</v>
      </c>
      <c r="BN69" s="99">
        <v>9.1944028702545531</v>
      </c>
      <c r="BO69" s="99">
        <v>6973.0351368010524</v>
      </c>
      <c r="BP69" s="99">
        <v>32</v>
      </c>
      <c r="BQ69" s="99">
        <v>24268.799999999999</v>
      </c>
      <c r="BR69" s="99">
        <v>18.124563691073217</v>
      </c>
      <c r="BS69" s="99">
        <v>13745.669103309927</v>
      </c>
      <c r="BT69" s="99">
        <v>21</v>
      </c>
      <c r="BU69" s="99">
        <v>15926.4</v>
      </c>
      <c r="BV69" s="99">
        <v>13.920804190476188</v>
      </c>
      <c r="BW69" s="99">
        <v>10557.53789805714</v>
      </c>
      <c r="BX69" s="99">
        <v>8.1880497243263299</v>
      </c>
      <c r="BY69" s="99">
        <v>6209.8169109290884</v>
      </c>
      <c r="BZ69" s="99">
        <v>0</v>
      </c>
      <c r="CA69" s="99">
        <v>0</v>
      </c>
      <c r="CB69" s="99">
        <v>16</v>
      </c>
      <c r="CC69" s="99">
        <v>12134.4</v>
      </c>
      <c r="CD69" s="99">
        <v>23</v>
      </c>
      <c r="CE69" s="99">
        <v>17443.2</v>
      </c>
      <c r="CF69" s="99">
        <v>31</v>
      </c>
      <c r="CG69" s="99">
        <v>23510.399999999998</v>
      </c>
      <c r="CH69" s="99">
        <v>10.63132013025016</v>
      </c>
      <c r="CI69" s="99">
        <v>8062.7931867817206</v>
      </c>
      <c r="CJ69" s="99">
        <v>0</v>
      </c>
      <c r="CK69" s="99">
        <v>0</v>
      </c>
      <c r="CL69" s="99">
        <v>0</v>
      </c>
      <c r="CM69" s="99">
        <v>0</v>
      </c>
      <c r="CN69" s="99">
        <v>25</v>
      </c>
      <c r="CO69" s="99">
        <v>18960</v>
      </c>
      <c r="CP69" s="99">
        <v>27</v>
      </c>
      <c r="CQ69" s="99">
        <v>20476.8</v>
      </c>
      <c r="CR69" s="99">
        <v>11.528799460483098</v>
      </c>
      <c r="CS69" s="99">
        <v>8743.441510830382</v>
      </c>
      <c r="CT69" s="99">
        <v>9.262545834483193</v>
      </c>
      <c r="CU69" s="99">
        <v>7024.7147608720534</v>
      </c>
    </row>
    <row r="70" spans="2:99">
      <c r="C70" s="98" t="s">
        <v>235</v>
      </c>
      <c r="D70" s="99">
        <v>0</v>
      </c>
      <c r="E70" s="99">
        <v>0</v>
      </c>
      <c r="F70" s="99">
        <v>0</v>
      </c>
      <c r="G70" s="99">
        <v>0</v>
      </c>
      <c r="H70" s="99">
        <v>10.440766835982288</v>
      </c>
      <c r="I70" s="99">
        <v>5587.8984106177195</v>
      </c>
      <c r="J70" s="99">
        <v>12.256457226466205</v>
      </c>
      <c r="K70" s="99">
        <v>6559.6559076047124</v>
      </c>
      <c r="L70" s="99">
        <v>31</v>
      </c>
      <c r="M70" s="99">
        <v>16591.199999999997</v>
      </c>
      <c r="N70" s="99">
        <v>32</v>
      </c>
      <c r="O70" s="99">
        <v>17126.399999999998</v>
      </c>
      <c r="P70" s="99">
        <v>25</v>
      </c>
      <c r="Q70" s="99">
        <v>13379.999999999998</v>
      </c>
      <c r="R70" s="99">
        <v>17.419478171093896</v>
      </c>
      <c r="S70" s="99">
        <v>9322.9047171694529</v>
      </c>
      <c r="T70" s="99">
        <v>31</v>
      </c>
      <c r="U70" s="99">
        <v>16591.199999999997</v>
      </c>
      <c r="V70" s="99">
        <v>23</v>
      </c>
      <c r="W70" s="99">
        <v>12309.599999999999</v>
      </c>
      <c r="X70" s="99">
        <v>23</v>
      </c>
      <c r="Y70" s="99">
        <v>12309.599999999999</v>
      </c>
      <c r="Z70" s="99">
        <v>24</v>
      </c>
      <c r="AA70" s="99">
        <v>12844.8</v>
      </c>
      <c r="AB70" s="99">
        <v>16</v>
      </c>
      <c r="AC70" s="99">
        <v>8563.1999999999989</v>
      </c>
      <c r="AD70" s="99">
        <v>25</v>
      </c>
      <c r="AE70" s="99">
        <v>13379.999999999998</v>
      </c>
      <c r="AF70" s="99">
        <v>24.41789786525953</v>
      </c>
      <c r="AG70" s="99">
        <v>13068.458937486899</v>
      </c>
      <c r="AH70" s="99">
        <v>0</v>
      </c>
      <c r="AI70" s="99">
        <v>0</v>
      </c>
      <c r="AJ70" s="99">
        <v>28</v>
      </c>
      <c r="AK70" s="99">
        <v>14985.599999999999</v>
      </c>
      <c r="AL70" s="99">
        <v>34</v>
      </c>
      <c r="AM70" s="99">
        <v>18196.8</v>
      </c>
      <c r="AN70" s="99">
        <v>24</v>
      </c>
      <c r="AO70" s="99">
        <v>12844.8</v>
      </c>
      <c r="AP70" s="99">
        <v>17</v>
      </c>
      <c r="AQ70" s="99">
        <v>9098.4</v>
      </c>
      <c r="AR70" s="99">
        <v>27</v>
      </c>
      <c r="AS70" s="99">
        <v>14450.399999999998</v>
      </c>
      <c r="AT70" s="99">
        <v>10.435417378729415</v>
      </c>
      <c r="AU70" s="99">
        <v>5585.0353810959823</v>
      </c>
      <c r="AV70" s="99">
        <v>19</v>
      </c>
      <c r="AW70" s="99">
        <v>10168.799999999999</v>
      </c>
      <c r="AX70" s="99">
        <v>17</v>
      </c>
      <c r="AY70" s="99">
        <v>9098.4</v>
      </c>
      <c r="AZ70" s="99">
        <v>20</v>
      </c>
      <c r="BA70" s="99">
        <v>10703.999999999998</v>
      </c>
      <c r="BB70" s="99">
        <v>23</v>
      </c>
      <c r="BC70" s="99">
        <v>12309.599999999999</v>
      </c>
      <c r="BD70" s="99">
        <v>31</v>
      </c>
      <c r="BE70" s="99">
        <v>16591.199999999997</v>
      </c>
      <c r="BF70" s="99">
        <v>28</v>
      </c>
      <c r="BG70" s="99">
        <v>14985.599999999999</v>
      </c>
      <c r="BH70" s="99">
        <v>27.896162277187955</v>
      </c>
      <c r="BI70" s="99">
        <v>14930.026050750992</v>
      </c>
      <c r="BJ70" s="99">
        <v>25.684955476807925</v>
      </c>
      <c r="BK70" s="99">
        <v>13746.588171187599</v>
      </c>
      <c r="BL70" s="99">
        <v>11.809560737219622</v>
      </c>
      <c r="BM70" s="99">
        <v>6320.4769065599403</v>
      </c>
      <c r="BN70" s="99">
        <v>11.237603508088897</v>
      </c>
      <c r="BO70" s="99">
        <v>6014.3653975291772</v>
      </c>
      <c r="BP70" s="99">
        <v>30</v>
      </c>
      <c r="BQ70" s="99">
        <v>16055.999999999998</v>
      </c>
      <c r="BR70" s="99">
        <v>21.024493881644929</v>
      </c>
      <c r="BS70" s="99">
        <v>11252.309125456364</v>
      </c>
      <c r="BT70" s="99">
        <v>22</v>
      </c>
      <c r="BU70" s="99">
        <v>11774.399999999998</v>
      </c>
      <c r="BV70" s="99">
        <v>13.920804190476188</v>
      </c>
      <c r="BW70" s="99">
        <v>7450.4144027428547</v>
      </c>
      <c r="BX70" s="99">
        <v>8.6429413756777915</v>
      </c>
      <c r="BY70" s="99">
        <v>4625.7022242627536</v>
      </c>
      <c r="BZ70" s="99">
        <v>0</v>
      </c>
      <c r="CA70" s="99">
        <v>0</v>
      </c>
      <c r="CB70" s="99">
        <v>20</v>
      </c>
      <c r="CC70" s="99">
        <v>10703.999999999998</v>
      </c>
      <c r="CD70" s="99">
        <v>20</v>
      </c>
      <c r="CE70" s="99">
        <v>10703.999999999998</v>
      </c>
      <c r="CF70" s="99">
        <v>28</v>
      </c>
      <c r="CG70" s="99">
        <v>14985.599999999999</v>
      </c>
      <c r="CH70" s="99">
        <v>11.555782750271913</v>
      </c>
      <c r="CI70" s="99">
        <v>6184.6549279455267</v>
      </c>
      <c r="CJ70" s="99">
        <v>0</v>
      </c>
      <c r="CK70" s="99">
        <v>0</v>
      </c>
      <c r="CL70" s="99">
        <v>0</v>
      </c>
      <c r="CM70" s="99">
        <v>0</v>
      </c>
      <c r="CN70" s="99">
        <v>26</v>
      </c>
      <c r="CO70" s="99">
        <v>13915.199999999999</v>
      </c>
      <c r="CP70" s="99">
        <v>27</v>
      </c>
      <c r="CQ70" s="99">
        <v>14450.399999999998</v>
      </c>
      <c r="CR70" s="99">
        <v>10.888310601567371</v>
      </c>
      <c r="CS70" s="99">
        <v>5827.4238339588564</v>
      </c>
      <c r="CT70" s="99">
        <v>11.247377084729591</v>
      </c>
      <c r="CU70" s="99">
        <v>6019.5962157472759</v>
      </c>
    </row>
    <row r="71" spans="2:99">
      <c r="B71" s="98" t="s">
        <v>130</v>
      </c>
      <c r="C71" s="98" t="s">
        <v>236</v>
      </c>
      <c r="D71" s="99">
        <v>0</v>
      </c>
      <c r="E71" s="99">
        <v>0</v>
      </c>
      <c r="F71" s="99">
        <v>0</v>
      </c>
      <c r="G71" s="99">
        <v>0</v>
      </c>
      <c r="H71" s="99">
        <v>8.0937326173810007</v>
      </c>
      <c r="I71" s="99">
        <v>4564.8651962028844</v>
      </c>
      <c r="J71" s="99">
        <v>11</v>
      </c>
      <c r="K71" s="99">
        <v>6204</v>
      </c>
      <c r="L71" s="99">
        <v>7</v>
      </c>
      <c r="M71" s="99">
        <v>3948</v>
      </c>
      <c r="N71" s="99">
        <v>8</v>
      </c>
      <c r="O71" s="99">
        <v>4512</v>
      </c>
      <c r="P71" s="99">
        <v>8</v>
      </c>
      <c r="Q71" s="99">
        <v>4512</v>
      </c>
      <c r="R71" s="99">
        <v>10</v>
      </c>
      <c r="S71" s="99">
        <v>5640</v>
      </c>
      <c r="T71" s="99">
        <v>6</v>
      </c>
      <c r="U71" s="99">
        <v>3384</v>
      </c>
      <c r="V71" s="99">
        <v>11</v>
      </c>
      <c r="W71" s="99">
        <v>6204</v>
      </c>
      <c r="X71" s="99">
        <v>6</v>
      </c>
      <c r="Y71" s="99">
        <v>3384</v>
      </c>
      <c r="Z71" s="99">
        <v>6</v>
      </c>
      <c r="AA71" s="99">
        <v>3384</v>
      </c>
      <c r="AB71" s="99">
        <v>8</v>
      </c>
      <c r="AC71" s="99">
        <v>4512</v>
      </c>
      <c r="AD71" s="99">
        <v>8</v>
      </c>
      <c r="AE71" s="99">
        <v>4512</v>
      </c>
      <c r="AF71" s="99">
        <v>7</v>
      </c>
      <c r="AG71" s="99">
        <v>3948</v>
      </c>
      <c r="AH71" s="99">
        <v>6</v>
      </c>
      <c r="AI71" s="99">
        <v>3384</v>
      </c>
      <c r="AJ71" s="99">
        <v>7</v>
      </c>
      <c r="AK71" s="99">
        <v>3948</v>
      </c>
      <c r="AL71" s="99">
        <v>10</v>
      </c>
      <c r="AM71" s="99">
        <v>5640</v>
      </c>
      <c r="AN71" s="99">
        <v>9</v>
      </c>
      <c r="AO71" s="99">
        <v>5076</v>
      </c>
      <c r="AP71" s="99">
        <v>12</v>
      </c>
      <c r="AQ71" s="99">
        <v>6768</v>
      </c>
      <c r="AR71" s="99">
        <v>11</v>
      </c>
      <c r="AS71" s="99">
        <v>6204</v>
      </c>
      <c r="AT71" s="99">
        <v>11</v>
      </c>
      <c r="AU71" s="99">
        <v>6204</v>
      </c>
      <c r="AV71" s="99">
        <v>6</v>
      </c>
      <c r="AW71" s="99">
        <v>3384</v>
      </c>
      <c r="AX71" s="99">
        <v>9</v>
      </c>
      <c r="AY71" s="99">
        <v>5076</v>
      </c>
      <c r="AZ71" s="99">
        <v>8</v>
      </c>
      <c r="BA71" s="99">
        <v>4512</v>
      </c>
      <c r="BB71" s="99">
        <v>6</v>
      </c>
      <c r="BC71" s="99">
        <v>3384</v>
      </c>
      <c r="BD71" s="99">
        <v>10</v>
      </c>
      <c r="BE71" s="99">
        <v>5640</v>
      </c>
      <c r="BF71" s="99">
        <v>7</v>
      </c>
      <c r="BG71" s="99">
        <v>3948</v>
      </c>
      <c r="BH71" s="99">
        <v>8</v>
      </c>
      <c r="BI71" s="99">
        <v>4512</v>
      </c>
      <c r="BJ71" s="99">
        <v>6</v>
      </c>
      <c r="BK71" s="99">
        <v>3384</v>
      </c>
      <c r="BL71" s="99">
        <v>6</v>
      </c>
      <c r="BM71" s="99">
        <v>3384</v>
      </c>
      <c r="BN71" s="99">
        <v>10</v>
      </c>
      <c r="BO71" s="99">
        <v>5640</v>
      </c>
      <c r="BP71" s="99">
        <v>11</v>
      </c>
      <c r="BQ71" s="99">
        <v>6204</v>
      </c>
      <c r="BR71" s="99">
        <v>7</v>
      </c>
      <c r="BS71" s="99">
        <v>3948</v>
      </c>
      <c r="BT71" s="99">
        <v>9</v>
      </c>
      <c r="BU71" s="99">
        <v>5076</v>
      </c>
      <c r="BV71" s="99">
        <v>9</v>
      </c>
      <c r="BW71" s="99">
        <v>5076</v>
      </c>
      <c r="BX71" s="99">
        <v>8</v>
      </c>
      <c r="BY71" s="99">
        <v>4512</v>
      </c>
      <c r="BZ71" s="99">
        <v>11</v>
      </c>
      <c r="CA71" s="99">
        <v>6204</v>
      </c>
      <c r="CB71" s="99">
        <v>7</v>
      </c>
      <c r="CC71" s="99">
        <v>3948</v>
      </c>
      <c r="CD71" s="99">
        <v>11</v>
      </c>
      <c r="CE71" s="99">
        <v>6204</v>
      </c>
      <c r="CF71" s="99">
        <v>9</v>
      </c>
      <c r="CG71" s="99">
        <v>5076</v>
      </c>
      <c r="CH71" s="99">
        <v>7</v>
      </c>
      <c r="CI71" s="99">
        <v>3948</v>
      </c>
      <c r="CJ71" s="99">
        <v>11</v>
      </c>
      <c r="CK71" s="99">
        <v>6204</v>
      </c>
      <c r="CL71" s="99">
        <v>6</v>
      </c>
      <c r="CM71" s="99">
        <v>3384</v>
      </c>
      <c r="CN71" s="99">
        <v>10</v>
      </c>
      <c r="CO71" s="99">
        <v>5640</v>
      </c>
      <c r="CP71" s="99">
        <v>12</v>
      </c>
      <c r="CQ71" s="99">
        <v>6768</v>
      </c>
      <c r="CR71" s="99">
        <v>7</v>
      </c>
      <c r="CS71" s="99">
        <v>3948</v>
      </c>
      <c r="CT71" s="99">
        <v>12</v>
      </c>
      <c r="CU71" s="99">
        <v>6768</v>
      </c>
    </row>
    <row r="72" spans="2:99">
      <c r="C72" s="98" t="s">
        <v>237</v>
      </c>
      <c r="D72" s="99">
        <v>0</v>
      </c>
      <c r="E72" s="99">
        <v>0</v>
      </c>
      <c r="F72" s="99">
        <v>0</v>
      </c>
      <c r="G72" s="99">
        <v>0</v>
      </c>
      <c r="H72" s="99">
        <v>8.0937326173810007</v>
      </c>
      <c r="I72" s="99">
        <v>602.17370673314633</v>
      </c>
      <c r="J72" s="99">
        <v>10</v>
      </c>
      <c r="K72" s="99">
        <v>743.99999999999989</v>
      </c>
      <c r="L72" s="99">
        <v>7</v>
      </c>
      <c r="M72" s="99">
        <v>520.79999999999995</v>
      </c>
      <c r="N72" s="99">
        <v>8</v>
      </c>
      <c r="O72" s="99">
        <v>595.19999999999993</v>
      </c>
      <c r="P72" s="99">
        <v>10</v>
      </c>
      <c r="Q72" s="99">
        <v>743.99999999999989</v>
      </c>
      <c r="R72" s="99">
        <v>10</v>
      </c>
      <c r="S72" s="99">
        <v>743.99999999999989</v>
      </c>
      <c r="T72" s="99">
        <v>7</v>
      </c>
      <c r="U72" s="99">
        <v>520.79999999999995</v>
      </c>
      <c r="V72" s="99">
        <v>11</v>
      </c>
      <c r="W72" s="99">
        <v>818.39999999999986</v>
      </c>
      <c r="X72" s="99">
        <v>6</v>
      </c>
      <c r="Y72" s="99">
        <v>446.4</v>
      </c>
      <c r="Z72" s="99">
        <v>6</v>
      </c>
      <c r="AA72" s="99">
        <v>446.4</v>
      </c>
      <c r="AB72" s="99">
        <v>8</v>
      </c>
      <c r="AC72" s="99">
        <v>595.19999999999993</v>
      </c>
      <c r="AD72" s="99">
        <v>8</v>
      </c>
      <c r="AE72" s="99">
        <v>595.19999999999993</v>
      </c>
      <c r="AF72" s="99">
        <v>8</v>
      </c>
      <c r="AG72" s="99">
        <v>595.19999999999993</v>
      </c>
      <c r="AH72" s="99">
        <v>7</v>
      </c>
      <c r="AI72" s="99">
        <v>520.79999999999995</v>
      </c>
      <c r="AJ72" s="99">
        <v>8</v>
      </c>
      <c r="AK72" s="99">
        <v>595.19999999999993</v>
      </c>
      <c r="AL72" s="99">
        <v>10</v>
      </c>
      <c r="AM72" s="99">
        <v>743.99999999999989</v>
      </c>
      <c r="AN72" s="99">
        <v>9</v>
      </c>
      <c r="AO72" s="99">
        <v>669.59999999999991</v>
      </c>
      <c r="AP72" s="99">
        <v>11</v>
      </c>
      <c r="AQ72" s="99">
        <v>818.39999999999986</v>
      </c>
      <c r="AR72" s="99">
        <v>11</v>
      </c>
      <c r="AS72" s="99">
        <v>818.39999999999986</v>
      </c>
      <c r="AT72" s="99">
        <v>12</v>
      </c>
      <c r="AU72" s="99">
        <v>892.8</v>
      </c>
      <c r="AV72" s="99">
        <v>7</v>
      </c>
      <c r="AW72" s="99">
        <v>520.79999999999995</v>
      </c>
      <c r="AX72" s="99">
        <v>11</v>
      </c>
      <c r="AY72" s="99">
        <v>818.39999999999986</v>
      </c>
      <c r="AZ72" s="99">
        <v>7</v>
      </c>
      <c r="BA72" s="99">
        <v>520.79999999999995</v>
      </c>
      <c r="BB72" s="99">
        <v>6</v>
      </c>
      <c r="BC72" s="99">
        <v>446.4</v>
      </c>
      <c r="BD72" s="99">
        <v>9</v>
      </c>
      <c r="BE72" s="99">
        <v>669.59999999999991</v>
      </c>
      <c r="BF72" s="99">
        <v>6</v>
      </c>
      <c r="BG72" s="99">
        <v>446.4</v>
      </c>
      <c r="BH72" s="99">
        <v>8</v>
      </c>
      <c r="BI72" s="99">
        <v>595.19999999999993</v>
      </c>
      <c r="BJ72" s="99">
        <v>7</v>
      </c>
      <c r="BK72" s="99">
        <v>520.79999999999995</v>
      </c>
      <c r="BL72" s="99">
        <v>8</v>
      </c>
      <c r="BM72" s="99">
        <v>595.19999999999993</v>
      </c>
      <c r="BN72" s="99">
        <v>11</v>
      </c>
      <c r="BO72" s="99">
        <v>818.39999999999986</v>
      </c>
      <c r="BP72" s="99">
        <v>11</v>
      </c>
      <c r="BQ72" s="99">
        <v>818.39999999999986</v>
      </c>
      <c r="BR72" s="99">
        <v>7</v>
      </c>
      <c r="BS72" s="99">
        <v>520.79999999999995</v>
      </c>
      <c r="BT72" s="99">
        <v>9</v>
      </c>
      <c r="BU72" s="99">
        <v>669.59999999999991</v>
      </c>
      <c r="BV72" s="99">
        <v>10</v>
      </c>
      <c r="BW72" s="99">
        <v>743.99999999999989</v>
      </c>
      <c r="BX72" s="99">
        <v>8</v>
      </c>
      <c r="BY72" s="99">
        <v>595.19999999999993</v>
      </c>
      <c r="BZ72" s="99">
        <v>11</v>
      </c>
      <c r="CA72" s="99">
        <v>818.39999999999986</v>
      </c>
      <c r="CB72" s="99">
        <v>7</v>
      </c>
      <c r="CC72" s="99">
        <v>520.79999999999995</v>
      </c>
      <c r="CD72" s="99">
        <v>11</v>
      </c>
      <c r="CE72" s="99">
        <v>818.39999999999986</v>
      </c>
      <c r="CF72" s="99">
        <v>10</v>
      </c>
      <c r="CG72" s="99">
        <v>743.99999999999989</v>
      </c>
      <c r="CH72" s="99">
        <v>7</v>
      </c>
      <c r="CI72" s="99">
        <v>520.79999999999995</v>
      </c>
      <c r="CJ72" s="99">
        <v>12</v>
      </c>
      <c r="CK72" s="99">
        <v>892.8</v>
      </c>
      <c r="CL72" s="99">
        <v>6</v>
      </c>
      <c r="CM72" s="99">
        <v>446.4</v>
      </c>
      <c r="CN72" s="99">
        <v>11</v>
      </c>
      <c r="CO72" s="99">
        <v>818.39999999999986</v>
      </c>
      <c r="CP72" s="99">
        <v>11</v>
      </c>
      <c r="CQ72" s="99">
        <v>818.39999999999986</v>
      </c>
      <c r="CR72" s="99">
        <v>7</v>
      </c>
      <c r="CS72" s="99">
        <v>520.79999999999995</v>
      </c>
      <c r="CT72" s="99">
        <v>13</v>
      </c>
      <c r="CU72" s="99">
        <v>967.19999999999993</v>
      </c>
    </row>
    <row r="73" spans="2:99">
      <c r="C73" s="98" t="s">
        <v>238</v>
      </c>
      <c r="D73" s="99">
        <v>0</v>
      </c>
      <c r="E73" s="99">
        <v>0</v>
      </c>
      <c r="F73" s="99">
        <v>0</v>
      </c>
      <c r="G73" s="99">
        <v>0</v>
      </c>
      <c r="H73" s="99">
        <v>7.1944289932275565</v>
      </c>
      <c r="I73" s="99">
        <v>4023.1246930128491</v>
      </c>
      <c r="J73" s="99">
        <v>10</v>
      </c>
      <c r="K73" s="99">
        <v>5591.9999999999991</v>
      </c>
      <c r="L73" s="99">
        <v>7</v>
      </c>
      <c r="M73" s="99">
        <v>3914.3999999999996</v>
      </c>
      <c r="N73" s="99">
        <v>8</v>
      </c>
      <c r="O73" s="99">
        <v>4473.5999999999995</v>
      </c>
      <c r="P73" s="99">
        <v>9</v>
      </c>
      <c r="Q73" s="99">
        <v>5032.7999999999993</v>
      </c>
      <c r="R73" s="99">
        <v>10</v>
      </c>
      <c r="S73" s="99">
        <v>5591.9999999999991</v>
      </c>
      <c r="T73" s="99">
        <v>6</v>
      </c>
      <c r="U73" s="99">
        <v>3355.2</v>
      </c>
      <c r="V73" s="99">
        <v>10</v>
      </c>
      <c r="W73" s="99">
        <v>5591.9999999999991</v>
      </c>
      <c r="X73" s="99">
        <v>6</v>
      </c>
      <c r="Y73" s="99">
        <v>3355.2</v>
      </c>
      <c r="Z73" s="99">
        <v>7</v>
      </c>
      <c r="AA73" s="99">
        <v>3914.3999999999996</v>
      </c>
      <c r="AB73" s="99">
        <v>8</v>
      </c>
      <c r="AC73" s="99">
        <v>4473.5999999999995</v>
      </c>
      <c r="AD73" s="99">
        <v>8</v>
      </c>
      <c r="AE73" s="99">
        <v>4473.5999999999995</v>
      </c>
      <c r="AF73" s="99">
        <v>7</v>
      </c>
      <c r="AG73" s="99">
        <v>3914.3999999999996</v>
      </c>
      <c r="AH73" s="99">
        <v>6</v>
      </c>
      <c r="AI73" s="99">
        <v>3355.2</v>
      </c>
      <c r="AJ73" s="99">
        <v>8</v>
      </c>
      <c r="AK73" s="99">
        <v>4473.5999999999995</v>
      </c>
      <c r="AL73" s="99">
        <v>9</v>
      </c>
      <c r="AM73" s="99">
        <v>5032.7999999999993</v>
      </c>
      <c r="AN73" s="99">
        <v>9</v>
      </c>
      <c r="AO73" s="99">
        <v>5032.7999999999993</v>
      </c>
      <c r="AP73" s="99">
        <v>13</v>
      </c>
      <c r="AQ73" s="99">
        <v>7269.5999999999995</v>
      </c>
      <c r="AR73" s="99">
        <v>10</v>
      </c>
      <c r="AS73" s="99">
        <v>5591.9999999999991</v>
      </c>
      <c r="AT73" s="99">
        <v>11</v>
      </c>
      <c r="AU73" s="99">
        <v>6151.1999999999989</v>
      </c>
      <c r="AV73" s="99">
        <v>6</v>
      </c>
      <c r="AW73" s="99">
        <v>3355.2</v>
      </c>
      <c r="AX73" s="99">
        <v>10</v>
      </c>
      <c r="AY73" s="99">
        <v>5591.9999999999991</v>
      </c>
      <c r="AZ73" s="99">
        <v>8</v>
      </c>
      <c r="BA73" s="99">
        <v>4473.5999999999995</v>
      </c>
      <c r="BB73" s="99">
        <v>6</v>
      </c>
      <c r="BC73" s="99">
        <v>3355.2</v>
      </c>
      <c r="BD73" s="99">
        <v>10</v>
      </c>
      <c r="BE73" s="99">
        <v>5591.9999999999991</v>
      </c>
      <c r="BF73" s="99">
        <v>6</v>
      </c>
      <c r="BG73" s="99">
        <v>3355.2</v>
      </c>
      <c r="BH73" s="99">
        <v>8</v>
      </c>
      <c r="BI73" s="99">
        <v>4473.5999999999995</v>
      </c>
      <c r="BJ73" s="99">
        <v>6</v>
      </c>
      <c r="BK73" s="99">
        <v>3355.2</v>
      </c>
      <c r="BL73" s="99">
        <v>7</v>
      </c>
      <c r="BM73" s="99">
        <v>3914.3999999999996</v>
      </c>
      <c r="BN73" s="99">
        <v>10</v>
      </c>
      <c r="BO73" s="99">
        <v>5591.9999999999991</v>
      </c>
      <c r="BP73" s="99">
        <v>10</v>
      </c>
      <c r="BQ73" s="99">
        <v>5591.9999999999991</v>
      </c>
      <c r="BR73" s="99">
        <v>7</v>
      </c>
      <c r="BS73" s="99">
        <v>3914.3999999999996</v>
      </c>
      <c r="BT73" s="99">
        <v>9</v>
      </c>
      <c r="BU73" s="99">
        <v>5032.7999999999993</v>
      </c>
      <c r="BV73" s="99">
        <v>10</v>
      </c>
      <c r="BW73" s="99">
        <v>5591.9999999999991</v>
      </c>
      <c r="BX73" s="99">
        <v>8</v>
      </c>
      <c r="BY73" s="99">
        <v>4473.5999999999995</v>
      </c>
      <c r="BZ73" s="99">
        <v>12</v>
      </c>
      <c r="CA73" s="99">
        <v>6710.4</v>
      </c>
      <c r="CB73" s="99">
        <v>8</v>
      </c>
      <c r="CC73" s="99">
        <v>4473.5999999999995</v>
      </c>
      <c r="CD73" s="99">
        <v>11</v>
      </c>
      <c r="CE73" s="99">
        <v>6151.1999999999989</v>
      </c>
      <c r="CF73" s="99">
        <v>8</v>
      </c>
      <c r="CG73" s="99">
        <v>4473.5999999999995</v>
      </c>
      <c r="CH73" s="99">
        <v>6</v>
      </c>
      <c r="CI73" s="99">
        <v>3355.2</v>
      </c>
      <c r="CJ73" s="99">
        <v>12</v>
      </c>
      <c r="CK73" s="99">
        <v>6710.4</v>
      </c>
      <c r="CL73" s="99">
        <v>6</v>
      </c>
      <c r="CM73" s="99">
        <v>3355.2</v>
      </c>
      <c r="CN73" s="99">
        <v>12</v>
      </c>
      <c r="CO73" s="99">
        <v>6710.4</v>
      </c>
      <c r="CP73" s="99">
        <v>12</v>
      </c>
      <c r="CQ73" s="99">
        <v>6710.4</v>
      </c>
      <c r="CR73" s="99">
        <v>7</v>
      </c>
      <c r="CS73" s="99">
        <v>3914.3999999999996</v>
      </c>
      <c r="CT73" s="99">
        <v>13</v>
      </c>
      <c r="CU73" s="99">
        <v>7269.5999999999995</v>
      </c>
    </row>
    <row r="74" spans="2:99">
      <c r="C74" s="98" t="s">
        <v>239</v>
      </c>
      <c r="D74" s="99">
        <v>0</v>
      </c>
      <c r="E74" s="99">
        <v>0</v>
      </c>
      <c r="F74" s="99">
        <v>0</v>
      </c>
      <c r="G74" s="99">
        <v>0</v>
      </c>
      <c r="H74" s="99">
        <v>7.1944289932275565</v>
      </c>
      <c r="I74" s="99">
        <v>2900.7937700693506</v>
      </c>
      <c r="J74" s="99">
        <v>10</v>
      </c>
      <c r="K74" s="99">
        <v>4032</v>
      </c>
      <c r="L74" s="99">
        <v>7</v>
      </c>
      <c r="M74" s="99">
        <v>2822.4</v>
      </c>
      <c r="N74" s="99">
        <v>8</v>
      </c>
      <c r="O74" s="99">
        <v>3225.6</v>
      </c>
      <c r="P74" s="99">
        <v>8</v>
      </c>
      <c r="Q74" s="99">
        <v>3225.6</v>
      </c>
      <c r="R74" s="99">
        <v>10</v>
      </c>
      <c r="S74" s="99">
        <v>4032</v>
      </c>
      <c r="T74" s="99">
        <v>6</v>
      </c>
      <c r="U74" s="99">
        <v>2419.1999999999998</v>
      </c>
      <c r="V74" s="99">
        <v>10</v>
      </c>
      <c r="W74" s="99">
        <v>4032</v>
      </c>
      <c r="X74" s="99">
        <v>7</v>
      </c>
      <c r="Y74" s="99">
        <v>2822.4</v>
      </c>
      <c r="Z74" s="99">
        <v>7</v>
      </c>
      <c r="AA74" s="99">
        <v>2822.4</v>
      </c>
      <c r="AB74" s="99">
        <v>7</v>
      </c>
      <c r="AC74" s="99">
        <v>2822.4</v>
      </c>
      <c r="AD74" s="99">
        <v>7</v>
      </c>
      <c r="AE74" s="99">
        <v>2822.4</v>
      </c>
      <c r="AF74" s="99">
        <v>9</v>
      </c>
      <c r="AG74" s="99">
        <v>3628.7999999999997</v>
      </c>
      <c r="AH74" s="99">
        <v>7</v>
      </c>
      <c r="AI74" s="99">
        <v>2822.4</v>
      </c>
      <c r="AJ74" s="99">
        <v>8</v>
      </c>
      <c r="AK74" s="99">
        <v>3225.6</v>
      </c>
      <c r="AL74" s="99">
        <v>10</v>
      </c>
      <c r="AM74" s="99">
        <v>4032</v>
      </c>
      <c r="AN74" s="99">
        <v>9</v>
      </c>
      <c r="AO74" s="99">
        <v>3628.7999999999997</v>
      </c>
      <c r="AP74" s="99">
        <v>12</v>
      </c>
      <c r="AQ74" s="99">
        <v>4838.3999999999996</v>
      </c>
      <c r="AR74" s="99">
        <v>9</v>
      </c>
      <c r="AS74" s="99">
        <v>3628.7999999999997</v>
      </c>
      <c r="AT74" s="99">
        <v>11</v>
      </c>
      <c r="AU74" s="99">
        <v>4435.2</v>
      </c>
      <c r="AV74" s="99">
        <v>7</v>
      </c>
      <c r="AW74" s="99">
        <v>2822.4</v>
      </c>
      <c r="AX74" s="99">
        <v>10</v>
      </c>
      <c r="AY74" s="99">
        <v>4032</v>
      </c>
      <c r="AZ74" s="99">
        <v>8</v>
      </c>
      <c r="BA74" s="99">
        <v>3225.6</v>
      </c>
      <c r="BB74" s="99">
        <v>6</v>
      </c>
      <c r="BC74" s="99">
        <v>2419.1999999999998</v>
      </c>
      <c r="BD74" s="99">
        <v>9</v>
      </c>
      <c r="BE74" s="99">
        <v>3628.7999999999997</v>
      </c>
      <c r="BF74" s="99">
        <v>6</v>
      </c>
      <c r="BG74" s="99">
        <v>2419.1999999999998</v>
      </c>
      <c r="BH74" s="99">
        <v>10</v>
      </c>
      <c r="BI74" s="99">
        <v>4032</v>
      </c>
      <c r="BJ74" s="99">
        <v>6</v>
      </c>
      <c r="BK74" s="99">
        <v>2419.1999999999998</v>
      </c>
      <c r="BL74" s="99">
        <v>7</v>
      </c>
      <c r="BM74" s="99">
        <v>2822.4</v>
      </c>
      <c r="BN74" s="99">
        <v>10</v>
      </c>
      <c r="BO74" s="99">
        <v>4032</v>
      </c>
      <c r="BP74" s="99">
        <v>11</v>
      </c>
      <c r="BQ74" s="99">
        <v>4435.2</v>
      </c>
      <c r="BR74" s="99">
        <v>7</v>
      </c>
      <c r="BS74" s="99">
        <v>2822.4</v>
      </c>
      <c r="BT74" s="99">
        <v>10</v>
      </c>
      <c r="BU74" s="99">
        <v>4032</v>
      </c>
      <c r="BV74" s="99">
        <v>10</v>
      </c>
      <c r="BW74" s="99">
        <v>4032</v>
      </c>
      <c r="BX74" s="99">
        <v>8</v>
      </c>
      <c r="BY74" s="99">
        <v>3225.6</v>
      </c>
      <c r="BZ74" s="99">
        <v>10</v>
      </c>
      <c r="CA74" s="99">
        <v>4032</v>
      </c>
      <c r="CB74" s="99">
        <v>8</v>
      </c>
      <c r="CC74" s="99">
        <v>3225.6</v>
      </c>
      <c r="CD74" s="99">
        <v>11</v>
      </c>
      <c r="CE74" s="99">
        <v>4435.2</v>
      </c>
      <c r="CF74" s="99">
        <v>9</v>
      </c>
      <c r="CG74" s="99">
        <v>3628.7999999999997</v>
      </c>
      <c r="CH74" s="99">
        <v>6</v>
      </c>
      <c r="CI74" s="99">
        <v>2419.1999999999998</v>
      </c>
      <c r="CJ74" s="99">
        <v>11</v>
      </c>
      <c r="CK74" s="99">
        <v>4435.2</v>
      </c>
      <c r="CL74" s="99">
        <v>7</v>
      </c>
      <c r="CM74" s="99">
        <v>2822.4</v>
      </c>
      <c r="CN74" s="99">
        <v>11</v>
      </c>
      <c r="CO74" s="99">
        <v>4435.2</v>
      </c>
      <c r="CP74" s="99">
        <v>12</v>
      </c>
      <c r="CQ74" s="99">
        <v>4838.3999999999996</v>
      </c>
      <c r="CR74" s="99">
        <v>6</v>
      </c>
      <c r="CS74" s="99">
        <v>2419.1999999999998</v>
      </c>
      <c r="CT74" s="99">
        <v>13</v>
      </c>
      <c r="CU74" s="99">
        <v>5241.5999999999995</v>
      </c>
    </row>
    <row r="75" spans="2:99">
      <c r="C75" s="98" t="s">
        <v>240</v>
      </c>
      <c r="D75" s="99">
        <v>0</v>
      </c>
      <c r="E75" s="99">
        <v>0</v>
      </c>
      <c r="F75" s="99">
        <v>0</v>
      </c>
      <c r="G75" s="99">
        <v>0</v>
      </c>
      <c r="H75" s="99">
        <v>7.1944289932275565</v>
      </c>
      <c r="I75" s="99">
        <v>4627.4567284439636</v>
      </c>
      <c r="J75" s="99">
        <v>10</v>
      </c>
      <c r="K75" s="99">
        <v>6431.9999999999991</v>
      </c>
      <c r="L75" s="99">
        <v>7</v>
      </c>
      <c r="M75" s="99">
        <v>4502.3999999999996</v>
      </c>
      <c r="N75" s="99">
        <v>9</v>
      </c>
      <c r="O75" s="99">
        <v>5788.7999999999993</v>
      </c>
      <c r="P75" s="99">
        <v>9</v>
      </c>
      <c r="Q75" s="99">
        <v>5788.7999999999993</v>
      </c>
      <c r="R75" s="99">
        <v>10</v>
      </c>
      <c r="S75" s="99">
        <v>6431.9999999999991</v>
      </c>
      <c r="T75" s="99">
        <v>6</v>
      </c>
      <c r="U75" s="99">
        <v>3859.2</v>
      </c>
      <c r="V75" s="99">
        <v>10</v>
      </c>
      <c r="W75" s="99">
        <v>6431.9999999999991</v>
      </c>
      <c r="X75" s="99">
        <v>7</v>
      </c>
      <c r="Y75" s="99">
        <v>4502.3999999999996</v>
      </c>
      <c r="Z75" s="99">
        <v>7</v>
      </c>
      <c r="AA75" s="99">
        <v>4502.3999999999996</v>
      </c>
      <c r="AB75" s="99">
        <v>7</v>
      </c>
      <c r="AC75" s="99">
        <v>4502.3999999999996</v>
      </c>
      <c r="AD75" s="99">
        <v>7</v>
      </c>
      <c r="AE75" s="99">
        <v>4502.3999999999996</v>
      </c>
      <c r="AF75" s="99">
        <v>8</v>
      </c>
      <c r="AG75" s="99">
        <v>5145.5999999999995</v>
      </c>
      <c r="AH75" s="99">
        <v>7</v>
      </c>
      <c r="AI75" s="99">
        <v>4502.3999999999996</v>
      </c>
      <c r="AJ75" s="99">
        <v>8</v>
      </c>
      <c r="AK75" s="99">
        <v>5145.5999999999995</v>
      </c>
      <c r="AL75" s="99">
        <v>10</v>
      </c>
      <c r="AM75" s="99">
        <v>6431.9999999999991</v>
      </c>
      <c r="AN75" s="99">
        <v>10</v>
      </c>
      <c r="AO75" s="99">
        <v>6431.9999999999991</v>
      </c>
      <c r="AP75" s="99">
        <v>12</v>
      </c>
      <c r="AQ75" s="99">
        <v>7718.4</v>
      </c>
      <c r="AR75" s="99">
        <v>11</v>
      </c>
      <c r="AS75" s="99">
        <v>7075.1999999999989</v>
      </c>
      <c r="AT75" s="99">
        <v>12</v>
      </c>
      <c r="AU75" s="99">
        <v>7718.4</v>
      </c>
      <c r="AV75" s="99">
        <v>7</v>
      </c>
      <c r="AW75" s="99">
        <v>4502.3999999999996</v>
      </c>
      <c r="AX75" s="99">
        <v>10</v>
      </c>
      <c r="AY75" s="99">
        <v>6431.9999999999991</v>
      </c>
      <c r="AZ75" s="99">
        <v>8</v>
      </c>
      <c r="BA75" s="99">
        <v>5145.5999999999995</v>
      </c>
      <c r="BB75" s="99">
        <v>7</v>
      </c>
      <c r="BC75" s="99">
        <v>4502.3999999999996</v>
      </c>
      <c r="BD75" s="99">
        <v>10</v>
      </c>
      <c r="BE75" s="99">
        <v>6431.9999999999991</v>
      </c>
      <c r="BF75" s="99">
        <v>6</v>
      </c>
      <c r="BG75" s="99">
        <v>3859.2</v>
      </c>
      <c r="BH75" s="99">
        <v>8</v>
      </c>
      <c r="BI75" s="99">
        <v>5145.5999999999995</v>
      </c>
      <c r="BJ75" s="99">
        <v>6</v>
      </c>
      <c r="BK75" s="99">
        <v>3859.2</v>
      </c>
      <c r="BL75" s="99">
        <v>7</v>
      </c>
      <c r="BM75" s="99">
        <v>4502.3999999999996</v>
      </c>
      <c r="BN75" s="99">
        <v>11</v>
      </c>
      <c r="BO75" s="99">
        <v>7075.1999999999989</v>
      </c>
      <c r="BP75" s="99">
        <v>10</v>
      </c>
      <c r="BQ75" s="99">
        <v>6431.9999999999991</v>
      </c>
      <c r="BR75" s="99">
        <v>7</v>
      </c>
      <c r="BS75" s="99">
        <v>4502.3999999999996</v>
      </c>
      <c r="BT75" s="99">
        <v>10</v>
      </c>
      <c r="BU75" s="99">
        <v>6431.9999999999991</v>
      </c>
      <c r="BV75" s="99">
        <v>9</v>
      </c>
      <c r="BW75" s="99">
        <v>5788.7999999999993</v>
      </c>
      <c r="BX75" s="99">
        <v>8</v>
      </c>
      <c r="BY75" s="99">
        <v>5145.5999999999995</v>
      </c>
      <c r="BZ75" s="99">
        <v>12</v>
      </c>
      <c r="CA75" s="99">
        <v>7718.4</v>
      </c>
      <c r="CB75" s="99">
        <v>8</v>
      </c>
      <c r="CC75" s="99">
        <v>5145.5999999999995</v>
      </c>
      <c r="CD75" s="99">
        <v>11</v>
      </c>
      <c r="CE75" s="99">
        <v>7075.1999999999989</v>
      </c>
      <c r="CF75" s="99">
        <v>8</v>
      </c>
      <c r="CG75" s="99">
        <v>5145.5999999999995</v>
      </c>
      <c r="CH75" s="99">
        <v>6</v>
      </c>
      <c r="CI75" s="99">
        <v>3859.2</v>
      </c>
      <c r="CJ75" s="99">
        <v>11</v>
      </c>
      <c r="CK75" s="99">
        <v>7075.1999999999989</v>
      </c>
      <c r="CL75" s="99">
        <v>6</v>
      </c>
      <c r="CM75" s="99">
        <v>3859.2</v>
      </c>
      <c r="CN75" s="99">
        <v>11</v>
      </c>
      <c r="CO75" s="99">
        <v>7075.1999999999989</v>
      </c>
      <c r="CP75" s="99">
        <v>11</v>
      </c>
      <c r="CQ75" s="99">
        <v>7075.1999999999989</v>
      </c>
      <c r="CR75" s="99">
        <v>6</v>
      </c>
      <c r="CS75" s="99">
        <v>3859.2</v>
      </c>
      <c r="CT75" s="99">
        <v>11</v>
      </c>
      <c r="CU75" s="99">
        <v>7075.1999999999989</v>
      </c>
    </row>
    <row r="76" spans="2:99">
      <c r="C76" s="98" t="s">
        <v>241</v>
      </c>
      <c r="D76" s="99">
        <v>0</v>
      </c>
      <c r="E76" s="99">
        <v>0</v>
      </c>
      <c r="F76" s="99">
        <v>0</v>
      </c>
      <c r="G76" s="99">
        <v>0</v>
      </c>
      <c r="H76" s="99">
        <v>7.1944289932275565</v>
      </c>
      <c r="I76" s="99">
        <v>5603.021299925621</v>
      </c>
      <c r="J76" s="99">
        <v>9</v>
      </c>
      <c r="K76" s="99">
        <v>7009.2</v>
      </c>
      <c r="L76" s="99">
        <v>6</v>
      </c>
      <c r="M76" s="99">
        <v>4672.7999999999993</v>
      </c>
      <c r="N76" s="99">
        <v>9</v>
      </c>
      <c r="O76" s="99">
        <v>7009.2</v>
      </c>
      <c r="P76" s="99">
        <v>8</v>
      </c>
      <c r="Q76" s="99">
        <v>6230.4</v>
      </c>
      <c r="R76" s="99">
        <v>9</v>
      </c>
      <c r="S76" s="99">
        <v>7009.2</v>
      </c>
      <c r="T76" s="99">
        <v>6</v>
      </c>
      <c r="U76" s="99">
        <v>4672.7999999999993</v>
      </c>
      <c r="V76" s="99">
        <v>10</v>
      </c>
      <c r="W76" s="99">
        <v>7788</v>
      </c>
      <c r="X76" s="99">
        <v>7</v>
      </c>
      <c r="Y76" s="99">
        <v>5451.5999999999995</v>
      </c>
      <c r="Z76" s="99">
        <v>7</v>
      </c>
      <c r="AA76" s="99">
        <v>5451.5999999999995</v>
      </c>
      <c r="AB76" s="99">
        <v>8</v>
      </c>
      <c r="AC76" s="99">
        <v>6230.4</v>
      </c>
      <c r="AD76" s="99">
        <v>7</v>
      </c>
      <c r="AE76" s="99">
        <v>5451.5999999999995</v>
      </c>
      <c r="AF76" s="99">
        <v>8</v>
      </c>
      <c r="AG76" s="99">
        <v>6230.4</v>
      </c>
      <c r="AH76" s="99">
        <v>6</v>
      </c>
      <c r="AI76" s="99">
        <v>4672.7999999999993</v>
      </c>
      <c r="AJ76" s="99">
        <v>7</v>
      </c>
      <c r="AK76" s="99">
        <v>5451.5999999999995</v>
      </c>
      <c r="AL76" s="99">
        <v>11</v>
      </c>
      <c r="AM76" s="99">
        <v>8566.7999999999993</v>
      </c>
      <c r="AN76" s="99">
        <v>10</v>
      </c>
      <c r="AO76" s="99">
        <v>7788</v>
      </c>
      <c r="AP76" s="99">
        <v>12</v>
      </c>
      <c r="AQ76" s="99">
        <v>9345.5999999999985</v>
      </c>
      <c r="AR76" s="99">
        <v>10</v>
      </c>
      <c r="AS76" s="99">
        <v>7788</v>
      </c>
      <c r="AT76" s="99">
        <v>11</v>
      </c>
      <c r="AU76" s="99">
        <v>8566.7999999999993</v>
      </c>
      <c r="AV76" s="99">
        <v>7</v>
      </c>
      <c r="AW76" s="99">
        <v>5451.5999999999995</v>
      </c>
      <c r="AX76" s="99">
        <v>10</v>
      </c>
      <c r="AY76" s="99">
        <v>7788</v>
      </c>
      <c r="AZ76" s="99">
        <v>8</v>
      </c>
      <c r="BA76" s="99">
        <v>6230.4</v>
      </c>
      <c r="BB76" s="99">
        <v>7</v>
      </c>
      <c r="BC76" s="99">
        <v>5451.5999999999995</v>
      </c>
      <c r="BD76" s="99">
        <v>9</v>
      </c>
      <c r="BE76" s="99">
        <v>7009.2</v>
      </c>
      <c r="BF76" s="99">
        <v>6</v>
      </c>
      <c r="BG76" s="99">
        <v>4672.7999999999993</v>
      </c>
      <c r="BH76" s="99">
        <v>9</v>
      </c>
      <c r="BI76" s="99">
        <v>7009.2</v>
      </c>
      <c r="BJ76" s="99">
        <v>7</v>
      </c>
      <c r="BK76" s="99">
        <v>5451.5999999999995</v>
      </c>
      <c r="BL76" s="99">
        <v>7</v>
      </c>
      <c r="BM76" s="99">
        <v>5451.5999999999995</v>
      </c>
      <c r="BN76" s="99">
        <v>11</v>
      </c>
      <c r="BO76" s="99">
        <v>8566.7999999999993</v>
      </c>
      <c r="BP76" s="99">
        <v>9</v>
      </c>
      <c r="BQ76" s="99">
        <v>7009.2</v>
      </c>
      <c r="BR76" s="99">
        <v>6</v>
      </c>
      <c r="BS76" s="99">
        <v>4672.7999999999993</v>
      </c>
      <c r="BT76" s="99">
        <v>10</v>
      </c>
      <c r="BU76" s="99">
        <v>7788</v>
      </c>
      <c r="BV76" s="99">
        <v>10</v>
      </c>
      <c r="BW76" s="99">
        <v>7788</v>
      </c>
      <c r="BX76" s="99">
        <v>8</v>
      </c>
      <c r="BY76" s="99">
        <v>6230.4</v>
      </c>
      <c r="BZ76" s="99">
        <v>12</v>
      </c>
      <c r="CA76" s="99">
        <v>9345.5999999999985</v>
      </c>
      <c r="CB76" s="99">
        <v>8</v>
      </c>
      <c r="CC76" s="99">
        <v>6230.4</v>
      </c>
      <c r="CD76" s="99">
        <v>11</v>
      </c>
      <c r="CE76" s="99">
        <v>8566.7999999999993</v>
      </c>
      <c r="CF76" s="99">
        <v>9</v>
      </c>
      <c r="CG76" s="99">
        <v>7009.2</v>
      </c>
      <c r="CH76" s="99">
        <v>6</v>
      </c>
      <c r="CI76" s="99">
        <v>4672.7999999999993</v>
      </c>
      <c r="CJ76" s="99">
        <v>10</v>
      </c>
      <c r="CK76" s="99">
        <v>7788</v>
      </c>
      <c r="CL76" s="99">
        <v>7</v>
      </c>
      <c r="CM76" s="99">
        <v>5451.5999999999995</v>
      </c>
      <c r="CN76" s="99">
        <v>12</v>
      </c>
      <c r="CO76" s="99">
        <v>9345.5999999999985</v>
      </c>
      <c r="CP76" s="99">
        <v>11</v>
      </c>
      <c r="CQ76" s="99">
        <v>8566.7999999999993</v>
      </c>
      <c r="CR76" s="99">
        <v>7</v>
      </c>
      <c r="CS76" s="99">
        <v>5451.5999999999995</v>
      </c>
      <c r="CT76" s="99">
        <v>11</v>
      </c>
      <c r="CU76" s="99">
        <v>8566.7999999999993</v>
      </c>
    </row>
    <row r="77" spans="2:99">
      <c r="C77" s="98" t="s">
        <v>242</v>
      </c>
      <c r="D77" s="99">
        <v>0</v>
      </c>
      <c r="E77" s="99">
        <v>0</v>
      </c>
      <c r="F77" s="99">
        <v>0</v>
      </c>
      <c r="G77" s="99">
        <v>0</v>
      </c>
      <c r="H77" s="99">
        <v>8.0937326173810007</v>
      </c>
      <c r="I77" s="99">
        <v>2253.2951606788706</v>
      </c>
      <c r="J77" s="99">
        <v>9</v>
      </c>
      <c r="K77" s="99">
        <v>2505.6</v>
      </c>
      <c r="L77" s="99">
        <v>8</v>
      </c>
      <c r="M77" s="99">
        <v>2227.1999999999998</v>
      </c>
      <c r="N77" s="99">
        <v>9</v>
      </c>
      <c r="O77" s="99">
        <v>2505.6</v>
      </c>
      <c r="P77" s="99">
        <v>8</v>
      </c>
      <c r="Q77" s="99">
        <v>2227.1999999999998</v>
      </c>
      <c r="R77" s="99">
        <v>10</v>
      </c>
      <c r="S77" s="99">
        <v>2784</v>
      </c>
      <c r="T77" s="99">
        <v>7</v>
      </c>
      <c r="U77" s="99">
        <v>1948.7999999999997</v>
      </c>
      <c r="V77" s="99">
        <v>12</v>
      </c>
      <c r="W77" s="99">
        <v>3340.7999999999997</v>
      </c>
      <c r="X77" s="99">
        <v>6</v>
      </c>
      <c r="Y77" s="99">
        <v>1670.3999999999999</v>
      </c>
      <c r="Z77" s="99">
        <v>7</v>
      </c>
      <c r="AA77" s="99">
        <v>1948.7999999999997</v>
      </c>
      <c r="AB77" s="99">
        <v>8</v>
      </c>
      <c r="AC77" s="99">
        <v>2227.1999999999998</v>
      </c>
      <c r="AD77" s="99">
        <v>7</v>
      </c>
      <c r="AE77" s="99">
        <v>1948.7999999999997</v>
      </c>
      <c r="AF77" s="99">
        <v>7</v>
      </c>
      <c r="AG77" s="99">
        <v>1948.7999999999997</v>
      </c>
      <c r="AH77" s="99">
        <v>6</v>
      </c>
      <c r="AI77" s="99">
        <v>1670.3999999999999</v>
      </c>
      <c r="AJ77" s="99">
        <v>8</v>
      </c>
      <c r="AK77" s="99">
        <v>2227.1999999999998</v>
      </c>
      <c r="AL77" s="99">
        <v>10</v>
      </c>
      <c r="AM77" s="99">
        <v>2784</v>
      </c>
      <c r="AN77" s="99">
        <v>10</v>
      </c>
      <c r="AO77" s="99">
        <v>2784</v>
      </c>
      <c r="AP77" s="99">
        <v>12</v>
      </c>
      <c r="AQ77" s="99">
        <v>3340.7999999999997</v>
      </c>
      <c r="AR77" s="99">
        <v>11</v>
      </c>
      <c r="AS77" s="99">
        <v>3062.3999999999996</v>
      </c>
      <c r="AT77" s="99">
        <v>12</v>
      </c>
      <c r="AU77" s="99">
        <v>3340.7999999999997</v>
      </c>
      <c r="AV77" s="99">
        <v>6</v>
      </c>
      <c r="AW77" s="99">
        <v>1670.3999999999999</v>
      </c>
      <c r="AX77" s="99">
        <v>10</v>
      </c>
      <c r="AY77" s="99">
        <v>2784</v>
      </c>
      <c r="AZ77" s="99">
        <v>8</v>
      </c>
      <c r="BA77" s="99">
        <v>2227.1999999999998</v>
      </c>
      <c r="BB77" s="99">
        <v>6</v>
      </c>
      <c r="BC77" s="99">
        <v>1670.3999999999999</v>
      </c>
      <c r="BD77" s="99">
        <v>10</v>
      </c>
      <c r="BE77" s="99">
        <v>2784</v>
      </c>
      <c r="BF77" s="99">
        <v>7</v>
      </c>
      <c r="BG77" s="99">
        <v>1948.7999999999997</v>
      </c>
      <c r="BH77" s="99">
        <v>9</v>
      </c>
      <c r="BI77" s="99">
        <v>2505.6</v>
      </c>
      <c r="BJ77" s="99">
        <v>7</v>
      </c>
      <c r="BK77" s="99">
        <v>1948.7999999999997</v>
      </c>
      <c r="BL77" s="99">
        <v>8</v>
      </c>
      <c r="BM77" s="99">
        <v>2227.1999999999998</v>
      </c>
      <c r="BN77" s="99">
        <v>12</v>
      </c>
      <c r="BO77" s="99">
        <v>3340.7999999999997</v>
      </c>
      <c r="BP77" s="99">
        <v>9</v>
      </c>
      <c r="BQ77" s="99">
        <v>2505.6</v>
      </c>
      <c r="BR77" s="99">
        <v>6</v>
      </c>
      <c r="BS77" s="99">
        <v>1670.3999999999999</v>
      </c>
      <c r="BT77" s="99">
        <v>9</v>
      </c>
      <c r="BU77" s="99">
        <v>2505.6</v>
      </c>
      <c r="BV77" s="99">
        <v>10</v>
      </c>
      <c r="BW77" s="99">
        <v>2784</v>
      </c>
      <c r="BX77" s="99">
        <v>8</v>
      </c>
      <c r="BY77" s="99">
        <v>2227.1999999999998</v>
      </c>
      <c r="BZ77" s="99">
        <v>10</v>
      </c>
      <c r="CA77" s="99">
        <v>2784</v>
      </c>
      <c r="CB77" s="99">
        <v>8</v>
      </c>
      <c r="CC77" s="99">
        <v>2227.1999999999998</v>
      </c>
      <c r="CD77" s="99">
        <v>11</v>
      </c>
      <c r="CE77" s="99">
        <v>3062.3999999999996</v>
      </c>
      <c r="CF77" s="99">
        <v>9</v>
      </c>
      <c r="CG77" s="99">
        <v>2505.6</v>
      </c>
      <c r="CH77" s="99">
        <v>6</v>
      </c>
      <c r="CI77" s="99">
        <v>1670.3999999999999</v>
      </c>
      <c r="CJ77" s="99">
        <v>12</v>
      </c>
      <c r="CK77" s="99">
        <v>3340.7999999999997</v>
      </c>
      <c r="CL77" s="99">
        <v>7</v>
      </c>
      <c r="CM77" s="99">
        <v>1948.7999999999997</v>
      </c>
      <c r="CN77" s="99">
        <v>11</v>
      </c>
      <c r="CO77" s="99">
        <v>3062.3999999999996</v>
      </c>
      <c r="CP77" s="99">
        <v>11</v>
      </c>
      <c r="CQ77" s="99">
        <v>3062.3999999999996</v>
      </c>
      <c r="CR77" s="99">
        <v>7</v>
      </c>
      <c r="CS77" s="99">
        <v>1948.7999999999997</v>
      </c>
      <c r="CT77" s="99">
        <v>11</v>
      </c>
      <c r="CU77" s="99">
        <v>3062.3999999999996</v>
      </c>
    </row>
    <row r="78" spans="2:99">
      <c r="C78" s="98" t="s">
        <v>243</v>
      </c>
      <c r="D78" s="99">
        <v>0</v>
      </c>
      <c r="E78" s="99">
        <v>0</v>
      </c>
      <c r="F78" s="99">
        <v>0</v>
      </c>
      <c r="G78" s="99">
        <v>0</v>
      </c>
      <c r="H78" s="99">
        <v>7.1944289932275565</v>
      </c>
      <c r="I78" s="99">
        <v>3971.324804261611</v>
      </c>
      <c r="J78" s="99">
        <v>10</v>
      </c>
      <c r="K78" s="99">
        <v>5520</v>
      </c>
      <c r="L78" s="99">
        <v>8</v>
      </c>
      <c r="M78" s="99">
        <v>4416</v>
      </c>
      <c r="N78" s="99">
        <v>8</v>
      </c>
      <c r="O78" s="99">
        <v>4416</v>
      </c>
      <c r="P78" s="99">
        <v>9</v>
      </c>
      <c r="Q78" s="99">
        <v>4968</v>
      </c>
      <c r="R78" s="99">
        <v>10</v>
      </c>
      <c r="S78" s="99">
        <v>5520</v>
      </c>
      <c r="T78" s="99">
        <v>7</v>
      </c>
      <c r="U78" s="99">
        <v>3864</v>
      </c>
      <c r="V78" s="99">
        <v>10</v>
      </c>
      <c r="W78" s="99">
        <v>5520</v>
      </c>
      <c r="X78" s="99">
        <v>6</v>
      </c>
      <c r="Y78" s="99">
        <v>3312</v>
      </c>
      <c r="Z78" s="99">
        <v>6</v>
      </c>
      <c r="AA78" s="99">
        <v>3312</v>
      </c>
      <c r="AB78" s="99">
        <v>7</v>
      </c>
      <c r="AC78" s="99">
        <v>3864</v>
      </c>
      <c r="AD78" s="99">
        <v>7</v>
      </c>
      <c r="AE78" s="99">
        <v>3864</v>
      </c>
      <c r="AF78" s="99">
        <v>7</v>
      </c>
      <c r="AG78" s="99">
        <v>3864</v>
      </c>
      <c r="AH78" s="99">
        <v>6</v>
      </c>
      <c r="AI78" s="99">
        <v>3312</v>
      </c>
      <c r="AJ78" s="99">
        <v>7</v>
      </c>
      <c r="AK78" s="99">
        <v>3864</v>
      </c>
      <c r="AL78" s="99">
        <v>11</v>
      </c>
      <c r="AM78" s="99">
        <v>6072</v>
      </c>
      <c r="AN78" s="99">
        <v>10</v>
      </c>
      <c r="AO78" s="99">
        <v>5520</v>
      </c>
      <c r="AP78" s="99">
        <v>11</v>
      </c>
      <c r="AQ78" s="99">
        <v>6072</v>
      </c>
      <c r="AR78" s="99">
        <v>10</v>
      </c>
      <c r="AS78" s="99">
        <v>5520</v>
      </c>
      <c r="AT78" s="99">
        <v>11</v>
      </c>
      <c r="AU78" s="99">
        <v>6072</v>
      </c>
      <c r="AV78" s="99">
        <v>7</v>
      </c>
      <c r="AW78" s="99">
        <v>3864</v>
      </c>
      <c r="AX78" s="99">
        <v>9</v>
      </c>
      <c r="AY78" s="99">
        <v>4968</v>
      </c>
      <c r="AZ78" s="99">
        <v>8</v>
      </c>
      <c r="BA78" s="99">
        <v>4416</v>
      </c>
      <c r="BB78" s="99">
        <v>7</v>
      </c>
      <c r="BC78" s="99">
        <v>3864</v>
      </c>
      <c r="BD78" s="99">
        <v>9</v>
      </c>
      <c r="BE78" s="99">
        <v>4968</v>
      </c>
      <c r="BF78" s="99">
        <v>6</v>
      </c>
      <c r="BG78" s="99">
        <v>3312</v>
      </c>
      <c r="BH78" s="99">
        <v>9</v>
      </c>
      <c r="BI78" s="99">
        <v>4968</v>
      </c>
      <c r="BJ78" s="99">
        <v>7</v>
      </c>
      <c r="BK78" s="99">
        <v>3864</v>
      </c>
      <c r="BL78" s="99">
        <v>8</v>
      </c>
      <c r="BM78" s="99">
        <v>4416</v>
      </c>
      <c r="BN78" s="99">
        <v>10</v>
      </c>
      <c r="BO78" s="99">
        <v>5520</v>
      </c>
      <c r="BP78" s="99">
        <v>9</v>
      </c>
      <c r="BQ78" s="99">
        <v>4968</v>
      </c>
      <c r="BR78" s="99">
        <v>7</v>
      </c>
      <c r="BS78" s="99">
        <v>3864</v>
      </c>
      <c r="BT78" s="99">
        <v>10</v>
      </c>
      <c r="BU78" s="99">
        <v>5520</v>
      </c>
      <c r="BV78" s="99">
        <v>10</v>
      </c>
      <c r="BW78" s="99">
        <v>5520</v>
      </c>
      <c r="BX78" s="99">
        <v>8</v>
      </c>
      <c r="BY78" s="99">
        <v>4416</v>
      </c>
      <c r="BZ78" s="99">
        <v>11</v>
      </c>
      <c r="CA78" s="99">
        <v>6072</v>
      </c>
      <c r="CB78" s="99">
        <v>8</v>
      </c>
      <c r="CC78" s="99">
        <v>4416</v>
      </c>
      <c r="CD78" s="99">
        <v>11</v>
      </c>
      <c r="CE78" s="99">
        <v>6072</v>
      </c>
      <c r="CF78" s="99">
        <v>8</v>
      </c>
      <c r="CG78" s="99">
        <v>4416</v>
      </c>
      <c r="CH78" s="99">
        <v>7</v>
      </c>
      <c r="CI78" s="99">
        <v>3864</v>
      </c>
      <c r="CJ78" s="99">
        <v>10</v>
      </c>
      <c r="CK78" s="99">
        <v>5520</v>
      </c>
      <c r="CL78" s="99">
        <v>6</v>
      </c>
      <c r="CM78" s="99">
        <v>3312</v>
      </c>
      <c r="CN78" s="99">
        <v>11</v>
      </c>
      <c r="CO78" s="99">
        <v>6072</v>
      </c>
      <c r="CP78" s="99">
        <v>11</v>
      </c>
      <c r="CQ78" s="99">
        <v>6072</v>
      </c>
      <c r="CR78" s="99">
        <v>7</v>
      </c>
      <c r="CS78" s="99">
        <v>3864</v>
      </c>
      <c r="CT78" s="99">
        <v>12</v>
      </c>
      <c r="CU78" s="99">
        <v>6624</v>
      </c>
    </row>
    <row r="79" spans="2:99">
      <c r="C79" s="98" t="s">
        <v>244</v>
      </c>
      <c r="D79" s="99">
        <v>0</v>
      </c>
      <c r="E79" s="99">
        <v>0</v>
      </c>
      <c r="F79" s="99">
        <v>0</v>
      </c>
      <c r="G79" s="99">
        <v>0</v>
      </c>
      <c r="H79" s="99">
        <v>7.1944289932275565</v>
      </c>
      <c r="I79" s="99">
        <v>5447.6216336719053</v>
      </c>
      <c r="J79" s="99">
        <v>9</v>
      </c>
      <c r="K79" s="99">
        <v>6814.7999999999993</v>
      </c>
      <c r="L79" s="99">
        <v>7</v>
      </c>
      <c r="M79" s="99">
        <v>5300.4</v>
      </c>
      <c r="N79" s="99">
        <v>8</v>
      </c>
      <c r="O79" s="99">
        <v>6057.5999999999995</v>
      </c>
      <c r="P79" s="99">
        <v>9</v>
      </c>
      <c r="Q79" s="99">
        <v>6814.7999999999993</v>
      </c>
      <c r="R79" s="99">
        <v>10</v>
      </c>
      <c r="S79" s="99">
        <v>7571.9999999999991</v>
      </c>
      <c r="T79" s="99">
        <v>7</v>
      </c>
      <c r="U79" s="99">
        <v>5300.4</v>
      </c>
      <c r="V79" s="99">
        <v>11</v>
      </c>
      <c r="W79" s="99">
        <v>8329.1999999999989</v>
      </c>
      <c r="X79" s="99">
        <v>7</v>
      </c>
      <c r="Y79" s="99">
        <v>5300.4</v>
      </c>
      <c r="Z79" s="99">
        <v>7</v>
      </c>
      <c r="AA79" s="99">
        <v>5300.4</v>
      </c>
      <c r="AB79" s="99">
        <v>8</v>
      </c>
      <c r="AC79" s="99">
        <v>6057.5999999999995</v>
      </c>
      <c r="AD79" s="99">
        <v>8</v>
      </c>
      <c r="AE79" s="99">
        <v>6057.5999999999995</v>
      </c>
      <c r="AF79" s="99">
        <v>8</v>
      </c>
      <c r="AG79" s="99">
        <v>6057.5999999999995</v>
      </c>
      <c r="AH79" s="99">
        <v>6</v>
      </c>
      <c r="AI79" s="99">
        <v>4543.2</v>
      </c>
      <c r="AJ79" s="99">
        <v>7</v>
      </c>
      <c r="AK79" s="99">
        <v>5300.4</v>
      </c>
      <c r="AL79" s="99">
        <v>10</v>
      </c>
      <c r="AM79" s="99">
        <v>7571.9999999999991</v>
      </c>
      <c r="AN79" s="99">
        <v>10</v>
      </c>
      <c r="AO79" s="99">
        <v>7571.9999999999991</v>
      </c>
      <c r="AP79" s="99">
        <v>11</v>
      </c>
      <c r="AQ79" s="99">
        <v>8329.1999999999989</v>
      </c>
      <c r="AR79" s="99">
        <v>10</v>
      </c>
      <c r="AS79" s="99">
        <v>7571.9999999999991</v>
      </c>
      <c r="AT79" s="99">
        <v>11</v>
      </c>
      <c r="AU79" s="99">
        <v>8329.1999999999989</v>
      </c>
      <c r="AV79" s="99">
        <v>7</v>
      </c>
      <c r="AW79" s="99">
        <v>5300.4</v>
      </c>
      <c r="AX79" s="99">
        <v>11</v>
      </c>
      <c r="AY79" s="99">
        <v>8329.1999999999989</v>
      </c>
      <c r="AZ79" s="99">
        <v>8</v>
      </c>
      <c r="BA79" s="99">
        <v>6057.5999999999995</v>
      </c>
      <c r="BB79" s="99">
        <v>6</v>
      </c>
      <c r="BC79" s="99">
        <v>4543.2</v>
      </c>
      <c r="BD79" s="99">
        <v>9</v>
      </c>
      <c r="BE79" s="99">
        <v>6814.7999999999993</v>
      </c>
      <c r="BF79" s="99">
        <v>5</v>
      </c>
      <c r="BG79" s="99">
        <v>3785.9999999999995</v>
      </c>
      <c r="BH79" s="99">
        <v>8</v>
      </c>
      <c r="BI79" s="99">
        <v>6057.5999999999995</v>
      </c>
      <c r="BJ79" s="99">
        <v>7</v>
      </c>
      <c r="BK79" s="99">
        <v>5300.4</v>
      </c>
      <c r="BL79" s="99">
        <v>7</v>
      </c>
      <c r="BM79" s="99">
        <v>5300.4</v>
      </c>
      <c r="BN79" s="99">
        <v>12</v>
      </c>
      <c r="BO79" s="99">
        <v>9086.4</v>
      </c>
      <c r="BP79" s="99">
        <v>10</v>
      </c>
      <c r="BQ79" s="99">
        <v>7571.9999999999991</v>
      </c>
      <c r="BR79" s="99">
        <v>6</v>
      </c>
      <c r="BS79" s="99">
        <v>4543.2</v>
      </c>
      <c r="BT79" s="99">
        <v>9</v>
      </c>
      <c r="BU79" s="99">
        <v>6814.7999999999993</v>
      </c>
      <c r="BV79" s="99">
        <v>9</v>
      </c>
      <c r="BW79" s="99">
        <v>6814.7999999999993</v>
      </c>
      <c r="BX79" s="99">
        <v>8</v>
      </c>
      <c r="BY79" s="99">
        <v>6057.5999999999995</v>
      </c>
      <c r="BZ79" s="99">
        <v>11</v>
      </c>
      <c r="CA79" s="99">
        <v>8329.1999999999989</v>
      </c>
      <c r="CB79" s="99">
        <v>7</v>
      </c>
      <c r="CC79" s="99">
        <v>5300.4</v>
      </c>
      <c r="CD79" s="99">
        <v>10</v>
      </c>
      <c r="CE79" s="99">
        <v>7571.9999999999991</v>
      </c>
      <c r="CF79" s="99">
        <v>9</v>
      </c>
      <c r="CG79" s="99">
        <v>6814.7999999999993</v>
      </c>
      <c r="CH79" s="99">
        <v>6</v>
      </c>
      <c r="CI79" s="99">
        <v>4543.2</v>
      </c>
      <c r="CJ79" s="99">
        <v>12</v>
      </c>
      <c r="CK79" s="99">
        <v>9086.4</v>
      </c>
      <c r="CL79" s="99">
        <v>7</v>
      </c>
      <c r="CM79" s="99">
        <v>5300.4</v>
      </c>
      <c r="CN79" s="99">
        <v>12</v>
      </c>
      <c r="CO79" s="99">
        <v>9086.4</v>
      </c>
      <c r="CP79" s="99">
        <v>11</v>
      </c>
      <c r="CQ79" s="99">
        <v>8329.1999999999989</v>
      </c>
      <c r="CR79" s="99">
        <v>7</v>
      </c>
      <c r="CS79" s="99">
        <v>5300.4</v>
      </c>
      <c r="CT79" s="99">
        <v>12</v>
      </c>
      <c r="CU79" s="99">
        <v>9086.4</v>
      </c>
    </row>
    <row r="80" spans="2:99">
      <c r="C80" s="98" t="s">
        <v>245</v>
      </c>
      <c r="D80" s="99">
        <v>0</v>
      </c>
      <c r="E80" s="99">
        <v>0</v>
      </c>
      <c r="F80" s="99">
        <v>0</v>
      </c>
      <c r="G80" s="99">
        <v>0</v>
      </c>
      <c r="H80" s="99">
        <v>8.0937326173810007</v>
      </c>
      <c r="I80" s="99">
        <v>6517.0735035151811</v>
      </c>
      <c r="J80" s="99">
        <v>10</v>
      </c>
      <c r="K80" s="99">
        <v>8051.9999999999991</v>
      </c>
      <c r="L80" s="99">
        <v>8</v>
      </c>
      <c r="M80" s="99">
        <v>6441.5999999999995</v>
      </c>
      <c r="N80" s="99">
        <v>7</v>
      </c>
      <c r="O80" s="99">
        <v>5636.4</v>
      </c>
      <c r="P80" s="99">
        <v>9</v>
      </c>
      <c r="Q80" s="99">
        <v>7246.7999999999993</v>
      </c>
      <c r="R80" s="99">
        <v>10</v>
      </c>
      <c r="S80" s="99">
        <v>8051.9999999999991</v>
      </c>
      <c r="T80" s="99">
        <v>6</v>
      </c>
      <c r="U80" s="99">
        <v>4831.2</v>
      </c>
      <c r="V80" s="99">
        <v>11</v>
      </c>
      <c r="W80" s="99">
        <v>8857.1999999999989</v>
      </c>
      <c r="X80" s="99">
        <v>7</v>
      </c>
      <c r="Y80" s="99">
        <v>5636.4</v>
      </c>
      <c r="Z80" s="99">
        <v>7</v>
      </c>
      <c r="AA80" s="99">
        <v>5636.4</v>
      </c>
      <c r="AB80" s="99">
        <v>7</v>
      </c>
      <c r="AC80" s="99">
        <v>5636.4</v>
      </c>
      <c r="AD80" s="99">
        <v>8</v>
      </c>
      <c r="AE80" s="99">
        <v>6441.5999999999995</v>
      </c>
      <c r="AF80" s="99">
        <v>8</v>
      </c>
      <c r="AG80" s="99">
        <v>6441.5999999999995</v>
      </c>
      <c r="AH80" s="99">
        <v>6</v>
      </c>
      <c r="AI80" s="99">
        <v>4831.2</v>
      </c>
      <c r="AJ80" s="99">
        <v>8</v>
      </c>
      <c r="AK80" s="99">
        <v>6441.5999999999995</v>
      </c>
      <c r="AL80" s="99">
        <v>10</v>
      </c>
      <c r="AM80" s="99">
        <v>8051.9999999999991</v>
      </c>
      <c r="AN80" s="99">
        <v>9</v>
      </c>
      <c r="AO80" s="99">
        <v>7246.7999999999993</v>
      </c>
      <c r="AP80" s="99">
        <v>12</v>
      </c>
      <c r="AQ80" s="99">
        <v>9662.4</v>
      </c>
      <c r="AR80" s="99">
        <v>9</v>
      </c>
      <c r="AS80" s="99">
        <v>7246.7999999999993</v>
      </c>
      <c r="AT80" s="99">
        <v>11</v>
      </c>
      <c r="AU80" s="99">
        <v>8857.1999999999989</v>
      </c>
      <c r="AV80" s="99">
        <v>7</v>
      </c>
      <c r="AW80" s="99">
        <v>5636.4</v>
      </c>
      <c r="AX80" s="99">
        <v>10</v>
      </c>
      <c r="AY80" s="99">
        <v>8051.9999999999991</v>
      </c>
      <c r="AZ80" s="99">
        <v>7</v>
      </c>
      <c r="BA80" s="99">
        <v>5636.4</v>
      </c>
      <c r="BB80" s="99">
        <v>6</v>
      </c>
      <c r="BC80" s="99">
        <v>4831.2</v>
      </c>
      <c r="BD80" s="99">
        <v>10</v>
      </c>
      <c r="BE80" s="99">
        <v>8051.9999999999991</v>
      </c>
      <c r="BF80" s="99">
        <v>6</v>
      </c>
      <c r="BG80" s="99">
        <v>4831.2</v>
      </c>
      <c r="BH80" s="99">
        <v>9</v>
      </c>
      <c r="BI80" s="99">
        <v>7246.7999999999993</v>
      </c>
      <c r="BJ80" s="99">
        <v>7</v>
      </c>
      <c r="BK80" s="99">
        <v>5636.4</v>
      </c>
      <c r="BL80" s="99">
        <v>6</v>
      </c>
      <c r="BM80" s="99">
        <v>4831.2</v>
      </c>
      <c r="BN80" s="99">
        <v>10</v>
      </c>
      <c r="BO80" s="99">
        <v>8051.9999999999991</v>
      </c>
      <c r="BP80" s="99">
        <v>9</v>
      </c>
      <c r="BQ80" s="99">
        <v>7246.7999999999993</v>
      </c>
      <c r="BR80" s="99">
        <v>6</v>
      </c>
      <c r="BS80" s="99">
        <v>4831.2</v>
      </c>
      <c r="BT80" s="99">
        <v>8</v>
      </c>
      <c r="BU80" s="99">
        <v>6441.5999999999995</v>
      </c>
      <c r="BV80" s="99">
        <v>10</v>
      </c>
      <c r="BW80" s="99">
        <v>8051.9999999999991</v>
      </c>
      <c r="BX80" s="99">
        <v>7</v>
      </c>
      <c r="BY80" s="99">
        <v>5636.4</v>
      </c>
      <c r="BZ80" s="99">
        <v>10</v>
      </c>
      <c r="CA80" s="99">
        <v>8051.9999999999991</v>
      </c>
      <c r="CB80" s="99">
        <v>7</v>
      </c>
      <c r="CC80" s="99">
        <v>5636.4</v>
      </c>
      <c r="CD80" s="99">
        <v>12</v>
      </c>
      <c r="CE80" s="99">
        <v>9662.4</v>
      </c>
      <c r="CF80" s="99">
        <v>9</v>
      </c>
      <c r="CG80" s="99">
        <v>7246.7999999999993</v>
      </c>
      <c r="CH80" s="99">
        <v>7</v>
      </c>
      <c r="CI80" s="99">
        <v>5636.4</v>
      </c>
      <c r="CJ80" s="99">
        <v>12</v>
      </c>
      <c r="CK80" s="99">
        <v>9662.4</v>
      </c>
      <c r="CL80" s="99">
        <v>6</v>
      </c>
      <c r="CM80" s="99">
        <v>4831.2</v>
      </c>
      <c r="CN80" s="99">
        <v>10</v>
      </c>
      <c r="CO80" s="99">
        <v>8051.9999999999991</v>
      </c>
      <c r="CP80" s="99">
        <v>10</v>
      </c>
      <c r="CQ80" s="99">
        <v>8051.9999999999991</v>
      </c>
      <c r="CR80" s="99">
        <v>6</v>
      </c>
      <c r="CS80" s="99">
        <v>4831.2</v>
      </c>
      <c r="CT80" s="99">
        <v>11</v>
      </c>
      <c r="CU80" s="99">
        <v>8857.1999999999989</v>
      </c>
    </row>
    <row r="81" spans="2:99">
      <c r="C81" s="98" t="s">
        <v>246</v>
      </c>
      <c r="D81" s="99">
        <v>0</v>
      </c>
      <c r="E81" s="99">
        <v>0</v>
      </c>
      <c r="F81" s="99">
        <v>0</v>
      </c>
      <c r="G81" s="99">
        <v>0</v>
      </c>
      <c r="H81" s="99">
        <v>7.1944289932275565</v>
      </c>
      <c r="I81" s="99">
        <v>5421.721689296287</v>
      </c>
      <c r="J81" s="99">
        <v>9</v>
      </c>
      <c r="K81" s="99">
        <v>6782.4000000000005</v>
      </c>
      <c r="L81" s="99">
        <v>7</v>
      </c>
      <c r="M81" s="99">
        <v>5275.2</v>
      </c>
      <c r="N81" s="99">
        <v>8</v>
      </c>
      <c r="O81" s="99">
        <v>6028.8</v>
      </c>
      <c r="P81" s="99">
        <v>9</v>
      </c>
      <c r="Q81" s="99">
        <v>6782.4000000000005</v>
      </c>
      <c r="R81" s="99">
        <v>10</v>
      </c>
      <c r="S81" s="99">
        <v>7536</v>
      </c>
      <c r="T81" s="99">
        <v>6</v>
      </c>
      <c r="U81" s="99">
        <v>4521.6000000000004</v>
      </c>
      <c r="V81" s="99">
        <v>11</v>
      </c>
      <c r="W81" s="99">
        <v>8289.6</v>
      </c>
      <c r="X81" s="99">
        <v>6</v>
      </c>
      <c r="Y81" s="99">
        <v>4521.6000000000004</v>
      </c>
      <c r="Z81" s="99">
        <v>7</v>
      </c>
      <c r="AA81" s="99">
        <v>5275.2</v>
      </c>
      <c r="AB81" s="99">
        <v>8</v>
      </c>
      <c r="AC81" s="99">
        <v>6028.8</v>
      </c>
      <c r="AD81" s="99">
        <v>6</v>
      </c>
      <c r="AE81" s="99">
        <v>4521.6000000000004</v>
      </c>
      <c r="AF81" s="99">
        <v>8</v>
      </c>
      <c r="AG81" s="99">
        <v>6028.8</v>
      </c>
      <c r="AH81" s="99">
        <v>6</v>
      </c>
      <c r="AI81" s="99">
        <v>4521.6000000000004</v>
      </c>
      <c r="AJ81" s="99">
        <v>8</v>
      </c>
      <c r="AK81" s="99">
        <v>6028.8</v>
      </c>
      <c r="AL81" s="99">
        <v>11</v>
      </c>
      <c r="AM81" s="99">
        <v>8289.6</v>
      </c>
      <c r="AN81" s="99">
        <v>10</v>
      </c>
      <c r="AO81" s="99">
        <v>7536</v>
      </c>
      <c r="AP81" s="99">
        <v>11</v>
      </c>
      <c r="AQ81" s="99">
        <v>8289.6</v>
      </c>
      <c r="AR81" s="99">
        <v>10</v>
      </c>
      <c r="AS81" s="99">
        <v>7536</v>
      </c>
      <c r="AT81" s="99">
        <v>12</v>
      </c>
      <c r="AU81" s="99">
        <v>9043.2000000000007</v>
      </c>
      <c r="AV81" s="99">
        <v>6</v>
      </c>
      <c r="AW81" s="99">
        <v>4521.6000000000004</v>
      </c>
      <c r="AX81" s="99">
        <v>10</v>
      </c>
      <c r="AY81" s="99">
        <v>7536</v>
      </c>
      <c r="AZ81" s="99">
        <v>7</v>
      </c>
      <c r="BA81" s="99">
        <v>5275.2</v>
      </c>
      <c r="BB81" s="99">
        <v>7</v>
      </c>
      <c r="BC81" s="99">
        <v>5275.2</v>
      </c>
      <c r="BD81" s="99">
        <v>9</v>
      </c>
      <c r="BE81" s="99">
        <v>6782.4000000000005</v>
      </c>
      <c r="BF81" s="99">
        <v>6</v>
      </c>
      <c r="BG81" s="99">
        <v>4521.6000000000004</v>
      </c>
      <c r="BH81" s="99">
        <v>9</v>
      </c>
      <c r="BI81" s="99">
        <v>6782.4000000000005</v>
      </c>
      <c r="BJ81" s="99">
        <v>7</v>
      </c>
      <c r="BK81" s="99">
        <v>5275.2</v>
      </c>
      <c r="BL81" s="99">
        <v>6</v>
      </c>
      <c r="BM81" s="99">
        <v>4521.6000000000004</v>
      </c>
      <c r="BN81" s="99">
        <v>10</v>
      </c>
      <c r="BO81" s="99">
        <v>7536</v>
      </c>
      <c r="BP81" s="99">
        <v>10</v>
      </c>
      <c r="BQ81" s="99">
        <v>7536</v>
      </c>
      <c r="BR81" s="99">
        <v>7</v>
      </c>
      <c r="BS81" s="99">
        <v>5275.2</v>
      </c>
      <c r="BT81" s="99">
        <v>9</v>
      </c>
      <c r="BU81" s="99">
        <v>6782.4000000000005</v>
      </c>
      <c r="BV81" s="99">
        <v>9</v>
      </c>
      <c r="BW81" s="99">
        <v>6782.4000000000005</v>
      </c>
      <c r="BX81" s="99">
        <v>8</v>
      </c>
      <c r="BY81" s="99">
        <v>6028.8</v>
      </c>
      <c r="BZ81" s="99">
        <v>12</v>
      </c>
      <c r="CA81" s="99">
        <v>9043.2000000000007</v>
      </c>
      <c r="CB81" s="99">
        <v>8</v>
      </c>
      <c r="CC81" s="99">
        <v>6028.8</v>
      </c>
      <c r="CD81" s="99">
        <v>10</v>
      </c>
      <c r="CE81" s="99">
        <v>7536</v>
      </c>
      <c r="CF81" s="99">
        <v>9</v>
      </c>
      <c r="CG81" s="99">
        <v>6782.4000000000005</v>
      </c>
      <c r="CH81" s="99">
        <v>6</v>
      </c>
      <c r="CI81" s="99">
        <v>4521.6000000000004</v>
      </c>
      <c r="CJ81" s="99">
        <v>12</v>
      </c>
      <c r="CK81" s="99">
        <v>9043.2000000000007</v>
      </c>
      <c r="CL81" s="99">
        <v>7</v>
      </c>
      <c r="CM81" s="99">
        <v>5275.2</v>
      </c>
      <c r="CN81" s="99">
        <v>11</v>
      </c>
      <c r="CO81" s="99">
        <v>8289.6</v>
      </c>
      <c r="CP81" s="99">
        <v>12</v>
      </c>
      <c r="CQ81" s="99">
        <v>9043.2000000000007</v>
      </c>
      <c r="CR81" s="99">
        <v>6</v>
      </c>
      <c r="CS81" s="99">
        <v>4521.6000000000004</v>
      </c>
      <c r="CT81" s="99">
        <v>11</v>
      </c>
      <c r="CU81" s="99">
        <v>8289.6</v>
      </c>
    </row>
    <row r="82" spans="2:99">
      <c r="C82" s="98" t="s">
        <v>247</v>
      </c>
      <c r="D82" s="99">
        <v>0</v>
      </c>
      <c r="E82" s="99">
        <v>0</v>
      </c>
      <c r="F82" s="99">
        <v>0</v>
      </c>
      <c r="G82" s="99">
        <v>0</v>
      </c>
      <c r="H82" s="99">
        <v>6.2951253690741122</v>
      </c>
      <c r="I82" s="99">
        <v>3202.9597877849078</v>
      </c>
      <c r="J82" s="99">
        <v>9</v>
      </c>
      <c r="K82" s="99">
        <v>4579.1999999999989</v>
      </c>
      <c r="L82" s="99">
        <v>7</v>
      </c>
      <c r="M82" s="99">
        <v>3561.5999999999995</v>
      </c>
      <c r="N82" s="99">
        <v>8</v>
      </c>
      <c r="O82" s="99">
        <v>4070.3999999999992</v>
      </c>
      <c r="P82" s="99">
        <v>9</v>
      </c>
      <c r="Q82" s="99">
        <v>4579.1999999999989</v>
      </c>
      <c r="R82" s="99">
        <v>10</v>
      </c>
      <c r="S82" s="99">
        <v>5087.9999999999991</v>
      </c>
      <c r="T82" s="99">
        <v>7</v>
      </c>
      <c r="U82" s="99">
        <v>3561.5999999999995</v>
      </c>
      <c r="V82" s="99">
        <v>11</v>
      </c>
      <c r="W82" s="99">
        <v>5596.7999999999993</v>
      </c>
      <c r="X82" s="99">
        <v>6</v>
      </c>
      <c r="Y82" s="99">
        <v>3052.7999999999993</v>
      </c>
      <c r="Z82" s="99">
        <v>7</v>
      </c>
      <c r="AA82" s="99">
        <v>3561.5999999999995</v>
      </c>
      <c r="AB82" s="99">
        <v>8</v>
      </c>
      <c r="AC82" s="99">
        <v>4070.3999999999992</v>
      </c>
      <c r="AD82" s="99">
        <v>7</v>
      </c>
      <c r="AE82" s="99">
        <v>3561.5999999999995</v>
      </c>
      <c r="AF82" s="99">
        <v>8</v>
      </c>
      <c r="AG82" s="99">
        <v>4070.3999999999992</v>
      </c>
      <c r="AH82" s="99">
        <v>6</v>
      </c>
      <c r="AI82" s="99">
        <v>3052.7999999999993</v>
      </c>
      <c r="AJ82" s="99">
        <v>8</v>
      </c>
      <c r="AK82" s="99">
        <v>4070.3999999999992</v>
      </c>
      <c r="AL82" s="99">
        <v>11</v>
      </c>
      <c r="AM82" s="99">
        <v>5596.7999999999993</v>
      </c>
      <c r="AN82" s="99">
        <v>9</v>
      </c>
      <c r="AO82" s="99">
        <v>4579.1999999999989</v>
      </c>
      <c r="AP82" s="99">
        <v>13</v>
      </c>
      <c r="AQ82" s="99">
        <v>6614.3999999999987</v>
      </c>
      <c r="AR82" s="99">
        <v>10</v>
      </c>
      <c r="AS82" s="99">
        <v>5087.9999999999991</v>
      </c>
      <c r="AT82" s="99">
        <v>11</v>
      </c>
      <c r="AU82" s="99">
        <v>5596.7999999999993</v>
      </c>
      <c r="AV82" s="99">
        <v>7</v>
      </c>
      <c r="AW82" s="99">
        <v>3561.5999999999995</v>
      </c>
      <c r="AX82" s="99">
        <v>10</v>
      </c>
      <c r="AY82" s="99">
        <v>5087.9999999999991</v>
      </c>
      <c r="AZ82" s="99">
        <v>8</v>
      </c>
      <c r="BA82" s="99">
        <v>4070.3999999999992</v>
      </c>
      <c r="BB82" s="99">
        <v>7</v>
      </c>
      <c r="BC82" s="99">
        <v>3561.5999999999995</v>
      </c>
      <c r="BD82" s="99">
        <v>10</v>
      </c>
      <c r="BE82" s="99">
        <v>5087.9999999999991</v>
      </c>
      <c r="BF82" s="99">
        <v>6</v>
      </c>
      <c r="BG82" s="99">
        <v>3052.7999999999993</v>
      </c>
      <c r="BH82" s="99">
        <v>9</v>
      </c>
      <c r="BI82" s="99">
        <v>4579.1999999999989</v>
      </c>
      <c r="BJ82" s="99">
        <v>7</v>
      </c>
      <c r="BK82" s="99">
        <v>3561.5999999999995</v>
      </c>
      <c r="BL82" s="99">
        <v>7</v>
      </c>
      <c r="BM82" s="99">
        <v>3561.5999999999995</v>
      </c>
      <c r="BN82" s="99">
        <v>10</v>
      </c>
      <c r="BO82" s="99">
        <v>5087.9999999999991</v>
      </c>
      <c r="BP82" s="99">
        <v>10</v>
      </c>
      <c r="BQ82" s="99">
        <v>5087.9999999999991</v>
      </c>
      <c r="BR82" s="99">
        <v>6</v>
      </c>
      <c r="BS82" s="99">
        <v>3052.7999999999993</v>
      </c>
      <c r="BT82" s="99">
        <v>10</v>
      </c>
      <c r="BU82" s="99">
        <v>5087.9999999999991</v>
      </c>
      <c r="BV82" s="99">
        <v>10</v>
      </c>
      <c r="BW82" s="99">
        <v>5087.9999999999991</v>
      </c>
      <c r="BX82" s="99">
        <v>8</v>
      </c>
      <c r="BY82" s="99">
        <v>4070.3999999999992</v>
      </c>
      <c r="BZ82" s="99">
        <v>12</v>
      </c>
      <c r="CA82" s="99">
        <v>6105.5999999999985</v>
      </c>
      <c r="CB82" s="99">
        <v>7</v>
      </c>
      <c r="CC82" s="99">
        <v>3561.5999999999995</v>
      </c>
      <c r="CD82" s="99">
        <v>12</v>
      </c>
      <c r="CE82" s="99">
        <v>6105.5999999999985</v>
      </c>
      <c r="CF82" s="99">
        <v>8</v>
      </c>
      <c r="CG82" s="99">
        <v>4070.3999999999992</v>
      </c>
      <c r="CH82" s="99">
        <v>6</v>
      </c>
      <c r="CI82" s="99">
        <v>3052.7999999999993</v>
      </c>
      <c r="CJ82" s="99">
        <v>11</v>
      </c>
      <c r="CK82" s="99">
        <v>5596.7999999999993</v>
      </c>
      <c r="CL82" s="99">
        <v>7</v>
      </c>
      <c r="CM82" s="99">
        <v>3561.5999999999995</v>
      </c>
      <c r="CN82" s="99">
        <v>11</v>
      </c>
      <c r="CO82" s="99">
        <v>5596.7999999999993</v>
      </c>
      <c r="CP82" s="99">
        <v>10</v>
      </c>
      <c r="CQ82" s="99">
        <v>5087.9999999999991</v>
      </c>
      <c r="CR82" s="99">
        <v>7</v>
      </c>
      <c r="CS82" s="99">
        <v>3561.5999999999995</v>
      </c>
      <c r="CT82" s="99">
        <v>13</v>
      </c>
      <c r="CU82" s="99">
        <v>6614.3999999999987</v>
      </c>
    </row>
    <row r="83" spans="2:99">
      <c r="C83" s="98" t="s">
        <v>248</v>
      </c>
      <c r="D83" s="99">
        <v>0</v>
      </c>
      <c r="E83" s="99">
        <v>0</v>
      </c>
      <c r="F83" s="99">
        <v>0</v>
      </c>
      <c r="G83" s="99">
        <v>0</v>
      </c>
      <c r="H83" s="99">
        <v>7.1944289932275565</v>
      </c>
      <c r="I83" s="99">
        <v>6190.0867057729893</v>
      </c>
      <c r="J83" s="99">
        <v>9</v>
      </c>
      <c r="K83" s="99">
        <v>7743.5999999999995</v>
      </c>
      <c r="L83" s="99">
        <v>7</v>
      </c>
      <c r="M83" s="99">
        <v>6022.8</v>
      </c>
      <c r="N83" s="99">
        <v>8</v>
      </c>
      <c r="O83" s="99">
        <v>6883.2</v>
      </c>
      <c r="P83" s="99">
        <v>9</v>
      </c>
      <c r="Q83" s="99">
        <v>7743.5999999999995</v>
      </c>
      <c r="R83" s="99">
        <v>9</v>
      </c>
      <c r="S83" s="99">
        <v>7743.5999999999995</v>
      </c>
      <c r="T83" s="99">
        <v>6</v>
      </c>
      <c r="U83" s="99">
        <v>5162.3999999999996</v>
      </c>
      <c r="V83" s="99">
        <v>11</v>
      </c>
      <c r="W83" s="99">
        <v>9464.4</v>
      </c>
      <c r="X83" s="99">
        <v>6</v>
      </c>
      <c r="Y83" s="99">
        <v>5162.3999999999996</v>
      </c>
      <c r="Z83" s="99">
        <v>7</v>
      </c>
      <c r="AA83" s="99">
        <v>6022.8</v>
      </c>
      <c r="AB83" s="99">
        <v>8</v>
      </c>
      <c r="AC83" s="99">
        <v>6883.2</v>
      </c>
      <c r="AD83" s="99">
        <v>7</v>
      </c>
      <c r="AE83" s="99">
        <v>6022.8</v>
      </c>
      <c r="AF83" s="99">
        <v>8</v>
      </c>
      <c r="AG83" s="99">
        <v>6883.2</v>
      </c>
      <c r="AH83" s="99">
        <v>6</v>
      </c>
      <c r="AI83" s="99">
        <v>5162.3999999999996</v>
      </c>
      <c r="AJ83" s="99">
        <v>7</v>
      </c>
      <c r="AK83" s="99">
        <v>6022.8</v>
      </c>
      <c r="AL83" s="99">
        <v>11</v>
      </c>
      <c r="AM83" s="99">
        <v>9464.4</v>
      </c>
      <c r="AN83" s="99">
        <v>8</v>
      </c>
      <c r="AO83" s="99">
        <v>6883.2</v>
      </c>
      <c r="AP83" s="99">
        <v>11</v>
      </c>
      <c r="AQ83" s="99">
        <v>9464.4</v>
      </c>
      <c r="AR83" s="99">
        <v>11</v>
      </c>
      <c r="AS83" s="99">
        <v>9464.4</v>
      </c>
      <c r="AT83" s="99">
        <v>12</v>
      </c>
      <c r="AU83" s="99">
        <v>10324.799999999999</v>
      </c>
      <c r="AV83" s="99">
        <v>7</v>
      </c>
      <c r="AW83" s="99">
        <v>6022.8</v>
      </c>
      <c r="AX83" s="99">
        <v>10</v>
      </c>
      <c r="AY83" s="99">
        <v>8604</v>
      </c>
      <c r="AZ83" s="99">
        <v>7</v>
      </c>
      <c r="BA83" s="99">
        <v>6022.8</v>
      </c>
      <c r="BB83" s="99">
        <v>6</v>
      </c>
      <c r="BC83" s="99">
        <v>5162.3999999999996</v>
      </c>
      <c r="BD83" s="99">
        <v>10</v>
      </c>
      <c r="BE83" s="99">
        <v>8604</v>
      </c>
      <c r="BF83" s="99">
        <v>6</v>
      </c>
      <c r="BG83" s="99">
        <v>5162.3999999999996</v>
      </c>
      <c r="BH83" s="99">
        <v>9</v>
      </c>
      <c r="BI83" s="99">
        <v>7743.5999999999995</v>
      </c>
      <c r="BJ83" s="99">
        <v>6</v>
      </c>
      <c r="BK83" s="99">
        <v>5162.3999999999996</v>
      </c>
      <c r="BL83" s="99">
        <v>7</v>
      </c>
      <c r="BM83" s="99">
        <v>6022.8</v>
      </c>
      <c r="BN83" s="99">
        <v>10</v>
      </c>
      <c r="BO83" s="99">
        <v>8604</v>
      </c>
      <c r="BP83" s="99">
        <v>9</v>
      </c>
      <c r="BQ83" s="99">
        <v>7743.5999999999995</v>
      </c>
      <c r="BR83" s="99">
        <v>6</v>
      </c>
      <c r="BS83" s="99">
        <v>5162.3999999999996</v>
      </c>
      <c r="BT83" s="99">
        <v>9</v>
      </c>
      <c r="BU83" s="99">
        <v>7743.5999999999995</v>
      </c>
      <c r="BV83" s="99">
        <v>9</v>
      </c>
      <c r="BW83" s="99">
        <v>7743.5999999999995</v>
      </c>
      <c r="BX83" s="99">
        <v>7</v>
      </c>
      <c r="BY83" s="99">
        <v>6022.8</v>
      </c>
      <c r="BZ83" s="99">
        <v>10</v>
      </c>
      <c r="CA83" s="99">
        <v>8604</v>
      </c>
      <c r="CB83" s="99">
        <v>7</v>
      </c>
      <c r="CC83" s="99">
        <v>6022.8</v>
      </c>
      <c r="CD83" s="99">
        <v>11</v>
      </c>
      <c r="CE83" s="99">
        <v>9464.4</v>
      </c>
      <c r="CF83" s="99">
        <v>9</v>
      </c>
      <c r="CG83" s="99">
        <v>7743.5999999999995</v>
      </c>
      <c r="CH83" s="99">
        <v>6</v>
      </c>
      <c r="CI83" s="99">
        <v>5162.3999999999996</v>
      </c>
      <c r="CJ83" s="99">
        <v>12</v>
      </c>
      <c r="CK83" s="99">
        <v>10324.799999999999</v>
      </c>
      <c r="CL83" s="99">
        <v>7</v>
      </c>
      <c r="CM83" s="99">
        <v>6022.8</v>
      </c>
      <c r="CN83" s="99">
        <v>11</v>
      </c>
      <c r="CO83" s="99">
        <v>9464.4</v>
      </c>
      <c r="CP83" s="99">
        <v>11</v>
      </c>
      <c r="CQ83" s="99">
        <v>9464.4</v>
      </c>
      <c r="CR83" s="99">
        <v>7</v>
      </c>
      <c r="CS83" s="99">
        <v>6022.8</v>
      </c>
      <c r="CT83" s="99">
        <v>11</v>
      </c>
      <c r="CU83" s="99">
        <v>9464.4</v>
      </c>
    </row>
    <row r="84" spans="2:99">
      <c r="C84" s="98" t="s">
        <v>249</v>
      </c>
      <c r="D84" s="99">
        <v>0</v>
      </c>
      <c r="E84" s="99">
        <v>0</v>
      </c>
      <c r="F84" s="99">
        <v>0</v>
      </c>
      <c r="G84" s="99">
        <v>0</v>
      </c>
      <c r="H84" s="99">
        <v>6.2951253690741122</v>
      </c>
      <c r="I84" s="99">
        <v>4917.7519383206964</v>
      </c>
      <c r="J84" s="99">
        <v>9</v>
      </c>
      <c r="K84" s="99">
        <v>7030.7999999999993</v>
      </c>
      <c r="L84" s="99">
        <v>7</v>
      </c>
      <c r="M84" s="99">
        <v>5468.4</v>
      </c>
      <c r="N84" s="99">
        <v>8</v>
      </c>
      <c r="O84" s="99">
        <v>6249.5999999999995</v>
      </c>
      <c r="P84" s="99">
        <v>9</v>
      </c>
      <c r="Q84" s="99">
        <v>7030.7999999999993</v>
      </c>
      <c r="R84" s="99">
        <v>9</v>
      </c>
      <c r="S84" s="99">
        <v>7030.7999999999993</v>
      </c>
      <c r="T84" s="99">
        <v>6</v>
      </c>
      <c r="U84" s="99">
        <v>4687.2</v>
      </c>
      <c r="V84" s="99">
        <v>10</v>
      </c>
      <c r="W84" s="99">
        <v>7811.9999999999991</v>
      </c>
      <c r="X84" s="99">
        <v>6</v>
      </c>
      <c r="Y84" s="99">
        <v>4687.2</v>
      </c>
      <c r="Z84" s="99">
        <v>6</v>
      </c>
      <c r="AA84" s="99">
        <v>4687.2</v>
      </c>
      <c r="AB84" s="99">
        <v>8</v>
      </c>
      <c r="AC84" s="99">
        <v>6249.5999999999995</v>
      </c>
      <c r="AD84" s="99">
        <v>8</v>
      </c>
      <c r="AE84" s="99">
        <v>6249.5999999999995</v>
      </c>
      <c r="AF84" s="99">
        <v>8</v>
      </c>
      <c r="AG84" s="99">
        <v>6249.5999999999995</v>
      </c>
      <c r="AH84" s="99">
        <v>7</v>
      </c>
      <c r="AI84" s="99">
        <v>5468.4</v>
      </c>
      <c r="AJ84" s="99">
        <v>8</v>
      </c>
      <c r="AK84" s="99">
        <v>6249.5999999999995</v>
      </c>
      <c r="AL84" s="99">
        <v>10</v>
      </c>
      <c r="AM84" s="99">
        <v>7811.9999999999991</v>
      </c>
      <c r="AN84" s="99">
        <v>10</v>
      </c>
      <c r="AO84" s="99">
        <v>7811.9999999999991</v>
      </c>
      <c r="AP84" s="99">
        <v>12</v>
      </c>
      <c r="AQ84" s="99">
        <v>9374.4</v>
      </c>
      <c r="AR84" s="99">
        <v>9</v>
      </c>
      <c r="AS84" s="99">
        <v>7030.7999999999993</v>
      </c>
      <c r="AT84" s="99">
        <v>11</v>
      </c>
      <c r="AU84" s="99">
        <v>8593.1999999999989</v>
      </c>
      <c r="AV84" s="99">
        <v>6</v>
      </c>
      <c r="AW84" s="99">
        <v>4687.2</v>
      </c>
      <c r="AX84" s="99">
        <v>10</v>
      </c>
      <c r="AY84" s="99">
        <v>7811.9999999999991</v>
      </c>
      <c r="AZ84" s="99">
        <v>8</v>
      </c>
      <c r="BA84" s="99">
        <v>6249.5999999999995</v>
      </c>
      <c r="BB84" s="99">
        <v>7</v>
      </c>
      <c r="BC84" s="99">
        <v>5468.4</v>
      </c>
      <c r="BD84" s="99">
        <v>9</v>
      </c>
      <c r="BE84" s="99">
        <v>7030.7999999999993</v>
      </c>
      <c r="BF84" s="99">
        <v>6</v>
      </c>
      <c r="BG84" s="99">
        <v>4687.2</v>
      </c>
      <c r="BH84" s="99">
        <v>8</v>
      </c>
      <c r="BI84" s="99">
        <v>6249.5999999999995</v>
      </c>
      <c r="BJ84" s="99">
        <v>6</v>
      </c>
      <c r="BK84" s="99">
        <v>4687.2</v>
      </c>
      <c r="BL84" s="99">
        <v>6</v>
      </c>
      <c r="BM84" s="99">
        <v>4687.2</v>
      </c>
      <c r="BN84" s="99">
        <v>10</v>
      </c>
      <c r="BO84" s="99">
        <v>7811.9999999999991</v>
      </c>
      <c r="BP84" s="99">
        <v>9</v>
      </c>
      <c r="BQ84" s="99">
        <v>7030.7999999999993</v>
      </c>
      <c r="BR84" s="99">
        <v>7</v>
      </c>
      <c r="BS84" s="99">
        <v>5468.4</v>
      </c>
      <c r="BT84" s="99">
        <v>8</v>
      </c>
      <c r="BU84" s="99">
        <v>6249.5999999999995</v>
      </c>
      <c r="BV84" s="99">
        <v>9</v>
      </c>
      <c r="BW84" s="99">
        <v>7030.7999999999993</v>
      </c>
      <c r="BX84" s="99">
        <v>7</v>
      </c>
      <c r="BY84" s="99">
        <v>5468.4</v>
      </c>
      <c r="BZ84" s="99">
        <v>11</v>
      </c>
      <c r="CA84" s="99">
        <v>8593.1999999999989</v>
      </c>
      <c r="CB84" s="99">
        <v>8</v>
      </c>
      <c r="CC84" s="99">
        <v>6249.5999999999995</v>
      </c>
      <c r="CD84" s="99">
        <v>10</v>
      </c>
      <c r="CE84" s="99">
        <v>7811.9999999999991</v>
      </c>
      <c r="CF84" s="99">
        <v>9</v>
      </c>
      <c r="CG84" s="99">
        <v>7030.7999999999993</v>
      </c>
      <c r="CH84" s="99">
        <v>6</v>
      </c>
      <c r="CI84" s="99">
        <v>4687.2</v>
      </c>
      <c r="CJ84" s="99">
        <v>11</v>
      </c>
      <c r="CK84" s="99">
        <v>8593.1999999999989</v>
      </c>
      <c r="CL84" s="99">
        <v>6</v>
      </c>
      <c r="CM84" s="99">
        <v>4687.2</v>
      </c>
      <c r="CN84" s="99">
        <v>10</v>
      </c>
      <c r="CO84" s="99">
        <v>7811.9999999999991</v>
      </c>
      <c r="CP84" s="99">
        <v>12</v>
      </c>
      <c r="CQ84" s="99">
        <v>9374.4</v>
      </c>
      <c r="CR84" s="99">
        <v>6</v>
      </c>
      <c r="CS84" s="99">
        <v>4687.2</v>
      </c>
      <c r="CT84" s="99">
        <v>12</v>
      </c>
      <c r="CU84" s="99">
        <v>9374.4</v>
      </c>
    </row>
    <row r="85" spans="2:99">
      <c r="C85" s="98" t="s">
        <v>250</v>
      </c>
      <c r="D85" s="99">
        <v>0</v>
      </c>
      <c r="E85" s="99">
        <v>0</v>
      </c>
      <c r="F85" s="99">
        <v>0</v>
      </c>
      <c r="G85" s="99">
        <v>0</v>
      </c>
      <c r="H85" s="99">
        <v>7.1944289932275565</v>
      </c>
      <c r="I85" s="99">
        <v>1079.1643489841335</v>
      </c>
      <c r="J85" s="99">
        <v>10</v>
      </c>
      <c r="K85" s="99">
        <v>1500</v>
      </c>
      <c r="L85" s="99">
        <v>8</v>
      </c>
      <c r="M85" s="99">
        <v>1200</v>
      </c>
      <c r="N85" s="99">
        <v>8</v>
      </c>
      <c r="O85" s="99">
        <v>1200</v>
      </c>
      <c r="P85" s="99">
        <v>9</v>
      </c>
      <c r="Q85" s="99">
        <v>1350</v>
      </c>
      <c r="R85" s="99">
        <v>9</v>
      </c>
      <c r="S85" s="99">
        <v>1350</v>
      </c>
      <c r="T85" s="99">
        <v>6</v>
      </c>
      <c r="U85" s="99">
        <v>900</v>
      </c>
      <c r="V85" s="99">
        <v>12</v>
      </c>
      <c r="W85" s="99">
        <v>1800</v>
      </c>
      <c r="X85" s="99">
        <v>6</v>
      </c>
      <c r="Y85" s="99">
        <v>900</v>
      </c>
      <c r="Z85" s="99">
        <v>6</v>
      </c>
      <c r="AA85" s="99">
        <v>900</v>
      </c>
      <c r="AB85" s="99">
        <v>8</v>
      </c>
      <c r="AC85" s="99">
        <v>1200</v>
      </c>
      <c r="AD85" s="99">
        <v>7</v>
      </c>
      <c r="AE85" s="99">
        <v>1050</v>
      </c>
      <c r="AF85" s="99">
        <v>7</v>
      </c>
      <c r="AG85" s="99">
        <v>1050</v>
      </c>
      <c r="AH85" s="99">
        <v>6</v>
      </c>
      <c r="AI85" s="99">
        <v>900</v>
      </c>
      <c r="AJ85" s="99">
        <v>9</v>
      </c>
      <c r="AK85" s="99">
        <v>1350</v>
      </c>
      <c r="AL85" s="99">
        <v>10</v>
      </c>
      <c r="AM85" s="99">
        <v>1500</v>
      </c>
      <c r="AN85" s="99">
        <v>10</v>
      </c>
      <c r="AO85" s="99">
        <v>1500</v>
      </c>
      <c r="AP85" s="99">
        <v>12</v>
      </c>
      <c r="AQ85" s="99">
        <v>1800</v>
      </c>
      <c r="AR85" s="99">
        <v>11</v>
      </c>
      <c r="AS85" s="99">
        <v>1650</v>
      </c>
      <c r="AT85" s="99">
        <v>12</v>
      </c>
      <c r="AU85" s="99">
        <v>1800</v>
      </c>
      <c r="AV85" s="99">
        <v>6</v>
      </c>
      <c r="AW85" s="99">
        <v>900</v>
      </c>
      <c r="AX85" s="99">
        <v>10</v>
      </c>
      <c r="AY85" s="99">
        <v>1500</v>
      </c>
      <c r="AZ85" s="99">
        <v>8</v>
      </c>
      <c r="BA85" s="99">
        <v>1200</v>
      </c>
      <c r="BB85" s="99">
        <v>6</v>
      </c>
      <c r="BC85" s="99">
        <v>900</v>
      </c>
      <c r="BD85" s="99">
        <v>10</v>
      </c>
      <c r="BE85" s="99">
        <v>1500</v>
      </c>
      <c r="BF85" s="99">
        <v>6</v>
      </c>
      <c r="BG85" s="99">
        <v>900</v>
      </c>
      <c r="BH85" s="99">
        <v>9</v>
      </c>
      <c r="BI85" s="99">
        <v>1350</v>
      </c>
      <c r="BJ85" s="99">
        <v>7</v>
      </c>
      <c r="BK85" s="99">
        <v>1050</v>
      </c>
      <c r="BL85" s="99">
        <v>7</v>
      </c>
      <c r="BM85" s="99">
        <v>1050</v>
      </c>
      <c r="BN85" s="99">
        <v>11</v>
      </c>
      <c r="BO85" s="99">
        <v>1650</v>
      </c>
      <c r="BP85" s="99">
        <v>9</v>
      </c>
      <c r="BQ85" s="99">
        <v>1350</v>
      </c>
      <c r="BR85" s="99">
        <v>8</v>
      </c>
      <c r="BS85" s="99">
        <v>1200</v>
      </c>
      <c r="BT85" s="99">
        <v>10</v>
      </c>
      <c r="BU85" s="99">
        <v>1500</v>
      </c>
      <c r="BV85" s="99">
        <v>11</v>
      </c>
      <c r="BW85" s="99">
        <v>1650</v>
      </c>
      <c r="BX85" s="99">
        <v>8</v>
      </c>
      <c r="BY85" s="99">
        <v>1200</v>
      </c>
      <c r="BZ85" s="99">
        <v>11</v>
      </c>
      <c r="CA85" s="99">
        <v>1650</v>
      </c>
      <c r="CB85" s="99">
        <v>8</v>
      </c>
      <c r="CC85" s="99">
        <v>1200</v>
      </c>
      <c r="CD85" s="99">
        <v>12</v>
      </c>
      <c r="CE85" s="99">
        <v>1800</v>
      </c>
      <c r="CF85" s="99">
        <v>10</v>
      </c>
      <c r="CG85" s="99">
        <v>1500</v>
      </c>
      <c r="CH85" s="99">
        <v>7</v>
      </c>
      <c r="CI85" s="99">
        <v>1050</v>
      </c>
      <c r="CJ85" s="99">
        <v>10</v>
      </c>
      <c r="CK85" s="99">
        <v>1500</v>
      </c>
      <c r="CL85" s="99">
        <v>7</v>
      </c>
      <c r="CM85" s="99">
        <v>1050</v>
      </c>
      <c r="CN85" s="99">
        <v>12</v>
      </c>
      <c r="CO85" s="99">
        <v>1800</v>
      </c>
      <c r="CP85" s="99">
        <v>12</v>
      </c>
      <c r="CQ85" s="99">
        <v>1800</v>
      </c>
      <c r="CR85" s="99">
        <v>7</v>
      </c>
      <c r="CS85" s="99">
        <v>1050</v>
      </c>
      <c r="CT85" s="99">
        <v>13</v>
      </c>
      <c r="CU85" s="99">
        <v>1950</v>
      </c>
    </row>
    <row r="86" spans="2:99">
      <c r="C86" s="98" t="s">
        <v>251</v>
      </c>
      <c r="D86" s="99">
        <v>0</v>
      </c>
      <c r="E86" s="99">
        <v>0</v>
      </c>
      <c r="F86" s="99">
        <v>0</v>
      </c>
      <c r="G86" s="99">
        <v>0</v>
      </c>
      <c r="H86" s="99">
        <v>7.1944289932275565</v>
      </c>
      <c r="I86" s="99">
        <v>3884.9916563428806</v>
      </c>
      <c r="J86" s="99">
        <v>10</v>
      </c>
      <c r="K86" s="99">
        <v>5400</v>
      </c>
      <c r="L86" s="99">
        <v>8</v>
      </c>
      <c r="M86" s="99">
        <v>4320</v>
      </c>
      <c r="N86" s="99">
        <v>8</v>
      </c>
      <c r="O86" s="99">
        <v>4320</v>
      </c>
      <c r="P86" s="99">
        <v>9</v>
      </c>
      <c r="Q86" s="99">
        <v>4860</v>
      </c>
      <c r="R86" s="99">
        <v>9</v>
      </c>
      <c r="S86" s="99">
        <v>4860</v>
      </c>
      <c r="T86" s="99">
        <v>7</v>
      </c>
      <c r="U86" s="99">
        <v>3780</v>
      </c>
      <c r="V86" s="99">
        <v>11</v>
      </c>
      <c r="W86" s="99">
        <v>5940</v>
      </c>
      <c r="X86" s="99">
        <v>7</v>
      </c>
      <c r="Y86" s="99">
        <v>3780</v>
      </c>
      <c r="Z86" s="99">
        <v>7</v>
      </c>
      <c r="AA86" s="99">
        <v>3780</v>
      </c>
      <c r="AB86" s="99">
        <v>8</v>
      </c>
      <c r="AC86" s="99">
        <v>4320</v>
      </c>
      <c r="AD86" s="99">
        <v>8</v>
      </c>
      <c r="AE86" s="99">
        <v>4320</v>
      </c>
      <c r="AF86" s="99">
        <v>8</v>
      </c>
      <c r="AG86" s="99">
        <v>4320</v>
      </c>
      <c r="AH86" s="99">
        <v>6</v>
      </c>
      <c r="AI86" s="99">
        <v>3240</v>
      </c>
      <c r="AJ86" s="99">
        <v>8</v>
      </c>
      <c r="AK86" s="99">
        <v>4320</v>
      </c>
      <c r="AL86" s="99">
        <v>11</v>
      </c>
      <c r="AM86" s="99">
        <v>5940</v>
      </c>
      <c r="AN86" s="99">
        <v>9</v>
      </c>
      <c r="AO86" s="99">
        <v>4860</v>
      </c>
      <c r="AP86" s="99">
        <v>12</v>
      </c>
      <c r="AQ86" s="99">
        <v>6480</v>
      </c>
      <c r="AR86" s="99">
        <v>9</v>
      </c>
      <c r="AS86" s="99">
        <v>4860</v>
      </c>
      <c r="AT86" s="99">
        <v>11</v>
      </c>
      <c r="AU86" s="99">
        <v>5940</v>
      </c>
      <c r="AV86" s="99">
        <v>7</v>
      </c>
      <c r="AW86" s="99">
        <v>3780</v>
      </c>
      <c r="AX86" s="99">
        <v>10</v>
      </c>
      <c r="AY86" s="99">
        <v>5400</v>
      </c>
      <c r="AZ86" s="99">
        <v>7</v>
      </c>
      <c r="BA86" s="99">
        <v>3780</v>
      </c>
      <c r="BB86" s="99">
        <v>6</v>
      </c>
      <c r="BC86" s="99">
        <v>3240</v>
      </c>
      <c r="BD86" s="99">
        <v>9</v>
      </c>
      <c r="BE86" s="99">
        <v>4860</v>
      </c>
      <c r="BF86" s="99">
        <v>6</v>
      </c>
      <c r="BG86" s="99">
        <v>3240</v>
      </c>
      <c r="BH86" s="99">
        <v>9</v>
      </c>
      <c r="BI86" s="99">
        <v>4860</v>
      </c>
      <c r="BJ86" s="99">
        <v>7</v>
      </c>
      <c r="BK86" s="99">
        <v>3780</v>
      </c>
      <c r="BL86" s="99">
        <v>8</v>
      </c>
      <c r="BM86" s="99">
        <v>4320</v>
      </c>
      <c r="BN86" s="99">
        <v>11</v>
      </c>
      <c r="BO86" s="99">
        <v>5940</v>
      </c>
      <c r="BP86" s="99">
        <v>9</v>
      </c>
      <c r="BQ86" s="99">
        <v>4860</v>
      </c>
      <c r="BR86" s="99">
        <v>6</v>
      </c>
      <c r="BS86" s="99">
        <v>3240</v>
      </c>
      <c r="BT86" s="99">
        <v>10</v>
      </c>
      <c r="BU86" s="99">
        <v>5400</v>
      </c>
      <c r="BV86" s="99">
        <v>9</v>
      </c>
      <c r="BW86" s="99">
        <v>4860</v>
      </c>
      <c r="BX86" s="99">
        <v>8</v>
      </c>
      <c r="BY86" s="99">
        <v>4320</v>
      </c>
      <c r="BZ86" s="99">
        <v>10</v>
      </c>
      <c r="CA86" s="99">
        <v>5400</v>
      </c>
      <c r="CB86" s="99">
        <v>7</v>
      </c>
      <c r="CC86" s="99">
        <v>3780</v>
      </c>
      <c r="CD86" s="99">
        <v>10</v>
      </c>
      <c r="CE86" s="99">
        <v>5400</v>
      </c>
      <c r="CF86" s="99">
        <v>9</v>
      </c>
      <c r="CG86" s="99">
        <v>4860</v>
      </c>
      <c r="CH86" s="99">
        <v>6</v>
      </c>
      <c r="CI86" s="99">
        <v>3240</v>
      </c>
      <c r="CJ86" s="99">
        <v>12</v>
      </c>
      <c r="CK86" s="99">
        <v>6480</v>
      </c>
      <c r="CL86" s="99">
        <v>7</v>
      </c>
      <c r="CM86" s="99">
        <v>3780</v>
      </c>
      <c r="CN86" s="99">
        <v>12</v>
      </c>
      <c r="CO86" s="99">
        <v>6480</v>
      </c>
      <c r="CP86" s="99">
        <v>11</v>
      </c>
      <c r="CQ86" s="99">
        <v>5940</v>
      </c>
      <c r="CR86" s="99">
        <v>6</v>
      </c>
      <c r="CS86" s="99">
        <v>3240</v>
      </c>
      <c r="CT86" s="99">
        <v>13</v>
      </c>
      <c r="CU86" s="99">
        <v>7020</v>
      </c>
    </row>
    <row r="87" spans="2:99">
      <c r="B87" s="98" t="s">
        <v>131</v>
      </c>
      <c r="C87" s="98" t="s">
        <v>252</v>
      </c>
      <c r="D87" s="99">
        <v>0</v>
      </c>
      <c r="E87" s="99">
        <v>0</v>
      </c>
      <c r="F87" s="99">
        <v>0</v>
      </c>
      <c r="G87" s="99">
        <v>0</v>
      </c>
      <c r="H87" s="99">
        <v>4.4965181207672229</v>
      </c>
      <c r="I87" s="99">
        <v>8789.7936224757668</v>
      </c>
      <c r="J87" s="99">
        <v>9</v>
      </c>
      <c r="K87" s="99">
        <v>17593.2</v>
      </c>
      <c r="L87" s="99">
        <v>8</v>
      </c>
      <c r="M87" s="99">
        <v>15638.4</v>
      </c>
      <c r="N87" s="99">
        <v>8</v>
      </c>
      <c r="O87" s="99">
        <v>15638.4</v>
      </c>
      <c r="P87" s="99">
        <v>7</v>
      </c>
      <c r="Q87" s="99">
        <v>13683.6</v>
      </c>
      <c r="R87" s="99">
        <v>10</v>
      </c>
      <c r="S87" s="99">
        <v>19548</v>
      </c>
      <c r="T87" s="99">
        <v>9</v>
      </c>
      <c r="U87" s="99">
        <v>17593.2</v>
      </c>
      <c r="V87" s="99">
        <v>5</v>
      </c>
      <c r="W87" s="99">
        <v>9774</v>
      </c>
      <c r="X87" s="99">
        <v>8</v>
      </c>
      <c r="Y87" s="99">
        <v>15638.4</v>
      </c>
      <c r="Z87" s="99">
        <v>8</v>
      </c>
      <c r="AA87" s="99">
        <v>15638.4</v>
      </c>
      <c r="AB87" s="99">
        <v>8</v>
      </c>
      <c r="AC87" s="99">
        <v>15638.4</v>
      </c>
      <c r="AD87" s="99">
        <v>6</v>
      </c>
      <c r="AE87" s="99">
        <v>11728.8</v>
      </c>
      <c r="AF87" s="99">
        <v>6</v>
      </c>
      <c r="AG87" s="99">
        <v>11728.8</v>
      </c>
      <c r="AH87" s="99">
        <v>8</v>
      </c>
      <c r="AI87" s="99">
        <v>15638.4</v>
      </c>
      <c r="AJ87" s="99">
        <v>7</v>
      </c>
      <c r="AK87" s="99">
        <v>13683.6</v>
      </c>
      <c r="AL87" s="99">
        <v>6</v>
      </c>
      <c r="AM87" s="99">
        <v>11728.8</v>
      </c>
      <c r="AN87" s="99">
        <v>7</v>
      </c>
      <c r="AO87" s="99">
        <v>13683.6</v>
      </c>
      <c r="AP87" s="99">
        <v>6</v>
      </c>
      <c r="AQ87" s="99">
        <v>11728.8</v>
      </c>
      <c r="AR87" s="99">
        <v>7</v>
      </c>
      <c r="AS87" s="99">
        <v>13683.6</v>
      </c>
      <c r="AT87" s="99">
        <v>5</v>
      </c>
      <c r="AU87" s="99">
        <v>9774</v>
      </c>
      <c r="AV87" s="99">
        <v>9</v>
      </c>
      <c r="AW87" s="99">
        <v>17593.2</v>
      </c>
      <c r="AX87" s="99">
        <v>9</v>
      </c>
      <c r="AY87" s="99">
        <v>17593.2</v>
      </c>
      <c r="AZ87" s="99">
        <v>9</v>
      </c>
      <c r="BA87" s="99">
        <v>17593.2</v>
      </c>
      <c r="BB87" s="99">
        <v>5</v>
      </c>
      <c r="BC87" s="99">
        <v>9774</v>
      </c>
      <c r="BD87" s="99">
        <v>7</v>
      </c>
      <c r="BE87" s="99">
        <v>13683.6</v>
      </c>
      <c r="BF87" s="99">
        <v>6</v>
      </c>
      <c r="BG87" s="99">
        <v>11728.8</v>
      </c>
      <c r="BH87" s="99">
        <v>7</v>
      </c>
      <c r="BI87" s="99">
        <v>13683.6</v>
      </c>
      <c r="BJ87" s="99">
        <v>10</v>
      </c>
      <c r="BK87" s="99">
        <v>19548</v>
      </c>
      <c r="BL87" s="99">
        <v>9</v>
      </c>
      <c r="BM87" s="99">
        <v>17593.2</v>
      </c>
      <c r="BN87" s="99">
        <v>7</v>
      </c>
      <c r="BO87" s="99">
        <v>13683.6</v>
      </c>
      <c r="BP87" s="99">
        <v>8</v>
      </c>
      <c r="BQ87" s="99">
        <v>15638.4</v>
      </c>
      <c r="BR87" s="99">
        <v>11</v>
      </c>
      <c r="BS87" s="99">
        <v>21502.799999999999</v>
      </c>
      <c r="BT87" s="99">
        <v>9</v>
      </c>
      <c r="BU87" s="99">
        <v>17593.2</v>
      </c>
      <c r="BV87" s="99">
        <v>9</v>
      </c>
      <c r="BW87" s="99">
        <v>17593.2</v>
      </c>
      <c r="BX87" s="99">
        <v>9</v>
      </c>
      <c r="BY87" s="99">
        <v>17593.2</v>
      </c>
      <c r="BZ87" s="99">
        <v>8</v>
      </c>
      <c r="CA87" s="99">
        <v>15638.4</v>
      </c>
      <c r="CB87" s="99">
        <v>8</v>
      </c>
      <c r="CC87" s="99">
        <v>15638.4</v>
      </c>
      <c r="CD87" s="99">
        <v>7</v>
      </c>
      <c r="CE87" s="99">
        <v>13683.6</v>
      </c>
      <c r="CF87" s="99">
        <v>7</v>
      </c>
      <c r="CG87" s="99">
        <v>13683.6</v>
      </c>
      <c r="CH87" s="99">
        <v>6</v>
      </c>
      <c r="CI87" s="99">
        <v>11728.8</v>
      </c>
      <c r="CJ87" s="99">
        <v>6</v>
      </c>
      <c r="CK87" s="99">
        <v>11728.8</v>
      </c>
      <c r="CL87" s="99">
        <v>8</v>
      </c>
      <c r="CM87" s="99">
        <v>15638.4</v>
      </c>
      <c r="CN87" s="99">
        <v>11</v>
      </c>
      <c r="CO87" s="99">
        <v>21502.799999999999</v>
      </c>
      <c r="CP87" s="99">
        <v>8</v>
      </c>
      <c r="CQ87" s="99">
        <v>15638.4</v>
      </c>
      <c r="CR87" s="99">
        <v>7</v>
      </c>
      <c r="CS87" s="99">
        <v>13683.6</v>
      </c>
      <c r="CT87" s="99">
        <v>10</v>
      </c>
      <c r="CU87" s="99">
        <v>19548</v>
      </c>
    </row>
    <row r="88" spans="2:99">
      <c r="C88" s="98" t="s">
        <v>253</v>
      </c>
      <c r="D88" s="99">
        <v>0</v>
      </c>
      <c r="E88" s="99">
        <v>0</v>
      </c>
      <c r="F88" s="99">
        <v>0</v>
      </c>
      <c r="G88" s="99">
        <v>0</v>
      </c>
      <c r="H88" s="99">
        <v>4.4965181207672229</v>
      </c>
      <c r="I88" s="99">
        <v>8509.2108917398928</v>
      </c>
      <c r="J88" s="99">
        <v>9</v>
      </c>
      <c r="K88" s="99">
        <v>17031.599999999999</v>
      </c>
      <c r="L88" s="99">
        <v>8</v>
      </c>
      <c r="M88" s="99">
        <v>15139.199999999999</v>
      </c>
      <c r="N88" s="99">
        <v>9</v>
      </c>
      <c r="O88" s="99">
        <v>17031.599999999999</v>
      </c>
      <c r="P88" s="99">
        <v>7</v>
      </c>
      <c r="Q88" s="99">
        <v>13246.8</v>
      </c>
      <c r="R88" s="99">
        <v>10</v>
      </c>
      <c r="S88" s="99">
        <v>18924</v>
      </c>
      <c r="T88" s="99">
        <v>10</v>
      </c>
      <c r="U88" s="99">
        <v>18924</v>
      </c>
      <c r="V88" s="99">
        <v>5</v>
      </c>
      <c r="W88" s="99">
        <v>9462</v>
      </c>
      <c r="X88" s="99">
        <v>9</v>
      </c>
      <c r="Y88" s="99">
        <v>17031.599999999999</v>
      </c>
      <c r="Z88" s="99">
        <v>8</v>
      </c>
      <c r="AA88" s="99">
        <v>15139.199999999999</v>
      </c>
      <c r="AB88" s="99">
        <v>7</v>
      </c>
      <c r="AC88" s="99">
        <v>13246.8</v>
      </c>
      <c r="AD88" s="99">
        <v>6</v>
      </c>
      <c r="AE88" s="99">
        <v>11354.4</v>
      </c>
      <c r="AF88" s="99">
        <v>7</v>
      </c>
      <c r="AG88" s="99">
        <v>13246.8</v>
      </c>
      <c r="AH88" s="99">
        <v>9</v>
      </c>
      <c r="AI88" s="99">
        <v>17031.599999999999</v>
      </c>
      <c r="AJ88" s="99">
        <v>6</v>
      </c>
      <c r="AK88" s="99">
        <v>11354.4</v>
      </c>
      <c r="AL88" s="99">
        <v>5</v>
      </c>
      <c r="AM88" s="99">
        <v>9462</v>
      </c>
      <c r="AN88" s="99">
        <v>7</v>
      </c>
      <c r="AO88" s="99">
        <v>13246.8</v>
      </c>
      <c r="AP88" s="99">
        <v>7</v>
      </c>
      <c r="AQ88" s="99">
        <v>13246.8</v>
      </c>
      <c r="AR88" s="99">
        <v>7</v>
      </c>
      <c r="AS88" s="99">
        <v>13246.8</v>
      </c>
      <c r="AT88" s="99">
        <v>6</v>
      </c>
      <c r="AU88" s="99">
        <v>11354.4</v>
      </c>
      <c r="AV88" s="99">
        <v>9</v>
      </c>
      <c r="AW88" s="99">
        <v>17031.599999999999</v>
      </c>
      <c r="AX88" s="99">
        <v>9</v>
      </c>
      <c r="AY88" s="99">
        <v>17031.599999999999</v>
      </c>
      <c r="AZ88" s="99">
        <v>10</v>
      </c>
      <c r="BA88" s="99">
        <v>18924</v>
      </c>
      <c r="BB88" s="99">
        <v>6</v>
      </c>
      <c r="BC88" s="99">
        <v>11354.4</v>
      </c>
      <c r="BD88" s="99">
        <v>6</v>
      </c>
      <c r="BE88" s="99">
        <v>11354.4</v>
      </c>
      <c r="BF88" s="99">
        <v>6</v>
      </c>
      <c r="BG88" s="99">
        <v>11354.4</v>
      </c>
      <c r="BH88" s="99">
        <v>8</v>
      </c>
      <c r="BI88" s="99">
        <v>15139.199999999999</v>
      </c>
      <c r="BJ88" s="99">
        <v>9</v>
      </c>
      <c r="BK88" s="99">
        <v>17031.599999999999</v>
      </c>
      <c r="BL88" s="99">
        <v>8</v>
      </c>
      <c r="BM88" s="99">
        <v>15139.199999999999</v>
      </c>
      <c r="BN88" s="99">
        <v>7</v>
      </c>
      <c r="BO88" s="99">
        <v>13246.8</v>
      </c>
      <c r="BP88" s="99">
        <v>8</v>
      </c>
      <c r="BQ88" s="99">
        <v>15139.199999999999</v>
      </c>
      <c r="BR88" s="99">
        <v>11</v>
      </c>
      <c r="BS88" s="99">
        <v>20816.399999999998</v>
      </c>
      <c r="BT88" s="99">
        <v>9</v>
      </c>
      <c r="BU88" s="99">
        <v>17031.599999999999</v>
      </c>
      <c r="BV88" s="99">
        <v>8</v>
      </c>
      <c r="BW88" s="99">
        <v>15139.199999999999</v>
      </c>
      <c r="BX88" s="99">
        <v>10</v>
      </c>
      <c r="BY88" s="99">
        <v>18924</v>
      </c>
      <c r="BZ88" s="99">
        <v>8</v>
      </c>
      <c r="CA88" s="99">
        <v>15139.199999999999</v>
      </c>
      <c r="CB88" s="99">
        <v>9</v>
      </c>
      <c r="CC88" s="99">
        <v>17031.599999999999</v>
      </c>
      <c r="CD88" s="99">
        <v>6</v>
      </c>
      <c r="CE88" s="99">
        <v>11354.4</v>
      </c>
      <c r="CF88" s="99">
        <v>8</v>
      </c>
      <c r="CG88" s="99">
        <v>15139.199999999999</v>
      </c>
      <c r="CH88" s="99">
        <v>7</v>
      </c>
      <c r="CI88" s="99">
        <v>13246.8</v>
      </c>
      <c r="CJ88" s="99">
        <v>6</v>
      </c>
      <c r="CK88" s="99">
        <v>11354.4</v>
      </c>
      <c r="CL88" s="99">
        <v>7</v>
      </c>
      <c r="CM88" s="99">
        <v>13246.8</v>
      </c>
      <c r="CN88" s="99">
        <v>10</v>
      </c>
      <c r="CO88" s="99">
        <v>18924</v>
      </c>
      <c r="CP88" s="99">
        <v>7</v>
      </c>
      <c r="CQ88" s="99">
        <v>13246.8</v>
      </c>
      <c r="CR88" s="99">
        <v>6</v>
      </c>
      <c r="CS88" s="99">
        <v>11354.4</v>
      </c>
      <c r="CT88" s="99">
        <v>10</v>
      </c>
      <c r="CU88" s="99">
        <v>18924</v>
      </c>
    </row>
    <row r="89" spans="2:99">
      <c r="C89" s="98" t="s">
        <v>254</v>
      </c>
      <c r="D89" s="99">
        <v>0</v>
      </c>
      <c r="E89" s="99">
        <v>0</v>
      </c>
      <c r="F89" s="99">
        <v>0</v>
      </c>
      <c r="G89" s="99">
        <v>0</v>
      </c>
      <c r="H89" s="99">
        <v>4.4965181207672229</v>
      </c>
      <c r="I89" s="99">
        <v>10780.851846351494</v>
      </c>
      <c r="J89" s="99">
        <v>9</v>
      </c>
      <c r="K89" s="99">
        <v>21578.399999999998</v>
      </c>
      <c r="L89" s="99">
        <v>8</v>
      </c>
      <c r="M89" s="99">
        <v>19180.8</v>
      </c>
      <c r="N89" s="99">
        <v>9</v>
      </c>
      <c r="O89" s="99">
        <v>21578.399999999998</v>
      </c>
      <c r="P89" s="99">
        <v>7</v>
      </c>
      <c r="Q89" s="99">
        <v>16783.2</v>
      </c>
      <c r="R89" s="99">
        <v>10</v>
      </c>
      <c r="S89" s="99">
        <v>23976</v>
      </c>
      <c r="T89" s="99">
        <v>9</v>
      </c>
      <c r="U89" s="99">
        <v>21578.399999999998</v>
      </c>
      <c r="V89" s="99">
        <v>5</v>
      </c>
      <c r="W89" s="99">
        <v>11988</v>
      </c>
      <c r="X89" s="99">
        <v>8</v>
      </c>
      <c r="Y89" s="99">
        <v>19180.8</v>
      </c>
      <c r="Z89" s="99">
        <v>7</v>
      </c>
      <c r="AA89" s="99">
        <v>16783.2</v>
      </c>
      <c r="AB89" s="99">
        <v>7</v>
      </c>
      <c r="AC89" s="99">
        <v>16783.2</v>
      </c>
      <c r="AD89" s="99">
        <v>7</v>
      </c>
      <c r="AE89" s="99">
        <v>16783.2</v>
      </c>
      <c r="AF89" s="99">
        <v>6</v>
      </c>
      <c r="AG89" s="99">
        <v>14385.599999999999</v>
      </c>
      <c r="AH89" s="99">
        <v>8</v>
      </c>
      <c r="AI89" s="99">
        <v>19180.8</v>
      </c>
      <c r="AJ89" s="99">
        <v>6</v>
      </c>
      <c r="AK89" s="99">
        <v>14385.599999999999</v>
      </c>
      <c r="AL89" s="99">
        <v>5</v>
      </c>
      <c r="AM89" s="99">
        <v>11988</v>
      </c>
      <c r="AN89" s="99">
        <v>7</v>
      </c>
      <c r="AO89" s="99">
        <v>16783.2</v>
      </c>
      <c r="AP89" s="99">
        <v>7</v>
      </c>
      <c r="AQ89" s="99">
        <v>16783.2</v>
      </c>
      <c r="AR89" s="99">
        <v>7</v>
      </c>
      <c r="AS89" s="99">
        <v>16783.2</v>
      </c>
      <c r="AT89" s="99">
        <v>6</v>
      </c>
      <c r="AU89" s="99">
        <v>14385.599999999999</v>
      </c>
      <c r="AV89" s="99">
        <v>9</v>
      </c>
      <c r="AW89" s="99">
        <v>21578.399999999998</v>
      </c>
      <c r="AX89" s="99">
        <v>8</v>
      </c>
      <c r="AY89" s="99">
        <v>19180.8</v>
      </c>
      <c r="AZ89" s="99">
        <v>10</v>
      </c>
      <c r="BA89" s="99">
        <v>23976</v>
      </c>
      <c r="BB89" s="99">
        <v>5</v>
      </c>
      <c r="BC89" s="99">
        <v>11988</v>
      </c>
      <c r="BD89" s="99">
        <v>6</v>
      </c>
      <c r="BE89" s="99">
        <v>14385.599999999999</v>
      </c>
      <c r="BF89" s="99">
        <v>5</v>
      </c>
      <c r="BG89" s="99">
        <v>11988</v>
      </c>
      <c r="BH89" s="99">
        <v>8</v>
      </c>
      <c r="BI89" s="99">
        <v>19180.8</v>
      </c>
      <c r="BJ89" s="99">
        <v>9</v>
      </c>
      <c r="BK89" s="99">
        <v>21578.399999999998</v>
      </c>
      <c r="BL89" s="99">
        <v>8</v>
      </c>
      <c r="BM89" s="99">
        <v>19180.8</v>
      </c>
      <c r="BN89" s="99">
        <v>8</v>
      </c>
      <c r="BO89" s="99">
        <v>19180.8</v>
      </c>
      <c r="BP89" s="99">
        <v>8</v>
      </c>
      <c r="BQ89" s="99">
        <v>19180.8</v>
      </c>
      <c r="BR89" s="99">
        <v>10</v>
      </c>
      <c r="BS89" s="99">
        <v>23976</v>
      </c>
      <c r="BT89" s="99">
        <v>9</v>
      </c>
      <c r="BU89" s="99">
        <v>21578.399999999998</v>
      </c>
      <c r="BV89" s="99">
        <v>9</v>
      </c>
      <c r="BW89" s="99">
        <v>21578.399999999998</v>
      </c>
      <c r="BX89" s="99">
        <v>10</v>
      </c>
      <c r="BY89" s="99">
        <v>23976</v>
      </c>
      <c r="BZ89" s="99">
        <v>9</v>
      </c>
      <c r="CA89" s="99">
        <v>21578.399999999998</v>
      </c>
      <c r="CB89" s="99">
        <v>8</v>
      </c>
      <c r="CC89" s="99">
        <v>19180.8</v>
      </c>
      <c r="CD89" s="99">
        <v>7</v>
      </c>
      <c r="CE89" s="99">
        <v>16783.2</v>
      </c>
      <c r="CF89" s="99">
        <v>6</v>
      </c>
      <c r="CG89" s="99">
        <v>14385.599999999999</v>
      </c>
      <c r="CH89" s="99">
        <v>6</v>
      </c>
      <c r="CI89" s="99">
        <v>14385.599999999999</v>
      </c>
      <c r="CJ89" s="99">
        <v>6</v>
      </c>
      <c r="CK89" s="99">
        <v>14385.599999999999</v>
      </c>
      <c r="CL89" s="99">
        <v>8</v>
      </c>
      <c r="CM89" s="99">
        <v>19180.8</v>
      </c>
      <c r="CN89" s="99">
        <v>9</v>
      </c>
      <c r="CO89" s="99">
        <v>21578.399999999998</v>
      </c>
      <c r="CP89" s="99">
        <v>8</v>
      </c>
      <c r="CQ89" s="99">
        <v>19180.8</v>
      </c>
      <c r="CR89" s="99">
        <v>7</v>
      </c>
      <c r="CS89" s="99">
        <v>16783.2</v>
      </c>
      <c r="CT89" s="99">
        <v>9</v>
      </c>
      <c r="CU89" s="99">
        <v>21578.399999999998</v>
      </c>
    </row>
    <row r="90" spans="2:99">
      <c r="C90" s="98" t="s">
        <v>255</v>
      </c>
      <c r="D90" s="99">
        <v>0</v>
      </c>
      <c r="E90" s="99">
        <v>0</v>
      </c>
      <c r="F90" s="99">
        <v>0</v>
      </c>
      <c r="G90" s="99">
        <v>0</v>
      </c>
      <c r="H90" s="99">
        <v>3.5972144966137782</v>
      </c>
      <c r="I90" s="99">
        <v>7903.7996919597927</v>
      </c>
      <c r="J90" s="99">
        <v>9</v>
      </c>
      <c r="K90" s="99">
        <v>19774.8</v>
      </c>
      <c r="L90" s="99">
        <v>9</v>
      </c>
      <c r="M90" s="99">
        <v>19774.8</v>
      </c>
      <c r="N90" s="99">
        <v>9</v>
      </c>
      <c r="O90" s="99">
        <v>19774.8</v>
      </c>
      <c r="P90" s="99">
        <v>7</v>
      </c>
      <c r="Q90" s="99">
        <v>15380.399999999998</v>
      </c>
      <c r="R90" s="99">
        <v>9</v>
      </c>
      <c r="S90" s="99">
        <v>19774.8</v>
      </c>
      <c r="T90" s="99">
        <v>10</v>
      </c>
      <c r="U90" s="99">
        <v>21972</v>
      </c>
      <c r="V90" s="99">
        <v>5</v>
      </c>
      <c r="W90" s="99">
        <v>10986</v>
      </c>
      <c r="X90" s="99">
        <v>8</v>
      </c>
      <c r="Y90" s="99">
        <v>17577.599999999999</v>
      </c>
      <c r="Z90" s="99">
        <v>8</v>
      </c>
      <c r="AA90" s="99">
        <v>17577.599999999999</v>
      </c>
      <c r="AB90" s="99">
        <v>7</v>
      </c>
      <c r="AC90" s="99">
        <v>15380.399999999998</v>
      </c>
      <c r="AD90" s="99">
        <v>6</v>
      </c>
      <c r="AE90" s="99">
        <v>13183.199999999999</v>
      </c>
      <c r="AF90" s="99">
        <v>6</v>
      </c>
      <c r="AG90" s="99">
        <v>13183.199999999999</v>
      </c>
      <c r="AH90" s="99">
        <v>7</v>
      </c>
      <c r="AI90" s="99">
        <v>15380.399999999998</v>
      </c>
      <c r="AJ90" s="99">
        <v>7</v>
      </c>
      <c r="AK90" s="99">
        <v>15380.399999999998</v>
      </c>
      <c r="AL90" s="99">
        <v>5</v>
      </c>
      <c r="AM90" s="99">
        <v>10986</v>
      </c>
      <c r="AN90" s="99">
        <v>6</v>
      </c>
      <c r="AO90" s="99">
        <v>13183.199999999999</v>
      </c>
      <c r="AP90" s="99">
        <v>6</v>
      </c>
      <c r="AQ90" s="99">
        <v>13183.199999999999</v>
      </c>
      <c r="AR90" s="99">
        <v>6</v>
      </c>
      <c r="AS90" s="99">
        <v>13183.199999999999</v>
      </c>
      <c r="AT90" s="99">
        <v>5</v>
      </c>
      <c r="AU90" s="99">
        <v>10986</v>
      </c>
      <c r="AV90" s="99">
        <v>8</v>
      </c>
      <c r="AW90" s="99">
        <v>17577.599999999999</v>
      </c>
      <c r="AX90" s="99">
        <v>7</v>
      </c>
      <c r="AY90" s="99">
        <v>15380.399999999998</v>
      </c>
      <c r="AZ90" s="99">
        <v>10</v>
      </c>
      <c r="BA90" s="99">
        <v>21972</v>
      </c>
      <c r="BB90" s="99">
        <v>5</v>
      </c>
      <c r="BC90" s="99">
        <v>10986</v>
      </c>
      <c r="BD90" s="99">
        <v>6</v>
      </c>
      <c r="BE90" s="99">
        <v>13183.199999999999</v>
      </c>
      <c r="BF90" s="99">
        <v>6</v>
      </c>
      <c r="BG90" s="99">
        <v>13183.199999999999</v>
      </c>
      <c r="BH90" s="99">
        <v>7</v>
      </c>
      <c r="BI90" s="99">
        <v>15380.399999999998</v>
      </c>
      <c r="BJ90" s="99">
        <v>9</v>
      </c>
      <c r="BK90" s="99">
        <v>19774.8</v>
      </c>
      <c r="BL90" s="99">
        <v>8</v>
      </c>
      <c r="BM90" s="99">
        <v>17577.599999999999</v>
      </c>
      <c r="BN90" s="99">
        <v>7</v>
      </c>
      <c r="BO90" s="99">
        <v>15380.399999999998</v>
      </c>
      <c r="BP90" s="99">
        <v>8</v>
      </c>
      <c r="BQ90" s="99">
        <v>17577.599999999999</v>
      </c>
      <c r="BR90" s="99">
        <v>11</v>
      </c>
      <c r="BS90" s="99">
        <v>24169.199999999997</v>
      </c>
      <c r="BT90" s="99">
        <v>9</v>
      </c>
      <c r="BU90" s="99">
        <v>19774.8</v>
      </c>
      <c r="BV90" s="99">
        <v>9</v>
      </c>
      <c r="BW90" s="99">
        <v>19774.8</v>
      </c>
      <c r="BX90" s="99">
        <v>10</v>
      </c>
      <c r="BY90" s="99">
        <v>21972</v>
      </c>
      <c r="BZ90" s="99">
        <v>9</v>
      </c>
      <c r="CA90" s="99">
        <v>19774.8</v>
      </c>
      <c r="CB90" s="99">
        <v>8</v>
      </c>
      <c r="CC90" s="99">
        <v>17577.599999999999</v>
      </c>
      <c r="CD90" s="99">
        <v>7</v>
      </c>
      <c r="CE90" s="99">
        <v>15380.399999999998</v>
      </c>
      <c r="CF90" s="99">
        <v>7</v>
      </c>
      <c r="CG90" s="99">
        <v>15380.399999999998</v>
      </c>
      <c r="CH90" s="99">
        <v>7</v>
      </c>
      <c r="CI90" s="99">
        <v>15380.399999999998</v>
      </c>
      <c r="CJ90" s="99">
        <v>6</v>
      </c>
      <c r="CK90" s="99">
        <v>13183.199999999999</v>
      </c>
      <c r="CL90" s="99">
        <v>8</v>
      </c>
      <c r="CM90" s="99">
        <v>17577.599999999999</v>
      </c>
      <c r="CN90" s="99">
        <v>11</v>
      </c>
      <c r="CO90" s="99">
        <v>24169.199999999997</v>
      </c>
      <c r="CP90" s="99">
        <v>8</v>
      </c>
      <c r="CQ90" s="99">
        <v>17577.599999999999</v>
      </c>
      <c r="CR90" s="99">
        <v>7</v>
      </c>
      <c r="CS90" s="99">
        <v>15380.399999999998</v>
      </c>
      <c r="CT90" s="99">
        <v>9</v>
      </c>
      <c r="CU90" s="99">
        <v>19774.8</v>
      </c>
    </row>
    <row r="91" spans="2:99">
      <c r="C91" s="98" t="s">
        <v>256</v>
      </c>
      <c r="D91" s="99">
        <v>0</v>
      </c>
      <c r="E91" s="99">
        <v>0</v>
      </c>
      <c r="F91" s="99">
        <v>0</v>
      </c>
      <c r="G91" s="99">
        <v>0</v>
      </c>
      <c r="H91" s="99">
        <v>3.5972144966137782</v>
      </c>
      <c r="I91" s="99">
        <v>8262.0822558225245</v>
      </c>
      <c r="J91" s="99">
        <v>8</v>
      </c>
      <c r="K91" s="99">
        <v>18374.399999999998</v>
      </c>
      <c r="L91" s="99">
        <v>9</v>
      </c>
      <c r="M91" s="99">
        <v>20671.199999999997</v>
      </c>
      <c r="N91" s="99">
        <v>8</v>
      </c>
      <c r="O91" s="99">
        <v>18374.399999999998</v>
      </c>
      <c r="P91" s="99">
        <v>7</v>
      </c>
      <c r="Q91" s="99">
        <v>16077.599999999999</v>
      </c>
      <c r="R91" s="99">
        <v>10</v>
      </c>
      <c r="S91" s="99">
        <v>22967.999999999996</v>
      </c>
      <c r="T91" s="99">
        <v>8</v>
      </c>
      <c r="U91" s="99">
        <v>18374.399999999998</v>
      </c>
      <c r="V91" s="99">
        <v>5</v>
      </c>
      <c r="W91" s="99">
        <v>11483.999999999998</v>
      </c>
      <c r="X91" s="99">
        <v>8</v>
      </c>
      <c r="Y91" s="99">
        <v>18374.399999999998</v>
      </c>
      <c r="Z91" s="99">
        <v>8</v>
      </c>
      <c r="AA91" s="99">
        <v>18374.399999999998</v>
      </c>
      <c r="AB91" s="99">
        <v>7</v>
      </c>
      <c r="AC91" s="99">
        <v>16077.599999999999</v>
      </c>
      <c r="AD91" s="99">
        <v>6</v>
      </c>
      <c r="AE91" s="99">
        <v>13780.8</v>
      </c>
      <c r="AF91" s="99">
        <v>6</v>
      </c>
      <c r="AG91" s="99">
        <v>13780.8</v>
      </c>
      <c r="AH91" s="99">
        <v>8</v>
      </c>
      <c r="AI91" s="99">
        <v>18374.399999999998</v>
      </c>
      <c r="AJ91" s="99">
        <v>6</v>
      </c>
      <c r="AK91" s="99">
        <v>13780.8</v>
      </c>
      <c r="AL91" s="99">
        <v>5</v>
      </c>
      <c r="AM91" s="99">
        <v>11483.999999999998</v>
      </c>
      <c r="AN91" s="99">
        <v>7</v>
      </c>
      <c r="AO91" s="99">
        <v>16077.599999999999</v>
      </c>
      <c r="AP91" s="99">
        <v>6</v>
      </c>
      <c r="AQ91" s="99">
        <v>13780.8</v>
      </c>
      <c r="AR91" s="99">
        <v>6</v>
      </c>
      <c r="AS91" s="99">
        <v>13780.8</v>
      </c>
      <c r="AT91" s="99">
        <v>6</v>
      </c>
      <c r="AU91" s="99">
        <v>13780.8</v>
      </c>
      <c r="AV91" s="99">
        <v>9</v>
      </c>
      <c r="AW91" s="99">
        <v>20671.199999999997</v>
      </c>
      <c r="AX91" s="99">
        <v>8</v>
      </c>
      <c r="AY91" s="99">
        <v>18374.399999999998</v>
      </c>
      <c r="AZ91" s="99">
        <v>10</v>
      </c>
      <c r="BA91" s="99">
        <v>22967.999999999996</v>
      </c>
      <c r="BB91" s="99">
        <v>6</v>
      </c>
      <c r="BC91" s="99">
        <v>13780.8</v>
      </c>
      <c r="BD91" s="99">
        <v>7</v>
      </c>
      <c r="BE91" s="99">
        <v>16077.599999999999</v>
      </c>
      <c r="BF91" s="99">
        <v>5</v>
      </c>
      <c r="BG91" s="99">
        <v>11483.999999999998</v>
      </c>
      <c r="BH91" s="99">
        <v>7</v>
      </c>
      <c r="BI91" s="99">
        <v>16077.599999999999</v>
      </c>
      <c r="BJ91" s="99">
        <v>10</v>
      </c>
      <c r="BK91" s="99">
        <v>22967.999999999996</v>
      </c>
      <c r="BL91" s="99">
        <v>9</v>
      </c>
      <c r="BM91" s="99">
        <v>20671.199999999997</v>
      </c>
      <c r="BN91" s="99">
        <v>8</v>
      </c>
      <c r="BO91" s="99">
        <v>18374.399999999998</v>
      </c>
      <c r="BP91" s="99">
        <v>8</v>
      </c>
      <c r="BQ91" s="99">
        <v>18374.399999999998</v>
      </c>
      <c r="BR91" s="99">
        <v>10</v>
      </c>
      <c r="BS91" s="99">
        <v>22967.999999999996</v>
      </c>
      <c r="BT91" s="99">
        <v>8</v>
      </c>
      <c r="BU91" s="99">
        <v>18374.399999999998</v>
      </c>
      <c r="BV91" s="99">
        <v>8</v>
      </c>
      <c r="BW91" s="99">
        <v>18374.399999999998</v>
      </c>
      <c r="BX91" s="99">
        <v>10</v>
      </c>
      <c r="BY91" s="99">
        <v>22967.999999999996</v>
      </c>
      <c r="BZ91" s="99">
        <v>9</v>
      </c>
      <c r="CA91" s="99">
        <v>20671.199999999997</v>
      </c>
      <c r="CB91" s="99">
        <v>9</v>
      </c>
      <c r="CC91" s="99">
        <v>20671.199999999997</v>
      </c>
      <c r="CD91" s="99">
        <v>7</v>
      </c>
      <c r="CE91" s="99">
        <v>16077.599999999999</v>
      </c>
      <c r="CF91" s="99">
        <v>7</v>
      </c>
      <c r="CG91" s="99">
        <v>16077.599999999999</v>
      </c>
      <c r="CH91" s="99">
        <v>7</v>
      </c>
      <c r="CI91" s="99">
        <v>16077.599999999999</v>
      </c>
      <c r="CJ91" s="99">
        <v>6</v>
      </c>
      <c r="CK91" s="99">
        <v>13780.8</v>
      </c>
      <c r="CL91" s="99">
        <v>8</v>
      </c>
      <c r="CM91" s="99">
        <v>18374.399999999998</v>
      </c>
      <c r="CN91" s="99">
        <v>10</v>
      </c>
      <c r="CO91" s="99">
        <v>22967.999999999996</v>
      </c>
      <c r="CP91" s="99">
        <v>7</v>
      </c>
      <c r="CQ91" s="99">
        <v>16077.599999999999</v>
      </c>
      <c r="CR91" s="99">
        <v>7</v>
      </c>
      <c r="CS91" s="99">
        <v>16077.599999999999</v>
      </c>
      <c r="CT91" s="99">
        <v>8</v>
      </c>
      <c r="CU91" s="99">
        <v>18374.399999999998</v>
      </c>
    </row>
    <row r="92" spans="2:99">
      <c r="C92" s="98" t="s">
        <v>257</v>
      </c>
      <c r="D92" s="99">
        <v>0</v>
      </c>
      <c r="E92" s="99">
        <v>0</v>
      </c>
      <c r="F92" s="99">
        <v>0</v>
      </c>
      <c r="G92" s="99">
        <v>0</v>
      </c>
      <c r="H92" s="99">
        <v>4.4965181207672229</v>
      </c>
      <c r="I92" s="99">
        <v>6388.6529459860703</v>
      </c>
      <c r="J92" s="99">
        <v>9</v>
      </c>
      <c r="K92" s="99">
        <v>12787.199999999999</v>
      </c>
      <c r="L92" s="99">
        <v>9</v>
      </c>
      <c r="M92" s="99">
        <v>12787.199999999999</v>
      </c>
      <c r="N92" s="99">
        <v>9</v>
      </c>
      <c r="O92" s="99">
        <v>12787.199999999999</v>
      </c>
      <c r="P92" s="99">
        <v>7</v>
      </c>
      <c r="Q92" s="99">
        <v>9945.6</v>
      </c>
      <c r="R92" s="99">
        <v>10</v>
      </c>
      <c r="S92" s="99">
        <v>14208</v>
      </c>
      <c r="T92" s="99">
        <v>8</v>
      </c>
      <c r="U92" s="99">
        <v>11366.4</v>
      </c>
      <c r="V92" s="99">
        <v>6</v>
      </c>
      <c r="W92" s="99">
        <v>8524.7999999999993</v>
      </c>
      <c r="X92" s="99">
        <v>8</v>
      </c>
      <c r="Y92" s="99">
        <v>11366.4</v>
      </c>
      <c r="Z92" s="99">
        <v>8</v>
      </c>
      <c r="AA92" s="99">
        <v>11366.4</v>
      </c>
      <c r="AB92" s="99">
        <v>8</v>
      </c>
      <c r="AC92" s="99">
        <v>11366.4</v>
      </c>
      <c r="AD92" s="99">
        <v>6</v>
      </c>
      <c r="AE92" s="99">
        <v>8524.7999999999993</v>
      </c>
      <c r="AF92" s="99">
        <v>6</v>
      </c>
      <c r="AG92" s="99">
        <v>8524.7999999999993</v>
      </c>
      <c r="AH92" s="99">
        <v>9</v>
      </c>
      <c r="AI92" s="99">
        <v>12787.199999999999</v>
      </c>
      <c r="AJ92" s="99">
        <v>7</v>
      </c>
      <c r="AK92" s="99">
        <v>9945.6</v>
      </c>
      <c r="AL92" s="99">
        <v>6</v>
      </c>
      <c r="AM92" s="99">
        <v>8524.7999999999993</v>
      </c>
      <c r="AN92" s="99">
        <v>8</v>
      </c>
      <c r="AO92" s="99">
        <v>11366.4</v>
      </c>
      <c r="AP92" s="99">
        <v>7</v>
      </c>
      <c r="AQ92" s="99">
        <v>9945.6</v>
      </c>
      <c r="AR92" s="99">
        <v>6</v>
      </c>
      <c r="AS92" s="99">
        <v>8524.7999999999993</v>
      </c>
      <c r="AT92" s="99">
        <v>6</v>
      </c>
      <c r="AU92" s="99">
        <v>8524.7999999999993</v>
      </c>
      <c r="AV92" s="99">
        <v>9</v>
      </c>
      <c r="AW92" s="99">
        <v>12787.199999999999</v>
      </c>
      <c r="AX92" s="99">
        <v>8</v>
      </c>
      <c r="AY92" s="99">
        <v>11366.4</v>
      </c>
      <c r="AZ92" s="99">
        <v>11</v>
      </c>
      <c r="BA92" s="99">
        <v>15628.8</v>
      </c>
      <c r="BB92" s="99">
        <v>5</v>
      </c>
      <c r="BC92" s="99">
        <v>7104</v>
      </c>
      <c r="BD92" s="99">
        <v>6</v>
      </c>
      <c r="BE92" s="99">
        <v>8524.7999999999993</v>
      </c>
      <c r="BF92" s="99">
        <v>6</v>
      </c>
      <c r="BG92" s="99">
        <v>8524.7999999999993</v>
      </c>
      <c r="BH92" s="99">
        <v>8</v>
      </c>
      <c r="BI92" s="99">
        <v>11366.4</v>
      </c>
      <c r="BJ92" s="99">
        <v>9</v>
      </c>
      <c r="BK92" s="99">
        <v>12787.199999999999</v>
      </c>
      <c r="BL92" s="99">
        <v>9</v>
      </c>
      <c r="BM92" s="99">
        <v>12787.199999999999</v>
      </c>
      <c r="BN92" s="99">
        <v>8</v>
      </c>
      <c r="BO92" s="99">
        <v>11366.4</v>
      </c>
      <c r="BP92" s="99">
        <v>8</v>
      </c>
      <c r="BQ92" s="99">
        <v>11366.4</v>
      </c>
      <c r="BR92" s="99">
        <v>10</v>
      </c>
      <c r="BS92" s="99">
        <v>14208</v>
      </c>
      <c r="BT92" s="99">
        <v>9</v>
      </c>
      <c r="BU92" s="99">
        <v>12787.199999999999</v>
      </c>
      <c r="BV92" s="99">
        <v>9</v>
      </c>
      <c r="BW92" s="99">
        <v>12787.199999999999</v>
      </c>
      <c r="BX92" s="99">
        <v>10</v>
      </c>
      <c r="BY92" s="99">
        <v>14208</v>
      </c>
      <c r="BZ92" s="99">
        <v>10</v>
      </c>
      <c r="CA92" s="99">
        <v>14208</v>
      </c>
      <c r="CB92" s="99">
        <v>8</v>
      </c>
      <c r="CC92" s="99">
        <v>11366.4</v>
      </c>
      <c r="CD92" s="99">
        <v>8</v>
      </c>
      <c r="CE92" s="99">
        <v>11366.4</v>
      </c>
      <c r="CF92" s="99">
        <v>8</v>
      </c>
      <c r="CG92" s="99">
        <v>11366.4</v>
      </c>
      <c r="CH92" s="99">
        <v>6</v>
      </c>
      <c r="CI92" s="99">
        <v>8524.7999999999993</v>
      </c>
      <c r="CJ92" s="99">
        <v>6</v>
      </c>
      <c r="CK92" s="99">
        <v>8524.7999999999993</v>
      </c>
      <c r="CL92" s="99">
        <v>8</v>
      </c>
      <c r="CM92" s="99">
        <v>11366.4</v>
      </c>
      <c r="CN92" s="99">
        <v>11</v>
      </c>
      <c r="CO92" s="99">
        <v>15628.8</v>
      </c>
      <c r="CP92" s="99">
        <v>9</v>
      </c>
      <c r="CQ92" s="99">
        <v>12787.199999999999</v>
      </c>
      <c r="CR92" s="99">
        <v>7</v>
      </c>
      <c r="CS92" s="99">
        <v>9945.6</v>
      </c>
      <c r="CT92" s="99">
        <v>9</v>
      </c>
      <c r="CU92" s="99">
        <v>12787.199999999999</v>
      </c>
    </row>
    <row r="93" spans="2:99">
      <c r="C93" s="98" t="s">
        <v>258</v>
      </c>
      <c r="D93" s="99">
        <v>0</v>
      </c>
      <c r="E93" s="99">
        <v>0</v>
      </c>
      <c r="F93" s="99">
        <v>0</v>
      </c>
      <c r="G93" s="99">
        <v>0</v>
      </c>
      <c r="H93" s="99">
        <v>4.4965181207672229</v>
      </c>
      <c r="I93" s="99">
        <v>7969.6287172478251</v>
      </c>
      <c r="J93" s="99">
        <v>10</v>
      </c>
      <c r="K93" s="99">
        <v>17724</v>
      </c>
      <c r="L93" s="99">
        <v>10</v>
      </c>
      <c r="M93" s="99">
        <v>17724</v>
      </c>
      <c r="N93" s="99">
        <v>8</v>
      </c>
      <c r="O93" s="99">
        <v>14179.199999999999</v>
      </c>
      <c r="P93" s="99">
        <v>7</v>
      </c>
      <c r="Q93" s="99">
        <v>12406.8</v>
      </c>
      <c r="R93" s="99">
        <v>9</v>
      </c>
      <c r="S93" s="99">
        <v>15951.599999999999</v>
      </c>
      <c r="T93" s="99">
        <v>10</v>
      </c>
      <c r="U93" s="99">
        <v>17724</v>
      </c>
      <c r="V93" s="99">
        <v>5</v>
      </c>
      <c r="W93" s="99">
        <v>8862</v>
      </c>
      <c r="X93" s="99">
        <v>9</v>
      </c>
      <c r="Y93" s="99">
        <v>15951.599999999999</v>
      </c>
      <c r="Z93" s="99">
        <v>9</v>
      </c>
      <c r="AA93" s="99">
        <v>15951.599999999999</v>
      </c>
      <c r="AB93" s="99">
        <v>8</v>
      </c>
      <c r="AC93" s="99">
        <v>14179.199999999999</v>
      </c>
      <c r="AD93" s="99">
        <v>6</v>
      </c>
      <c r="AE93" s="99">
        <v>10634.4</v>
      </c>
      <c r="AF93" s="99">
        <v>6</v>
      </c>
      <c r="AG93" s="99">
        <v>10634.4</v>
      </c>
      <c r="AH93" s="99">
        <v>9</v>
      </c>
      <c r="AI93" s="99">
        <v>15951.599999999999</v>
      </c>
      <c r="AJ93" s="99">
        <v>7</v>
      </c>
      <c r="AK93" s="99">
        <v>12406.8</v>
      </c>
      <c r="AL93" s="99">
        <v>6</v>
      </c>
      <c r="AM93" s="99">
        <v>10634.4</v>
      </c>
      <c r="AN93" s="99">
        <v>7</v>
      </c>
      <c r="AO93" s="99">
        <v>12406.8</v>
      </c>
      <c r="AP93" s="99">
        <v>7</v>
      </c>
      <c r="AQ93" s="99">
        <v>12406.8</v>
      </c>
      <c r="AR93" s="99">
        <v>7</v>
      </c>
      <c r="AS93" s="99">
        <v>12406.8</v>
      </c>
      <c r="AT93" s="99">
        <v>5</v>
      </c>
      <c r="AU93" s="99">
        <v>8862</v>
      </c>
      <c r="AV93" s="99">
        <v>8</v>
      </c>
      <c r="AW93" s="99">
        <v>14179.199999999999</v>
      </c>
      <c r="AX93" s="99">
        <v>7</v>
      </c>
      <c r="AY93" s="99">
        <v>12406.8</v>
      </c>
      <c r="AZ93" s="99">
        <v>11</v>
      </c>
      <c r="BA93" s="99">
        <v>19496.399999999998</v>
      </c>
      <c r="BB93" s="99">
        <v>5</v>
      </c>
      <c r="BC93" s="99">
        <v>8862</v>
      </c>
      <c r="BD93" s="99">
        <v>6</v>
      </c>
      <c r="BE93" s="99">
        <v>10634.4</v>
      </c>
      <c r="BF93" s="99">
        <v>5</v>
      </c>
      <c r="BG93" s="99">
        <v>8862</v>
      </c>
      <c r="BH93" s="99">
        <v>8</v>
      </c>
      <c r="BI93" s="99">
        <v>14179.199999999999</v>
      </c>
      <c r="BJ93" s="99">
        <v>9</v>
      </c>
      <c r="BK93" s="99">
        <v>15951.599999999999</v>
      </c>
      <c r="BL93" s="99">
        <v>9</v>
      </c>
      <c r="BM93" s="99">
        <v>15951.599999999999</v>
      </c>
      <c r="BN93" s="99">
        <v>7</v>
      </c>
      <c r="BO93" s="99">
        <v>12406.8</v>
      </c>
      <c r="BP93" s="99">
        <v>8</v>
      </c>
      <c r="BQ93" s="99">
        <v>14179.199999999999</v>
      </c>
      <c r="BR93" s="99">
        <v>10</v>
      </c>
      <c r="BS93" s="99">
        <v>17724</v>
      </c>
      <c r="BT93" s="99">
        <v>8</v>
      </c>
      <c r="BU93" s="99">
        <v>14179.199999999999</v>
      </c>
      <c r="BV93" s="99">
        <v>9</v>
      </c>
      <c r="BW93" s="99">
        <v>15951.599999999999</v>
      </c>
      <c r="BX93" s="99">
        <v>10</v>
      </c>
      <c r="BY93" s="99">
        <v>17724</v>
      </c>
      <c r="BZ93" s="99">
        <v>9</v>
      </c>
      <c r="CA93" s="99">
        <v>15951.599999999999</v>
      </c>
      <c r="CB93" s="99">
        <v>9</v>
      </c>
      <c r="CC93" s="99">
        <v>15951.599999999999</v>
      </c>
      <c r="CD93" s="99">
        <v>7</v>
      </c>
      <c r="CE93" s="99">
        <v>12406.8</v>
      </c>
      <c r="CF93" s="99">
        <v>7</v>
      </c>
      <c r="CG93" s="99">
        <v>12406.8</v>
      </c>
      <c r="CH93" s="99">
        <v>6</v>
      </c>
      <c r="CI93" s="99">
        <v>10634.4</v>
      </c>
      <c r="CJ93" s="99">
        <v>6</v>
      </c>
      <c r="CK93" s="99">
        <v>10634.4</v>
      </c>
      <c r="CL93" s="99">
        <v>7</v>
      </c>
      <c r="CM93" s="99">
        <v>12406.8</v>
      </c>
      <c r="CN93" s="99">
        <v>10</v>
      </c>
      <c r="CO93" s="99">
        <v>17724</v>
      </c>
      <c r="CP93" s="99">
        <v>8</v>
      </c>
      <c r="CQ93" s="99">
        <v>14179.199999999999</v>
      </c>
      <c r="CR93" s="99">
        <v>6</v>
      </c>
      <c r="CS93" s="99">
        <v>10634.4</v>
      </c>
      <c r="CT93" s="99">
        <v>9</v>
      </c>
      <c r="CU93" s="99">
        <v>15951.599999999999</v>
      </c>
    </row>
    <row r="94" spans="2:99">
      <c r="C94" s="98" t="s">
        <v>259</v>
      </c>
      <c r="D94" s="99">
        <v>0</v>
      </c>
      <c r="E94" s="99">
        <v>0</v>
      </c>
      <c r="F94" s="99">
        <v>0</v>
      </c>
      <c r="G94" s="99">
        <v>0</v>
      </c>
      <c r="H94" s="99">
        <v>3.5972144966137782</v>
      </c>
      <c r="I94" s="99">
        <v>8616.0481622893203</v>
      </c>
      <c r="J94" s="99">
        <v>8</v>
      </c>
      <c r="K94" s="99">
        <v>19161.599999999999</v>
      </c>
      <c r="L94" s="99">
        <v>10</v>
      </c>
      <c r="M94" s="99">
        <v>23952</v>
      </c>
      <c r="N94" s="99">
        <v>8</v>
      </c>
      <c r="O94" s="99">
        <v>19161.599999999999</v>
      </c>
      <c r="P94" s="99">
        <v>7</v>
      </c>
      <c r="Q94" s="99">
        <v>16766.399999999998</v>
      </c>
      <c r="R94" s="99">
        <v>10</v>
      </c>
      <c r="S94" s="99">
        <v>23952</v>
      </c>
      <c r="T94" s="99">
        <v>8</v>
      </c>
      <c r="U94" s="99">
        <v>19161.599999999999</v>
      </c>
      <c r="V94" s="99">
        <v>5</v>
      </c>
      <c r="W94" s="99">
        <v>11976</v>
      </c>
      <c r="X94" s="99">
        <v>8</v>
      </c>
      <c r="Y94" s="99">
        <v>19161.599999999999</v>
      </c>
      <c r="Z94" s="99">
        <v>8</v>
      </c>
      <c r="AA94" s="99">
        <v>19161.599999999999</v>
      </c>
      <c r="AB94" s="99">
        <v>7</v>
      </c>
      <c r="AC94" s="99">
        <v>16766.399999999998</v>
      </c>
      <c r="AD94" s="99">
        <v>6</v>
      </c>
      <c r="AE94" s="99">
        <v>14371.199999999999</v>
      </c>
      <c r="AF94" s="99">
        <v>7</v>
      </c>
      <c r="AG94" s="99">
        <v>16766.399999999998</v>
      </c>
      <c r="AH94" s="99">
        <v>7</v>
      </c>
      <c r="AI94" s="99">
        <v>16766.399999999998</v>
      </c>
      <c r="AJ94" s="99">
        <v>6</v>
      </c>
      <c r="AK94" s="99">
        <v>14371.199999999999</v>
      </c>
      <c r="AL94" s="99">
        <v>6</v>
      </c>
      <c r="AM94" s="99">
        <v>14371.199999999999</v>
      </c>
      <c r="AN94" s="99">
        <v>6</v>
      </c>
      <c r="AO94" s="99">
        <v>14371.199999999999</v>
      </c>
      <c r="AP94" s="99">
        <v>6</v>
      </c>
      <c r="AQ94" s="99">
        <v>14371.199999999999</v>
      </c>
      <c r="AR94" s="99">
        <v>6</v>
      </c>
      <c r="AS94" s="99">
        <v>14371.199999999999</v>
      </c>
      <c r="AT94" s="99">
        <v>5</v>
      </c>
      <c r="AU94" s="99">
        <v>11976</v>
      </c>
      <c r="AV94" s="99">
        <v>9</v>
      </c>
      <c r="AW94" s="99">
        <v>21556.799999999999</v>
      </c>
      <c r="AX94" s="99">
        <v>7</v>
      </c>
      <c r="AY94" s="99">
        <v>16766.399999999998</v>
      </c>
      <c r="AZ94" s="99">
        <v>9</v>
      </c>
      <c r="BA94" s="99">
        <v>21556.799999999999</v>
      </c>
      <c r="BB94" s="99">
        <v>5</v>
      </c>
      <c r="BC94" s="99">
        <v>11976</v>
      </c>
      <c r="BD94" s="99">
        <v>6</v>
      </c>
      <c r="BE94" s="99">
        <v>14371.199999999999</v>
      </c>
      <c r="BF94" s="99">
        <v>5</v>
      </c>
      <c r="BG94" s="99">
        <v>11976</v>
      </c>
      <c r="BH94" s="99">
        <v>7</v>
      </c>
      <c r="BI94" s="99">
        <v>16766.399999999998</v>
      </c>
      <c r="BJ94" s="99">
        <v>10</v>
      </c>
      <c r="BK94" s="99">
        <v>23952</v>
      </c>
      <c r="BL94" s="99">
        <v>9</v>
      </c>
      <c r="BM94" s="99">
        <v>21556.799999999999</v>
      </c>
      <c r="BN94" s="99">
        <v>8</v>
      </c>
      <c r="BO94" s="99">
        <v>19161.599999999999</v>
      </c>
      <c r="BP94" s="99">
        <v>7</v>
      </c>
      <c r="BQ94" s="99">
        <v>16766.399999999998</v>
      </c>
      <c r="BR94" s="99">
        <v>10</v>
      </c>
      <c r="BS94" s="99">
        <v>23952</v>
      </c>
      <c r="BT94" s="99">
        <v>9</v>
      </c>
      <c r="BU94" s="99">
        <v>21556.799999999999</v>
      </c>
      <c r="BV94" s="99">
        <v>8</v>
      </c>
      <c r="BW94" s="99">
        <v>19161.599999999999</v>
      </c>
      <c r="BX94" s="99">
        <v>9</v>
      </c>
      <c r="BY94" s="99">
        <v>21556.799999999999</v>
      </c>
      <c r="BZ94" s="99">
        <v>9</v>
      </c>
      <c r="CA94" s="99">
        <v>21556.799999999999</v>
      </c>
      <c r="CB94" s="99">
        <v>8</v>
      </c>
      <c r="CC94" s="99">
        <v>19161.599999999999</v>
      </c>
      <c r="CD94" s="99">
        <v>6</v>
      </c>
      <c r="CE94" s="99">
        <v>14371.199999999999</v>
      </c>
      <c r="CF94" s="99">
        <v>7</v>
      </c>
      <c r="CG94" s="99">
        <v>16766.399999999998</v>
      </c>
      <c r="CH94" s="99">
        <v>6</v>
      </c>
      <c r="CI94" s="99">
        <v>14371.199999999999</v>
      </c>
      <c r="CJ94" s="99">
        <v>6</v>
      </c>
      <c r="CK94" s="99">
        <v>14371.199999999999</v>
      </c>
      <c r="CL94" s="99">
        <v>7</v>
      </c>
      <c r="CM94" s="99">
        <v>16766.399999999998</v>
      </c>
      <c r="CN94" s="99">
        <v>10</v>
      </c>
      <c r="CO94" s="99">
        <v>23952</v>
      </c>
      <c r="CP94" s="99">
        <v>8</v>
      </c>
      <c r="CQ94" s="99">
        <v>19161.599999999999</v>
      </c>
      <c r="CR94" s="99">
        <v>7</v>
      </c>
      <c r="CS94" s="99">
        <v>16766.399999999998</v>
      </c>
      <c r="CT94" s="99">
        <v>9</v>
      </c>
      <c r="CU94" s="99">
        <v>21556.799999999999</v>
      </c>
    </row>
    <row r="95" spans="2:99">
      <c r="B95" s="98" t="s">
        <v>132</v>
      </c>
      <c r="C95" s="98" t="s">
        <v>260</v>
      </c>
      <c r="D95" s="99">
        <v>0</v>
      </c>
      <c r="E95" s="99">
        <v>0</v>
      </c>
      <c r="F95" s="99">
        <v>0</v>
      </c>
      <c r="G95" s="99">
        <v>0</v>
      </c>
      <c r="H95" s="99">
        <v>8.0937326173810007</v>
      </c>
      <c r="I95" s="99">
        <v>14024.819879397797</v>
      </c>
      <c r="J95" s="99">
        <v>7</v>
      </c>
      <c r="K95" s="99">
        <v>12129.6</v>
      </c>
      <c r="L95" s="99">
        <v>5</v>
      </c>
      <c r="M95" s="99">
        <v>8664</v>
      </c>
      <c r="N95" s="99">
        <v>8</v>
      </c>
      <c r="O95" s="99">
        <v>13862.4</v>
      </c>
      <c r="P95" s="99">
        <v>5</v>
      </c>
      <c r="Q95" s="99">
        <v>8664</v>
      </c>
      <c r="R95" s="99">
        <v>8</v>
      </c>
      <c r="S95" s="99">
        <v>13862.4</v>
      </c>
      <c r="T95" s="99">
        <v>6</v>
      </c>
      <c r="U95" s="99">
        <v>10396.799999999999</v>
      </c>
      <c r="V95" s="99">
        <v>7</v>
      </c>
      <c r="W95" s="99">
        <v>12129.6</v>
      </c>
      <c r="X95" s="99">
        <v>8</v>
      </c>
      <c r="Y95" s="99">
        <v>13862.4</v>
      </c>
      <c r="Z95" s="99">
        <v>6</v>
      </c>
      <c r="AA95" s="99">
        <v>10396.799999999999</v>
      </c>
      <c r="AB95" s="99">
        <v>6</v>
      </c>
      <c r="AC95" s="99">
        <v>10396.799999999999</v>
      </c>
      <c r="AD95" s="99">
        <v>9</v>
      </c>
      <c r="AE95" s="99">
        <v>15595.199999999999</v>
      </c>
      <c r="AF95" s="99">
        <v>10</v>
      </c>
      <c r="AG95" s="99">
        <v>17328</v>
      </c>
      <c r="AH95" s="99">
        <v>7</v>
      </c>
      <c r="AI95" s="99">
        <v>12129.6</v>
      </c>
      <c r="AJ95" s="99">
        <v>7</v>
      </c>
      <c r="AK95" s="99">
        <v>12129.6</v>
      </c>
      <c r="AL95" s="99">
        <v>9</v>
      </c>
      <c r="AM95" s="99">
        <v>15595.199999999999</v>
      </c>
      <c r="AN95" s="99">
        <v>5</v>
      </c>
      <c r="AO95" s="99">
        <v>8664</v>
      </c>
      <c r="AP95" s="99">
        <v>5</v>
      </c>
      <c r="AQ95" s="99">
        <v>8664</v>
      </c>
      <c r="AR95" s="99">
        <v>7</v>
      </c>
      <c r="AS95" s="99">
        <v>12129.6</v>
      </c>
      <c r="AT95" s="99">
        <v>6</v>
      </c>
      <c r="AU95" s="99">
        <v>10396.799999999999</v>
      </c>
      <c r="AV95" s="99">
        <v>10</v>
      </c>
      <c r="AW95" s="99">
        <v>17328</v>
      </c>
      <c r="AX95" s="99">
        <v>8</v>
      </c>
      <c r="AY95" s="99">
        <v>13862.4</v>
      </c>
      <c r="AZ95" s="99">
        <v>5</v>
      </c>
      <c r="BA95" s="99">
        <v>8664</v>
      </c>
      <c r="BB95" s="99">
        <v>8</v>
      </c>
      <c r="BC95" s="99">
        <v>13862.4</v>
      </c>
      <c r="BD95" s="99">
        <v>11</v>
      </c>
      <c r="BE95" s="99">
        <v>19060.8</v>
      </c>
      <c r="BF95" s="99">
        <v>8</v>
      </c>
      <c r="BG95" s="99">
        <v>13862.4</v>
      </c>
      <c r="BH95" s="99">
        <v>9</v>
      </c>
      <c r="BI95" s="99">
        <v>15595.199999999999</v>
      </c>
      <c r="BJ95" s="99">
        <v>6</v>
      </c>
      <c r="BK95" s="99">
        <v>10396.799999999999</v>
      </c>
      <c r="BL95" s="99">
        <v>8</v>
      </c>
      <c r="BM95" s="99">
        <v>13862.4</v>
      </c>
      <c r="BN95" s="99">
        <v>6</v>
      </c>
      <c r="BO95" s="99">
        <v>10396.799999999999</v>
      </c>
      <c r="BP95" s="99">
        <v>10</v>
      </c>
      <c r="BQ95" s="99">
        <v>17328</v>
      </c>
      <c r="BR95" s="99">
        <v>7</v>
      </c>
      <c r="BS95" s="99">
        <v>12129.6</v>
      </c>
      <c r="BT95" s="99">
        <v>10</v>
      </c>
      <c r="BU95" s="99">
        <v>17328</v>
      </c>
      <c r="BV95" s="99">
        <v>9</v>
      </c>
      <c r="BW95" s="99">
        <v>15595.199999999999</v>
      </c>
      <c r="BX95" s="99">
        <v>8</v>
      </c>
      <c r="BY95" s="99">
        <v>13862.4</v>
      </c>
      <c r="BZ95" s="99">
        <v>8</v>
      </c>
      <c r="CA95" s="99">
        <v>13862.4</v>
      </c>
      <c r="CB95" s="99">
        <v>5</v>
      </c>
      <c r="CC95" s="99">
        <v>8664</v>
      </c>
      <c r="CD95" s="99">
        <v>8</v>
      </c>
      <c r="CE95" s="99">
        <v>13862.4</v>
      </c>
      <c r="CF95" s="99">
        <v>11</v>
      </c>
      <c r="CG95" s="99">
        <v>19060.8</v>
      </c>
      <c r="CH95" s="99">
        <v>7</v>
      </c>
      <c r="CI95" s="99">
        <v>12129.6</v>
      </c>
      <c r="CJ95" s="99">
        <v>5</v>
      </c>
      <c r="CK95" s="99">
        <v>8664</v>
      </c>
      <c r="CL95" s="99">
        <v>7</v>
      </c>
      <c r="CM95" s="99">
        <v>12129.6</v>
      </c>
      <c r="CN95" s="99">
        <v>7</v>
      </c>
      <c r="CO95" s="99">
        <v>12129.6</v>
      </c>
      <c r="CP95" s="99">
        <v>5</v>
      </c>
      <c r="CQ95" s="99">
        <v>8664</v>
      </c>
      <c r="CR95" s="99">
        <v>10</v>
      </c>
      <c r="CS95" s="99">
        <v>17328</v>
      </c>
      <c r="CT95" s="99">
        <v>9</v>
      </c>
      <c r="CU95" s="99">
        <v>15595.199999999999</v>
      </c>
    </row>
    <row r="96" spans="2:99">
      <c r="C96" s="98" t="s">
        <v>261</v>
      </c>
      <c r="D96" s="99">
        <v>0</v>
      </c>
      <c r="E96" s="99">
        <v>0</v>
      </c>
      <c r="F96" s="99">
        <v>0</v>
      </c>
      <c r="G96" s="99">
        <v>0</v>
      </c>
      <c r="H96" s="99">
        <v>8.0937326173810007</v>
      </c>
      <c r="I96" s="99">
        <v>6662.7606906280389</v>
      </c>
      <c r="J96" s="99">
        <v>7</v>
      </c>
      <c r="K96" s="99">
        <v>5762.4</v>
      </c>
      <c r="L96" s="99">
        <v>6</v>
      </c>
      <c r="M96" s="99">
        <v>4939.2</v>
      </c>
      <c r="N96" s="99">
        <v>9</v>
      </c>
      <c r="O96" s="99">
        <v>7408.7999999999993</v>
      </c>
      <c r="P96" s="99">
        <v>5</v>
      </c>
      <c r="Q96" s="99">
        <v>4116</v>
      </c>
      <c r="R96" s="99">
        <v>10</v>
      </c>
      <c r="S96" s="99">
        <v>8232</v>
      </c>
      <c r="T96" s="99">
        <v>6</v>
      </c>
      <c r="U96" s="99">
        <v>4939.2</v>
      </c>
      <c r="V96" s="99">
        <v>8</v>
      </c>
      <c r="W96" s="99">
        <v>6585.5999999999995</v>
      </c>
      <c r="X96" s="99">
        <v>10</v>
      </c>
      <c r="Y96" s="99">
        <v>8232</v>
      </c>
      <c r="Z96" s="99">
        <v>6</v>
      </c>
      <c r="AA96" s="99">
        <v>4939.2</v>
      </c>
      <c r="AB96" s="99">
        <v>7</v>
      </c>
      <c r="AC96" s="99">
        <v>5762.4</v>
      </c>
      <c r="AD96" s="99">
        <v>10</v>
      </c>
      <c r="AE96" s="99">
        <v>8232</v>
      </c>
      <c r="AF96" s="99">
        <v>10</v>
      </c>
      <c r="AG96" s="99">
        <v>8232</v>
      </c>
      <c r="AH96" s="99">
        <v>7</v>
      </c>
      <c r="AI96" s="99">
        <v>5762.4</v>
      </c>
      <c r="AJ96" s="99">
        <v>8</v>
      </c>
      <c r="AK96" s="99">
        <v>6585.5999999999995</v>
      </c>
      <c r="AL96" s="99">
        <v>9</v>
      </c>
      <c r="AM96" s="99">
        <v>7408.7999999999993</v>
      </c>
      <c r="AN96" s="99">
        <v>6</v>
      </c>
      <c r="AO96" s="99">
        <v>4939.2</v>
      </c>
      <c r="AP96" s="99">
        <v>5</v>
      </c>
      <c r="AQ96" s="99">
        <v>4116</v>
      </c>
      <c r="AR96" s="99">
        <v>7</v>
      </c>
      <c r="AS96" s="99">
        <v>5762.4</v>
      </c>
      <c r="AT96" s="99">
        <v>6</v>
      </c>
      <c r="AU96" s="99">
        <v>4939.2</v>
      </c>
      <c r="AV96" s="99">
        <v>10</v>
      </c>
      <c r="AW96" s="99">
        <v>8232</v>
      </c>
      <c r="AX96" s="99">
        <v>8</v>
      </c>
      <c r="AY96" s="99">
        <v>6585.5999999999995</v>
      </c>
      <c r="AZ96" s="99">
        <v>6</v>
      </c>
      <c r="BA96" s="99">
        <v>4939.2</v>
      </c>
      <c r="BB96" s="99">
        <v>8</v>
      </c>
      <c r="BC96" s="99">
        <v>6585.5999999999995</v>
      </c>
      <c r="BD96" s="99">
        <v>11</v>
      </c>
      <c r="BE96" s="99">
        <v>9055.1999999999989</v>
      </c>
      <c r="BF96" s="99">
        <v>8</v>
      </c>
      <c r="BG96" s="99">
        <v>6585.5999999999995</v>
      </c>
      <c r="BH96" s="99">
        <v>10</v>
      </c>
      <c r="BI96" s="99">
        <v>8232</v>
      </c>
      <c r="BJ96" s="99">
        <v>6</v>
      </c>
      <c r="BK96" s="99">
        <v>4939.2</v>
      </c>
      <c r="BL96" s="99">
        <v>9</v>
      </c>
      <c r="BM96" s="99">
        <v>7408.7999999999993</v>
      </c>
      <c r="BN96" s="99">
        <v>6</v>
      </c>
      <c r="BO96" s="99">
        <v>4939.2</v>
      </c>
      <c r="BP96" s="99">
        <v>11</v>
      </c>
      <c r="BQ96" s="99">
        <v>9055.1999999999989</v>
      </c>
      <c r="BR96" s="99">
        <v>7</v>
      </c>
      <c r="BS96" s="99">
        <v>5762.4</v>
      </c>
      <c r="BT96" s="99">
        <v>10</v>
      </c>
      <c r="BU96" s="99">
        <v>8232</v>
      </c>
      <c r="BV96" s="99">
        <v>10</v>
      </c>
      <c r="BW96" s="99">
        <v>8232</v>
      </c>
      <c r="BX96" s="99">
        <v>8</v>
      </c>
      <c r="BY96" s="99">
        <v>6585.5999999999995</v>
      </c>
      <c r="BZ96" s="99">
        <v>8</v>
      </c>
      <c r="CA96" s="99">
        <v>6585.5999999999995</v>
      </c>
      <c r="CB96" s="99">
        <v>6</v>
      </c>
      <c r="CC96" s="99">
        <v>4939.2</v>
      </c>
      <c r="CD96" s="99">
        <v>8</v>
      </c>
      <c r="CE96" s="99">
        <v>6585.5999999999995</v>
      </c>
      <c r="CF96" s="99">
        <v>10</v>
      </c>
      <c r="CG96" s="99">
        <v>8232</v>
      </c>
      <c r="CH96" s="99">
        <v>7</v>
      </c>
      <c r="CI96" s="99">
        <v>5762.4</v>
      </c>
      <c r="CJ96" s="99">
        <v>5</v>
      </c>
      <c r="CK96" s="99">
        <v>4116</v>
      </c>
      <c r="CL96" s="99">
        <v>8</v>
      </c>
      <c r="CM96" s="99">
        <v>6585.5999999999995</v>
      </c>
      <c r="CN96" s="99">
        <v>7</v>
      </c>
      <c r="CO96" s="99">
        <v>5762.4</v>
      </c>
      <c r="CP96" s="99">
        <v>6</v>
      </c>
      <c r="CQ96" s="99">
        <v>4939.2</v>
      </c>
      <c r="CR96" s="99">
        <v>9</v>
      </c>
      <c r="CS96" s="99">
        <v>7408.7999999999993</v>
      </c>
      <c r="CT96" s="99">
        <v>11</v>
      </c>
      <c r="CU96" s="99">
        <v>9055.1999999999989</v>
      </c>
    </row>
    <row r="97" spans="2:99">
      <c r="C97" s="98" t="s">
        <v>262</v>
      </c>
      <c r="D97" s="99">
        <v>0</v>
      </c>
      <c r="E97" s="99">
        <v>0</v>
      </c>
      <c r="F97" s="99">
        <v>0</v>
      </c>
      <c r="G97" s="99">
        <v>0</v>
      </c>
      <c r="H97" s="99">
        <v>8.9930362415344458</v>
      </c>
      <c r="I97" s="99">
        <v>16446.464678518194</v>
      </c>
      <c r="J97" s="99">
        <v>6</v>
      </c>
      <c r="K97" s="99">
        <v>10972.8</v>
      </c>
      <c r="L97" s="99">
        <v>5</v>
      </c>
      <c r="M97" s="99">
        <v>9144</v>
      </c>
      <c r="N97" s="99">
        <v>8</v>
      </c>
      <c r="O97" s="99">
        <v>14630.4</v>
      </c>
      <c r="P97" s="99">
        <v>5</v>
      </c>
      <c r="Q97" s="99">
        <v>9144</v>
      </c>
      <c r="R97" s="99">
        <v>10</v>
      </c>
      <c r="S97" s="99">
        <v>18288</v>
      </c>
      <c r="T97" s="99">
        <v>5</v>
      </c>
      <c r="U97" s="99">
        <v>9144</v>
      </c>
      <c r="V97" s="99">
        <v>8</v>
      </c>
      <c r="W97" s="99">
        <v>14630.4</v>
      </c>
      <c r="X97" s="99">
        <v>9</v>
      </c>
      <c r="Y97" s="99">
        <v>16459.2</v>
      </c>
      <c r="Z97" s="99">
        <v>6</v>
      </c>
      <c r="AA97" s="99">
        <v>10972.8</v>
      </c>
      <c r="AB97" s="99">
        <v>7</v>
      </c>
      <c r="AC97" s="99">
        <v>12801.6</v>
      </c>
      <c r="AD97" s="99">
        <v>9</v>
      </c>
      <c r="AE97" s="99">
        <v>16459.2</v>
      </c>
      <c r="AF97" s="99">
        <v>9</v>
      </c>
      <c r="AG97" s="99">
        <v>16459.2</v>
      </c>
      <c r="AH97" s="99">
        <v>6</v>
      </c>
      <c r="AI97" s="99">
        <v>10972.8</v>
      </c>
      <c r="AJ97" s="99">
        <v>8</v>
      </c>
      <c r="AK97" s="99">
        <v>14630.4</v>
      </c>
      <c r="AL97" s="99">
        <v>9</v>
      </c>
      <c r="AM97" s="99">
        <v>16459.2</v>
      </c>
      <c r="AN97" s="99">
        <v>6</v>
      </c>
      <c r="AO97" s="99">
        <v>10972.8</v>
      </c>
      <c r="AP97" s="99">
        <v>5</v>
      </c>
      <c r="AQ97" s="99">
        <v>9144</v>
      </c>
      <c r="AR97" s="99">
        <v>6</v>
      </c>
      <c r="AS97" s="99">
        <v>10972.8</v>
      </c>
      <c r="AT97" s="99">
        <v>6</v>
      </c>
      <c r="AU97" s="99">
        <v>10972.8</v>
      </c>
      <c r="AV97" s="99">
        <v>8</v>
      </c>
      <c r="AW97" s="99">
        <v>14630.4</v>
      </c>
      <c r="AX97" s="99">
        <v>7</v>
      </c>
      <c r="AY97" s="99">
        <v>12801.6</v>
      </c>
      <c r="AZ97" s="99">
        <v>5</v>
      </c>
      <c r="BA97" s="99">
        <v>9144</v>
      </c>
      <c r="BB97" s="99">
        <v>7</v>
      </c>
      <c r="BC97" s="99">
        <v>12801.6</v>
      </c>
      <c r="BD97" s="99">
        <v>10</v>
      </c>
      <c r="BE97" s="99">
        <v>18288</v>
      </c>
      <c r="BF97" s="99">
        <v>7</v>
      </c>
      <c r="BG97" s="99">
        <v>12801.6</v>
      </c>
      <c r="BH97" s="99">
        <v>9</v>
      </c>
      <c r="BI97" s="99">
        <v>16459.2</v>
      </c>
      <c r="BJ97" s="99">
        <v>7</v>
      </c>
      <c r="BK97" s="99">
        <v>12801.6</v>
      </c>
      <c r="BL97" s="99">
        <v>8</v>
      </c>
      <c r="BM97" s="99">
        <v>14630.4</v>
      </c>
      <c r="BN97" s="99">
        <v>7</v>
      </c>
      <c r="BO97" s="99">
        <v>12801.6</v>
      </c>
      <c r="BP97" s="99">
        <v>10</v>
      </c>
      <c r="BQ97" s="99">
        <v>18288</v>
      </c>
      <c r="BR97" s="99">
        <v>7</v>
      </c>
      <c r="BS97" s="99">
        <v>12801.6</v>
      </c>
      <c r="BT97" s="99">
        <v>10</v>
      </c>
      <c r="BU97" s="99">
        <v>18288</v>
      </c>
      <c r="BV97" s="99">
        <v>9</v>
      </c>
      <c r="BW97" s="99">
        <v>16459.2</v>
      </c>
      <c r="BX97" s="99">
        <v>8</v>
      </c>
      <c r="BY97" s="99">
        <v>14630.4</v>
      </c>
      <c r="BZ97" s="99">
        <v>8</v>
      </c>
      <c r="CA97" s="99">
        <v>14630.4</v>
      </c>
      <c r="CB97" s="99">
        <v>5</v>
      </c>
      <c r="CC97" s="99">
        <v>9144</v>
      </c>
      <c r="CD97" s="99">
        <v>9</v>
      </c>
      <c r="CE97" s="99">
        <v>16459.2</v>
      </c>
      <c r="CF97" s="99">
        <v>10</v>
      </c>
      <c r="CG97" s="99">
        <v>18288</v>
      </c>
      <c r="CH97" s="99">
        <v>7</v>
      </c>
      <c r="CI97" s="99">
        <v>12801.6</v>
      </c>
      <c r="CJ97" s="99">
        <v>5</v>
      </c>
      <c r="CK97" s="99">
        <v>9144</v>
      </c>
      <c r="CL97" s="99">
        <v>7</v>
      </c>
      <c r="CM97" s="99">
        <v>12801.6</v>
      </c>
      <c r="CN97" s="99">
        <v>7</v>
      </c>
      <c r="CO97" s="99">
        <v>12801.6</v>
      </c>
      <c r="CP97" s="99">
        <v>5</v>
      </c>
      <c r="CQ97" s="99">
        <v>9144</v>
      </c>
      <c r="CR97" s="99">
        <v>10</v>
      </c>
      <c r="CS97" s="99">
        <v>18288</v>
      </c>
      <c r="CT97" s="99">
        <v>11</v>
      </c>
      <c r="CU97" s="99">
        <v>20116.8</v>
      </c>
    </row>
    <row r="98" spans="2:99">
      <c r="C98" s="98" t="s">
        <v>263</v>
      </c>
      <c r="D98" s="99">
        <v>0</v>
      </c>
      <c r="E98" s="99">
        <v>0</v>
      </c>
      <c r="F98" s="99">
        <v>0</v>
      </c>
      <c r="G98" s="99">
        <v>0</v>
      </c>
      <c r="H98" s="99">
        <v>8.9930362415344458</v>
      </c>
      <c r="I98" s="99">
        <v>11363.600594802925</v>
      </c>
      <c r="J98" s="99">
        <v>6</v>
      </c>
      <c r="K98" s="99">
        <v>7581.5999999999995</v>
      </c>
      <c r="L98" s="99">
        <v>6</v>
      </c>
      <c r="M98" s="99">
        <v>7581.5999999999995</v>
      </c>
      <c r="N98" s="99">
        <v>9</v>
      </c>
      <c r="O98" s="99">
        <v>11372.4</v>
      </c>
      <c r="P98" s="99">
        <v>6</v>
      </c>
      <c r="Q98" s="99">
        <v>7581.5999999999995</v>
      </c>
      <c r="R98" s="99">
        <v>9</v>
      </c>
      <c r="S98" s="99">
        <v>11372.4</v>
      </c>
      <c r="T98" s="99">
        <v>6</v>
      </c>
      <c r="U98" s="99">
        <v>7581.5999999999995</v>
      </c>
      <c r="V98" s="99">
        <v>7</v>
      </c>
      <c r="W98" s="99">
        <v>8845.1999999999989</v>
      </c>
      <c r="X98" s="99">
        <v>9</v>
      </c>
      <c r="Y98" s="99">
        <v>11372.4</v>
      </c>
      <c r="Z98" s="99">
        <v>6</v>
      </c>
      <c r="AA98" s="99">
        <v>7581.5999999999995</v>
      </c>
      <c r="AB98" s="99">
        <v>7</v>
      </c>
      <c r="AC98" s="99">
        <v>8845.1999999999989</v>
      </c>
      <c r="AD98" s="99">
        <v>10</v>
      </c>
      <c r="AE98" s="99">
        <v>12636</v>
      </c>
      <c r="AF98" s="99">
        <v>10</v>
      </c>
      <c r="AG98" s="99">
        <v>12636</v>
      </c>
      <c r="AH98" s="99">
        <v>7</v>
      </c>
      <c r="AI98" s="99">
        <v>8845.1999999999989</v>
      </c>
      <c r="AJ98" s="99">
        <v>7</v>
      </c>
      <c r="AK98" s="99">
        <v>8845.1999999999989</v>
      </c>
      <c r="AL98" s="99">
        <v>9</v>
      </c>
      <c r="AM98" s="99">
        <v>11372.4</v>
      </c>
      <c r="AN98" s="99">
        <v>6</v>
      </c>
      <c r="AO98" s="99">
        <v>7581.5999999999995</v>
      </c>
      <c r="AP98" s="99">
        <v>5</v>
      </c>
      <c r="AQ98" s="99">
        <v>6318</v>
      </c>
      <c r="AR98" s="99">
        <v>7</v>
      </c>
      <c r="AS98" s="99">
        <v>8845.1999999999989</v>
      </c>
      <c r="AT98" s="99">
        <v>7</v>
      </c>
      <c r="AU98" s="99">
        <v>8845.1999999999989</v>
      </c>
      <c r="AV98" s="99">
        <v>10</v>
      </c>
      <c r="AW98" s="99">
        <v>12636</v>
      </c>
      <c r="AX98" s="99">
        <v>7</v>
      </c>
      <c r="AY98" s="99">
        <v>8845.1999999999989</v>
      </c>
      <c r="AZ98" s="99">
        <v>7</v>
      </c>
      <c r="BA98" s="99">
        <v>8845.1999999999989</v>
      </c>
      <c r="BB98" s="99">
        <v>8</v>
      </c>
      <c r="BC98" s="99">
        <v>10108.799999999999</v>
      </c>
      <c r="BD98" s="99">
        <v>11</v>
      </c>
      <c r="BE98" s="99">
        <v>13899.599999999999</v>
      </c>
      <c r="BF98" s="99">
        <v>8</v>
      </c>
      <c r="BG98" s="99">
        <v>10108.799999999999</v>
      </c>
      <c r="BH98" s="99">
        <v>9</v>
      </c>
      <c r="BI98" s="99">
        <v>11372.4</v>
      </c>
      <c r="BJ98" s="99">
        <v>7</v>
      </c>
      <c r="BK98" s="99">
        <v>8845.1999999999989</v>
      </c>
      <c r="BL98" s="99">
        <v>8</v>
      </c>
      <c r="BM98" s="99">
        <v>10108.799999999999</v>
      </c>
      <c r="BN98" s="99">
        <v>6</v>
      </c>
      <c r="BO98" s="99">
        <v>7581.5999999999995</v>
      </c>
      <c r="BP98" s="99">
        <v>11</v>
      </c>
      <c r="BQ98" s="99">
        <v>13899.599999999999</v>
      </c>
      <c r="BR98" s="99">
        <v>8</v>
      </c>
      <c r="BS98" s="99">
        <v>10108.799999999999</v>
      </c>
      <c r="BT98" s="99">
        <v>11</v>
      </c>
      <c r="BU98" s="99">
        <v>13899.599999999999</v>
      </c>
      <c r="BV98" s="99">
        <v>10</v>
      </c>
      <c r="BW98" s="99">
        <v>12636</v>
      </c>
      <c r="BX98" s="99">
        <v>8</v>
      </c>
      <c r="BY98" s="99">
        <v>10108.799999999999</v>
      </c>
      <c r="BZ98" s="99">
        <v>9</v>
      </c>
      <c r="CA98" s="99">
        <v>11372.4</v>
      </c>
      <c r="CB98" s="99">
        <v>5</v>
      </c>
      <c r="CC98" s="99">
        <v>6318</v>
      </c>
      <c r="CD98" s="99">
        <v>9</v>
      </c>
      <c r="CE98" s="99">
        <v>11372.4</v>
      </c>
      <c r="CF98" s="99">
        <v>10</v>
      </c>
      <c r="CG98" s="99">
        <v>12636</v>
      </c>
      <c r="CH98" s="99">
        <v>8</v>
      </c>
      <c r="CI98" s="99">
        <v>10108.799999999999</v>
      </c>
      <c r="CJ98" s="99">
        <v>6</v>
      </c>
      <c r="CK98" s="99">
        <v>7581.5999999999995</v>
      </c>
      <c r="CL98" s="99">
        <v>8</v>
      </c>
      <c r="CM98" s="99">
        <v>10108.799999999999</v>
      </c>
      <c r="CN98" s="99">
        <v>8</v>
      </c>
      <c r="CO98" s="99">
        <v>10108.799999999999</v>
      </c>
      <c r="CP98" s="99">
        <v>6</v>
      </c>
      <c r="CQ98" s="99">
        <v>7581.5999999999995</v>
      </c>
      <c r="CR98" s="99">
        <v>9</v>
      </c>
      <c r="CS98" s="99">
        <v>11372.4</v>
      </c>
      <c r="CT98" s="99">
        <v>11</v>
      </c>
      <c r="CU98" s="99">
        <v>13899.599999999999</v>
      </c>
    </row>
    <row r="99" spans="2:99">
      <c r="C99" s="98" t="s">
        <v>264</v>
      </c>
      <c r="D99" s="99">
        <v>0</v>
      </c>
      <c r="E99" s="99">
        <v>0</v>
      </c>
      <c r="F99" s="99">
        <v>0</v>
      </c>
      <c r="G99" s="99">
        <v>0</v>
      </c>
      <c r="H99" s="99">
        <v>8.0937326173810007</v>
      </c>
      <c r="I99" s="99">
        <v>44366.604715435686</v>
      </c>
      <c r="J99" s="99">
        <v>6</v>
      </c>
      <c r="K99" s="99">
        <v>32889.599999999999</v>
      </c>
      <c r="L99" s="99">
        <v>5</v>
      </c>
      <c r="M99" s="99">
        <v>27407.999999999996</v>
      </c>
      <c r="N99" s="99">
        <v>7</v>
      </c>
      <c r="O99" s="99">
        <v>38371.199999999997</v>
      </c>
      <c r="P99" s="99">
        <v>4</v>
      </c>
      <c r="Q99" s="99">
        <v>21926.399999999998</v>
      </c>
      <c r="R99" s="99">
        <v>8</v>
      </c>
      <c r="S99" s="99">
        <v>43852.799999999996</v>
      </c>
      <c r="T99" s="99">
        <v>5</v>
      </c>
      <c r="U99" s="99">
        <v>27407.999999999996</v>
      </c>
      <c r="V99" s="99">
        <v>6</v>
      </c>
      <c r="W99" s="99">
        <v>32889.599999999999</v>
      </c>
      <c r="X99" s="99">
        <v>8</v>
      </c>
      <c r="Y99" s="99">
        <v>43852.799999999996</v>
      </c>
      <c r="Z99" s="99">
        <v>5</v>
      </c>
      <c r="AA99" s="99">
        <v>27407.999999999996</v>
      </c>
      <c r="AB99" s="99">
        <v>5</v>
      </c>
      <c r="AC99" s="99">
        <v>27407.999999999996</v>
      </c>
      <c r="AD99" s="99">
        <v>8</v>
      </c>
      <c r="AE99" s="99">
        <v>43852.799999999996</v>
      </c>
      <c r="AF99" s="99">
        <v>9</v>
      </c>
      <c r="AG99" s="99">
        <v>49334.399999999994</v>
      </c>
      <c r="AH99" s="99">
        <v>6</v>
      </c>
      <c r="AI99" s="99">
        <v>32889.599999999999</v>
      </c>
      <c r="AJ99" s="99">
        <v>6</v>
      </c>
      <c r="AK99" s="99">
        <v>32889.599999999999</v>
      </c>
      <c r="AL99" s="99">
        <v>7</v>
      </c>
      <c r="AM99" s="99">
        <v>38371.199999999997</v>
      </c>
      <c r="AN99" s="99">
        <v>5</v>
      </c>
      <c r="AO99" s="99">
        <v>27407.999999999996</v>
      </c>
      <c r="AP99" s="99">
        <v>4</v>
      </c>
      <c r="AQ99" s="99">
        <v>21926.399999999998</v>
      </c>
      <c r="AR99" s="99">
        <v>6</v>
      </c>
      <c r="AS99" s="99">
        <v>32889.599999999999</v>
      </c>
      <c r="AT99" s="99">
        <v>5</v>
      </c>
      <c r="AU99" s="99">
        <v>27407.999999999996</v>
      </c>
      <c r="AV99" s="99">
        <v>7</v>
      </c>
      <c r="AW99" s="99">
        <v>38371.199999999997</v>
      </c>
      <c r="AX99" s="99">
        <v>6</v>
      </c>
      <c r="AY99" s="99">
        <v>32889.599999999999</v>
      </c>
      <c r="AZ99" s="99">
        <v>5</v>
      </c>
      <c r="BA99" s="99">
        <v>27407.999999999996</v>
      </c>
      <c r="BB99" s="99">
        <v>6</v>
      </c>
      <c r="BC99" s="99">
        <v>32889.599999999999</v>
      </c>
      <c r="BD99" s="99">
        <v>9</v>
      </c>
      <c r="BE99" s="99">
        <v>49334.399999999994</v>
      </c>
      <c r="BF99" s="99">
        <v>6</v>
      </c>
      <c r="BG99" s="99">
        <v>32889.599999999999</v>
      </c>
      <c r="BH99" s="99">
        <v>8</v>
      </c>
      <c r="BI99" s="99">
        <v>43852.799999999996</v>
      </c>
      <c r="BJ99" s="99">
        <v>6</v>
      </c>
      <c r="BK99" s="99">
        <v>32889.599999999999</v>
      </c>
      <c r="BL99" s="99">
        <v>6</v>
      </c>
      <c r="BM99" s="99">
        <v>32889.599999999999</v>
      </c>
      <c r="BN99" s="99">
        <v>5</v>
      </c>
      <c r="BO99" s="99">
        <v>27407.999999999996</v>
      </c>
      <c r="BP99" s="99">
        <v>8</v>
      </c>
      <c r="BQ99" s="99">
        <v>43852.799999999996</v>
      </c>
      <c r="BR99" s="99">
        <v>6</v>
      </c>
      <c r="BS99" s="99">
        <v>32889.599999999999</v>
      </c>
      <c r="BT99" s="99">
        <v>8</v>
      </c>
      <c r="BU99" s="99">
        <v>43852.799999999996</v>
      </c>
      <c r="BV99" s="99">
        <v>7</v>
      </c>
      <c r="BW99" s="99">
        <v>38371.199999999997</v>
      </c>
      <c r="BX99" s="99">
        <v>6</v>
      </c>
      <c r="BY99" s="99">
        <v>32889.599999999999</v>
      </c>
      <c r="BZ99" s="99">
        <v>6</v>
      </c>
      <c r="CA99" s="99">
        <v>32889.599999999999</v>
      </c>
      <c r="CB99" s="99">
        <v>5</v>
      </c>
      <c r="CC99" s="99">
        <v>27407.999999999996</v>
      </c>
      <c r="CD99" s="99">
        <v>6</v>
      </c>
      <c r="CE99" s="99">
        <v>32889.599999999999</v>
      </c>
      <c r="CF99" s="99">
        <v>8</v>
      </c>
      <c r="CG99" s="99">
        <v>43852.799999999996</v>
      </c>
      <c r="CH99" s="99">
        <v>6</v>
      </c>
      <c r="CI99" s="99">
        <v>32889.599999999999</v>
      </c>
      <c r="CJ99" s="99">
        <v>4</v>
      </c>
      <c r="CK99" s="99">
        <v>21926.399999999998</v>
      </c>
      <c r="CL99" s="99">
        <v>7</v>
      </c>
      <c r="CM99" s="99">
        <v>38371.199999999997</v>
      </c>
      <c r="CN99" s="99">
        <v>5</v>
      </c>
      <c r="CO99" s="99">
        <v>27407.999999999996</v>
      </c>
      <c r="CP99" s="99">
        <v>5</v>
      </c>
      <c r="CQ99" s="99">
        <v>27407.999999999996</v>
      </c>
      <c r="CR99" s="99">
        <v>8</v>
      </c>
      <c r="CS99" s="99">
        <v>43852.799999999996</v>
      </c>
      <c r="CT99" s="99">
        <v>8</v>
      </c>
      <c r="CU99" s="99">
        <v>43852.799999999996</v>
      </c>
    </row>
    <row r="100" spans="2:99">
      <c r="C100" s="98" t="s">
        <v>265</v>
      </c>
      <c r="D100" s="99">
        <v>0</v>
      </c>
      <c r="E100" s="99">
        <v>0</v>
      </c>
      <c r="F100" s="99">
        <v>0</v>
      </c>
      <c r="G100" s="99">
        <v>0</v>
      </c>
      <c r="H100" s="99">
        <v>8.9930362415344458</v>
      </c>
      <c r="I100" s="99">
        <v>14590.301998265484</v>
      </c>
      <c r="J100" s="99">
        <v>6</v>
      </c>
      <c r="K100" s="99">
        <v>9734.4</v>
      </c>
      <c r="L100" s="99">
        <v>6</v>
      </c>
      <c r="M100" s="99">
        <v>9734.4</v>
      </c>
      <c r="N100" s="99">
        <v>8</v>
      </c>
      <c r="O100" s="99">
        <v>12979.199999999999</v>
      </c>
      <c r="P100" s="99">
        <v>5</v>
      </c>
      <c r="Q100" s="99">
        <v>8111.9999999999991</v>
      </c>
      <c r="R100" s="99">
        <v>10</v>
      </c>
      <c r="S100" s="99">
        <v>16223.999999999998</v>
      </c>
      <c r="T100" s="99">
        <v>6</v>
      </c>
      <c r="U100" s="99">
        <v>9734.4</v>
      </c>
      <c r="V100" s="99">
        <v>8</v>
      </c>
      <c r="W100" s="99">
        <v>12979.199999999999</v>
      </c>
      <c r="X100" s="99">
        <v>9</v>
      </c>
      <c r="Y100" s="99">
        <v>14601.599999999999</v>
      </c>
      <c r="Z100" s="99">
        <v>6</v>
      </c>
      <c r="AA100" s="99">
        <v>9734.4</v>
      </c>
      <c r="AB100" s="99">
        <v>6</v>
      </c>
      <c r="AC100" s="99">
        <v>9734.4</v>
      </c>
      <c r="AD100" s="99">
        <v>9</v>
      </c>
      <c r="AE100" s="99">
        <v>14601.599999999999</v>
      </c>
      <c r="AF100" s="99">
        <v>10</v>
      </c>
      <c r="AG100" s="99">
        <v>16223.999999999998</v>
      </c>
      <c r="AH100" s="99">
        <v>7</v>
      </c>
      <c r="AI100" s="99">
        <v>11356.8</v>
      </c>
      <c r="AJ100" s="99">
        <v>7</v>
      </c>
      <c r="AK100" s="99">
        <v>11356.8</v>
      </c>
      <c r="AL100" s="99">
        <v>9</v>
      </c>
      <c r="AM100" s="99">
        <v>14601.599999999999</v>
      </c>
      <c r="AN100" s="99">
        <v>6</v>
      </c>
      <c r="AO100" s="99">
        <v>9734.4</v>
      </c>
      <c r="AP100" s="99">
        <v>6</v>
      </c>
      <c r="AQ100" s="99">
        <v>9734.4</v>
      </c>
      <c r="AR100" s="99">
        <v>7</v>
      </c>
      <c r="AS100" s="99">
        <v>11356.8</v>
      </c>
      <c r="AT100" s="99">
        <v>6</v>
      </c>
      <c r="AU100" s="99">
        <v>9734.4</v>
      </c>
      <c r="AV100" s="99">
        <v>9</v>
      </c>
      <c r="AW100" s="99">
        <v>14601.599999999999</v>
      </c>
      <c r="AX100" s="99">
        <v>7</v>
      </c>
      <c r="AY100" s="99">
        <v>11356.8</v>
      </c>
      <c r="AZ100" s="99">
        <v>5</v>
      </c>
      <c r="BA100" s="99">
        <v>8111.9999999999991</v>
      </c>
      <c r="BB100" s="99">
        <v>8</v>
      </c>
      <c r="BC100" s="99">
        <v>12979.199999999999</v>
      </c>
      <c r="BD100" s="99">
        <v>11</v>
      </c>
      <c r="BE100" s="99">
        <v>17846.399999999998</v>
      </c>
      <c r="BF100" s="99">
        <v>7</v>
      </c>
      <c r="BG100" s="99">
        <v>11356.8</v>
      </c>
      <c r="BH100" s="99">
        <v>9</v>
      </c>
      <c r="BI100" s="99">
        <v>14601.599999999999</v>
      </c>
      <c r="BJ100" s="99">
        <v>7</v>
      </c>
      <c r="BK100" s="99">
        <v>11356.8</v>
      </c>
      <c r="BL100" s="99">
        <v>8</v>
      </c>
      <c r="BM100" s="99">
        <v>12979.199999999999</v>
      </c>
      <c r="BN100" s="99">
        <v>7</v>
      </c>
      <c r="BO100" s="99">
        <v>11356.8</v>
      </c>
      <c r="BP100" s="99">
        <v>11</v>
      </c>
      <c r="BQ100" s="99">
        <v>17846.399999999998</v>
      </c>
      <c r="BR100" s="99">
        <v>8</v>
      </c>
      <c r="BS100" s="99">
        <v>12979.199999999999</v>
      </c>
      <c r="BT100" s="99">
        <v>9</v>
      </c>
      <c r="BU100" s="99">
        <v>14601.599999999999</v>
      </c>
      <c r="BV100" s="99">
        <v>9</v>
      </c>
      <c r="BW100" s="99">
        <v>14601.599999999999</v>
      </c>
      <c r="BX100" s="99">
        <v>8</v>
      </c>
      <c r="BY100" s="99">
        <v>12979.199999999999</v>
      </c>
      <c r="BZ100" s="99">
        <v>8</v>
      </c>
      <c r="CA100" s="99">
        <v>12979.199999999999</v>
      </c>
      <c r="CB100" s="99">
        <v>5</v>
      </c>
      <c r="CC100" s="99">
        <v>8111.9999999999991</v>
      </c>
      <c r="CD100" s="99">
        <v>8</v>
      </c>
      <c r="CE100" s="99">
        <v>12979.199999999999</v>
      </c>
      <c r="CF100" s="99">
        <v>9</v>
      </c>
      <c r="CG100" s="99">
        <v>14601.599999999999</v>
      </c>
      <c r="CH100" s="99">
        <v>8</v>
      </c>
      <c r="CI100" s="99">
        <v>12979.199999999999</v>
      </c>
      <c r="CJ100" s="99">
        <v>6</v>
      </c>
      <c r="CK100" s="99">
        <v>9734.4</v>
      </c>
      <c r="CL100" s="99">
        <v>8</v>
      </c>
      <c r="CM100" s="99">
        <v>12979.199999999999</v>
      </c>
      <c r="CN100" s="99">
        <v>6</v>
      </c>
      <c r="CO100" s="99">
        <v>9734.4</v>
      </c>
      <c r="CP100" s="99">
        <v>6</v>
      </c>
      <c r="CQ100" s="99">
        <v>9734.4</v>
      </c>
      <c r="CR100" s="99">
        <v>8</v>
      </c>
      <c r="CS100" s="99">
        <v>12979.199999999999</v>
      </c>
      <c r="CT100" s="99">
        <v>10</v>
      </c>
      <c r="CU100" s="99">
        <v>16223.999999999998</v>
      </c>
    </row>
    <row r="101" spans="2:99">
      <c r="C101" s="98" t="s">
        <v>266</v>
      </c>
      <c r="D101" s="99">
        <v>0</v>
      </c>
      <c r="E101" s="99">
        <v>0</v>
      </c>
      <c r="F101" s="99">
        <v>0</v>
      </c>
      <c r="G101" s="99">
        <v>0</v>
      </c>
      <c r="H101" s="99">
        <v>9.8923398656878891</v>
      </c>
      <c r="I101" s="99">
        <v>11775.841376114862</v>
      </c>
      <c r="J101" s="99">
        <v>7</v>
      </c>
      <c r="K101" s="99">
        <v>8332.7999999999993</v>
      </c>
      <c r="L101" s="99">
        <v>5</v>
      </c>
      <c r="M101" s="99">
        <v>5951.9999999999991</v>
      </c>
      <c r="N101" s="99">
        <v>8</v>
      </c>
      <c r="O101" s="99">
        <v>9523.1999999999989</v>
      </c>
      <c r="P101" s="99">
        <v>6</v>
      </c>
      <c r="Q101" s="99">
        <v>7142.4</v>
      </c>
      <c r="R101" s="99">
        <v>9</v>
      </c>
      <c r="S101" s="99">
        <v>10713.599999999999</v>
      </c>
      <c r="T101" s="99">
        <v>6</v>
      </c>
      <c r="U101" s="99">
        <v>7142.4</v>
      </c>
      <c r="V101" s="99">
        <v>9</v>
      </c>
      <c r="W101" s="99">
        <v>10713.599999999999</v>
      </c>
      <c r="X101" s="99">
        <v>9</v>
      </c>
      <c r="Y101" s="99">
        <v>10713.599999999999</v>
      </c>
      <c r="Z101" s="99">
        <v>6</v>
      </c>
      <c r="AA101" s="99">
        <v>7142.4</v>
      </c>
      <c r="AB101" s="99">
        <v>6</v>
      </c>
      <c r="AC101" s="99">
        <v>7142.4</v>
      </c>
      <c r="AD101" s="99">
        <v>10</v>
      </c>
      <c r="AE101" s="99">
        <v>11903.999999999998</v>
      </c>
      <c r="AF101" s="99">
        <v>9</v>
      </c>
      <c r="AG101" s="99">
        <v>10713.599999999999</v>
      </c>
      <c r="AH101" s="99">
        <v>7</v>
      </c>
      <c r="AI101" s="99">
        <v>8332.7999999999993</v>
      </c>
      <c r="AJ101" s="99">
        <v>7</v>
      </c>
      <c r="AK101" s="99">
        <v>8332.7999999999993</v>
      </c>
      <c r="AL101" s="99">
        <v>9</v>
      </c>
      <c r="AM101" s="99">
        <v>10713.599999999999</v>
      </c>
      <c r="AN101" s="99">
        <v>6</v>
      </c>
      <c r="AO101" s="99">
        <v>7142.4</v>
      </c>
      <c r="AP101" s="99">
        <v>5</v>
      </c>
      <c r="AQ101" s="99">
        <v>5951.9999999999991</v>
      </c>
      <c r="AR101" s="99">
        <v>8</v>
      </c>
      <c r="AS101" s="99">
        <v>9523.1999999999989</v>
      </c>
      <c r="AT101" s="99">
        <v>6</v>
      </c>
      <c r="AU101" s="99">
        <v>7142.4</v>
      </c>
      <c r="AV101" s="99">
        <v>9</v>
      </c>
      <c r="AW101" s="99">
        <v>10713.599999999999</v>
      </c>
      <c r="AX101" s="99">
        <v>7</v>
      </c>
      <c r="AY101" s="99">
        <v>8332.7999999999993</v>
      </c>
      <c r="AZ101" s="99">
        <v>6</v>
      </c>
      <c r="BA101" s="99">
        <v>7142.4</v>
      </c>
      <c r="BB101" s="99">
        <v>8</v>
      </c>
      <c r="BC101" s="99">
        <v>9523.1999999999989</v>
      </c>
      <c r="BD101" s="99">
        <v>11</v>
      </c>
      <c r="BE101" s="99">
        <v>13094.399999999998</v>
      </c>
      <c r="BF101" s="99">
        <v>7</v>
      </c>
      <c r="BG101" s="99">
        <v>8332.7999999999993</v>
      </c>
      <c r="BH101" s="99">
        <v>9</v>
      </c>
      <c r="BI101" s="99">
        <v>10713.599999999999</v>
      </c>
      <c r="BJ101" s="99">
        <v>7</v>
      </c>
      <c r="BK101" s="99">
        <v>8332.7999999999993</v>
      </c>
      <c r="BL101" s="99">
        <v>8</v>
      </c>
      <c r="BM101" s="99">
        <v>9523.1999999999989</v>
      </c>
      <c r="BN101" s="99">
        <v>7</v>
      </c>
      <c r="BO101" s="99">
        <v>8332.7999999999993</v>
      </c>
      <c r="BP101" s="99">
        <v>11</v>
      </c>
      <c r="BQ101" s="99">
        <v>13094.399999999998</v>
      </c>
      <c r="BR101" s="99">
        <v>7</v>
      </c>
      <c r="BS101" s="99">
        <v>8332.7999999999993</v>
      </c>
      <c r="BT101" s="99">
        <v>9</v>
      </c>
      <c r="BU101" s="99">
        <v>10713.599999999999</v>
      </c>
      <c r="BV101" s="99">
        <v>9</v>
      </c>
      <c r="BW101" s="99">
        <v>10713.599999999999</v>
      </c>
      <c r="BX101" s="99">
        <v>8</v>
      </c>
      <c r="BY101" s="99">
        <v>9523.1999999999989</v>
      </c>
      <c r="BZ101" s="99">
        <v>9</v>
      </c>
      <c r="CA101" s="99">
        <v>10713.599999999999</v>
      </c>
      <c r="CB101" s="99">
        <v>6</v>
      </c>
      <c r="CC101" s="99">
        <v>7142.4</v>
      </c>
      <c r="CD101" s="99">
        <v>9</v>
      </c>
      <c r="CE101" s="99">
        <v>10713.599999999999</v>
      </c>
      <c r="CF101" s="99">
        <v>10</v>
      </c>
      <c r="CG101" s="99">
        <v>11903.999999999998</v>
      </c>
      <c r="CH101" s="99">
        <v>8</v>
      </c>
      <c r="CI101" s="99">
        <v>9523.1999999999989</v>
      </c>
      <c r="CJ101" s="99">
        <v>5</v>
      </c>
      <c r="CK101" s="99">
        <v>5951.9999999999991</v>
      </c>
      <c r="CL101" s="99">
        <v>8</v>
      </c>
      <c r="CM101" s="99">
        <v>9523.1999999999989</v>
      </c>
      <c r="CN101" s="99">
        <v>7</v>
      </c>
      <c r="CO101" s="99">
        <v>8332.7999999999993</v>
      </c>
      <c r="CP101" s="99">
        <v>6</v>
      </c>
      <c r="CQ101" s="99">
        <v>7142.4</v>
      </c>
      <c r="CR101" s="99">
        <v>9</v>
      </c>
      <c r="CS101" s="99">
        <v>10713.599999999999</v>
      </c>
      <c r="CT101" s="99">
        <v>10</v>
      </c>
      <c r="CU101" s="99">
        <v>11903.999999999998</v>
      </c>
    </row>
    <row r="102" spans="2:99">
      <c r="C102" s="98" t="s">
        <v>267</v>
      </c>
      <c r="D102" s="99">
        <v>0</v>
      </c>
      <c r="E102" s="99">
        <v>0</v>
      </c>
      <c r="F102" s="99">
        <v>0</v>
      </c>
      <c r="G102" s="99">
        <v>0</v>
      </c>
      <c r="H102" s="99">
        <v>8.9930362415344458</v>
      </c>
      <c r="I102" s="99">
        <v>17439.295879583595</v>
      </c>
      <c r="J102" s="99">
        <v>6</v>
      </c>
      <c r="K102" s="99">
        <v>11635.199999999999</v>
      </c>
      <c r="L102" s="99">
        <v>6</v>
      </c>
      <c r="M102" s="99">
        <v>11635.199999999999</v>
      </c>
      <c r="N102" s="99">
        <v>9</v>
      </c>
      <c r="O102" s="99">
        <v>17452.8</v>
      </c>
      <c r="P102" s="99">
        <v>5</v>
      </c>
      <c r="Q102" s="99">
        <v>9696</v>
      </c>
      <c r="R102" s="99">
        <v>10</v>
      </c>
      <c r="S102" s="99">
        <v>19392</v>
      </c>
      <c r="T102" s="99">
        <v>6</v>
      </c>
      <c r="U102" s="99">
        <v>11635.199999999999</v>
      </c>
      <c r="V102" s="99">
        <v>8</v>
      </c>
      <c r="W102" s="99">
        <v>15513.599999999999</v>
      </c>
      <c r="X102" s="99">
        <v>8</v>
      </c>
      <c r="Y102" s="99">
        <v>15513.599999999999</v>
      </c>
      <c r="Z102" s="99">
        <v>6</v>
      </c>
      <c r="AA102" s="99">
        <v>11635.199999999999</v>
      </c>
      <c r="AB102" s="99">
        <v>6</v>
      </c>
      <c r="AC102" s="99">
        <v>11635.199999999999</v>
      </c>
      <c r="AD102" s="99">
        <v>9</v>
      </c>
      <c r="AE102" s="99">
        <v>17452.8</v>
      </c>
      <c r="AF102" s="99">
        <v>9</v>
      </c>
      <c r="AG102" s="99">
        <v>17452.8</v>
      </c>
      <c r="AH102" s="99">
        <v>7</v>
      </c>
      <c r="AI102" s="99">
        <v>13574.399999999998</v>
      </c>
      <c r="AJ102" s="99">
        <v>7</v>
      </c>
      <c r="AK102" s="99">
        <v>13574.399999999998</v>
      </c>
      <c r="AL102" s="99">
        <v>9</v>
      </c>
      <c r="AM102" s="99">
        <v>17452.8</v>
      </c>
      <c r="AN102" s="99">
        <v>6</v>
      </c>
      <c r="AO102" s="99">
        <v>11635.199999999999</v>
      </c>
      <c r="AP102" s="99">
        <v>5</v>
      </c>
      <c r="AQ102" s="99">
        <v>9696</v>
      </c>
      <c r="AR102" s="99">
        <v>7</v>
      </c>
      <c r="AS102" s="99">
        <v>13574.399999999998</v>
      </c>
      <c r="AT102" s="99">
        <v>6</v>
      </c>
      <c r="AU102" s="99">
        <v>11635.199999999999</v>
      </c>
      <c r="AV102" s="99">
        <v>10</v>
      </c>
      <c r="AW102" s="99">
        <v>19392</v>
      </c>
      <c r="AX102" s="99">
        <v>8</v>
      </c>
      <c r="AY102" s="99">
        <v>15513.599999999999</v>
      </c>
      <c r="AZ102" s="99">
        <v>6</v>
      </c>
      <c r="BA102" s="99">
        <v>11635.199999999999</v>
      </c>
      <c r="BB102" s="99">
        <v>8</v>
      </c>
      <c r="BC102" s="99">
        <v>15513.599999999999</v>
      </c>
      <c r="BD102" s="99">
        <v>9</v>
      </c>
      <c r="BE102" s="99">
        <v>17452.8</v>
      </c>
      <c r="BF102" s="99">
        <v>7</v>
      </c>
      <c r="BG102" s="99">
        <v>13574.399999999998</v>
      </c>
      <c r="BH102" s="99">
        <v>8</v>
      </c>
      <c r="BI102" s="99">
        <v>15513.599999999999</v>
      </c>
      <c r="BJ102" s="99">
        <v>7</v>
      </c>
      <c r="BK102" s="99">
        <v>13574.399999999998</v>
      </c>
      <c r="BL102" s="99">
        <v>8</v>
      </c>
      <c r="BM102" s="99">
        <v>15513.599999999999</v>
      </c>
      <c r="BN102" s="99">
        <v>6</v>
      </c>
      <c r="BO102" s="99">
        <v>11635.199999999999</v>
      </c>
      <c r="BP102" s="99">
        <v>9</v>
      </c>
      <c r="BQ102" s="99">
        <v>17452.8</v>
      </c>
      <c r="BR102" s="99">
        <v>8</v>
      </c>
      <c r="BS102" s="99">
        <v>15513.599999999999</v>
      </c>
      <c r="BT102" s="99">
        <v>10</v>
      </c>
      <c r="BU102" s="99">
        <v>19392</v>
      </c>
      <c r="BV102" s="99">
        <v>9</v>
      </c>
      <c r="BW102" s="99">
        <v>17452.8</v>
      </c>
      <c r="BX102" s="99">
        <v>9</v>
      </c>
      <c r="BY102" s="99">
        <v>17452.8</v>
      </c>
      <c r="BZ102" s="99">
        <v>7</v>
      </c>
      <c r="CA102" s="99">
        <v>13574.399999999998</v>
      </c>
      <c r="CB102" s="99">
        <v>5</v>
      </c>
      <c r="CC102" s="99">
        <v>9696</v>
      </c>
      <c r="CD102" s="99">
        <v>9</v>
      </c>
      <c r="CE102" s="99">
        <v>17452.8</v>
      </c>
      <c r="CF102" s="99">
        <v>9</v>
      </c>
      <c r="CG102" s="99">
        <v>17452.8</v>
      </c>
      <c r="CH102" s="99">
        <v>7</v>
      </c>
      <c r="CI102" s="99">
        <v>13574.399999999998</v>
      </c>
      <c r="CJ102" s="99">
        <v>5</v>
      </c>
      <c r="CK102" s="99">
        <v>9696</v>
      </c>
      <c r="CL102" s="99">
        <v>9</v>
      </c>
      <c r="CM102" s="99">
        <v>17452.8</v>
      </c>
      <c r="CN102" s="99">
        <v>7</v>
      </c>
      <c r="CO102" s="99">
        <v>13574.399999999998</v>
      </c>
      <c r="CP102" s="99">
        <v>6</v>
      </c>
      <c r="CQ102" s="99">
        <v>11635.199999999999</v>
      </c>
      <c r="CR102" s="99">
        <v>9</v>
      </c>
      <c r="CS102" s="99">
        <v>17452.8</v>
      </c>
      <c r="CT102" s="99">
        <v>10</v>
      </c>
      <c r="CU102" s="99">
        <v>19392</v>
      </c>
    </row>
    <row r="103" spans="2:99">
      <c r="C103" s="98" t="s">
        <v>268</v>
      </c>
      <c r="D103" s="99">
        <v>0</v>
      </c>
      <c r="E103" s="99">
        <v>0</v>
      </c>
      <c r="F103" s="99">
        <v>0</v>
      </c>
      <c r="G103" s="99">
        <v>0</v>
      </c>
      <c r="H103" s="99">
        <v>8.9930362415344458</v>
      </c>
      <c r="I103" s="99">
        <v>18237.877497831858</v>
      </c>
      <c r="J103" s="99">
        <v>7</v>
      </c>
      <c r="K103" s="99">
        <v>14196</v>
      </c>
      <c r="L103" s="99">
        <v>5</v>
      </c>
      <c r="M103" s="99">
        <v>10140</v>
      </c>
      <c r="N103" s="99">
        <v>8</v>
      </c>
      <c r="O103" s="99">
        <v>16224</v>
      </c>
      <c r="P103" s="99">
        <v>5</v>
      </c>
      <c r="Q103" s="99">
        <v>10140</v>
      </c>
      <c r="R103" s="99">
        <v>9</v>
      </c>
      <c r="S103" s="99">
        <v>18252</v>
      </c>
      <c r="T103" s="99">
        <v>6</v>
      </c>
      <c r="U103" s="99">
        <v>12168</v>
      </c>
      <c r="V103" s="99">
        <v>8</v>
      </c>
      <c r="W103" s="99">
        <v>16224</v>
      </c>
      <c r="X103" s="99">
        <v>9</v>
      </c>
      <c r="Y103" s="99">
        <v>18252</v>
      </c>
      <c r="Z103" s="99">
        <v>6</v>
      </c>
      <c r="AA103" s="99">
        <v>12168</v>
      </c>
      <c r="AB103" s="99">
        <v>6</v>
      </c>
      <c r="AC103" s="99">
        <v>12168</v>
      </c>
      <c r="AD103" s="99">
        <v>9</v>
      </c>
      <c r="AE103" s="99">
        <v>18252</v>
      </c>
      <c r="AF103" s="99">
        <v>9</v>
      </c>
      <c r="AG103" s="99">
        <v>18252</v>
      </c>
      <c r="AH103" s="99">
        <v>7</v>
      </c>
      <c r="AI103" s="99">
        <v>14196</v>
      </c>
      <c r="AJ103" s="99">
        <v>7</v>
      </c>
      <c r="AK103" s="99">
        <v>14196</v>
      </c>
      <c r="AL103" s="99">
        <v>8</v>
      </c>
      <c r="AM103" s="99">
        <v>16224</v>
      </c>
      <c r="AN103" s="99">
        <v>6</v>
      </c>
      <c r="AO103" s="99">
        <v>12168</v>
      </c>
      <c r="AP103" s="99">
        <v>5</v>
      </c>
      <c r="AQ103" s="99">
        <v>10140</v>
      </c>
      <c r="AR103" s="99">
        <v>7</v>
      </c>
      <c r="AS103" s="99">
        <v>14196</v>
      </c>
      <c r="AT103" s="99">
        <v>6</v>
      </c>
      <c r="AU103" s="99">
        <v>12168</v>
      </c>
      <c r="AV103" s="99">
        <v>9</v>
      </c>
      <c r="AW103" s="99">
        <v>18252</v>
      </c>
      <c r="AX103" s="99">
        <v>7</v>
      </c>
      <c r="AY103" s="99">
        <v>14196</v>
      </c>
      <c r="AZ103" s="99">
        <v>6</v>
      </c>
      <c r="BA103" s="99">
        <v>12168</v>
      </c>
      <c r="BB103" s="99">
        <v>8</v>
      </c>
      <c r="BC103" s="99">
        <v>16224</v>
      </c>
      <c r="BD103" s="99">
        <v>9</v>
      </c>
      <c r="BE103" s="99">
        <v>18252</v>
      </c>
      <c r="BF103" s="99">
        <v>7</v>
      </c>
      <c r="BG103" s="99">
        <v>14196</v>
      </c>
      <c r="BH103" s="99">
        <v>8</v>
      </c>
      <c r="BI103" s="99">
        <v>16224</v>
      </c>
      <c r="BJ103" s="99">
        <v>7</v>
      </c>
      <c r="BK103" s="99">
        <v>14196</v>
      </c>
      <c r="BL103" s="99">
        <v>7</v>
      </c>
      <c r="BM103" s="99">
        <v>14196</v>
      </c>
      <c r="BN103" s="99">
        <v>6</v>
      </c>
      <c r="BO103" s="99">
        <v>12168</v>
      </c>
      <c r="BP103" s="99">
        <v>9</v>
      </c>
      <c r="BQ103" s="99">
        <v>18252</v>
      </c>
      <c r="BR103" s="99">
        <v>7</v>
      </c>
      <c r="BS103" s="99">
        <v>14196</v>
      </c>
      <c r="BT103" s="99">
        <v>9</v>
      </c>
      <c r="BU103" s="99">
        <v>18252</v>
      </c>
      <c r="BV103" s="99">
        <v>9</v>
      </c>
      <c r="BW103" s="99">
        <v>18252</v>
      </c>
      <c r="BX103" s="99">
        <v>8</v>
      </c>
      <c r="BY103" s="99">
        <v>16224</v>
      </c>
      <c r="BZ103" s="99">
        <v>8</v>
      </c>
      <c r="CA103" s="99">
        <v>16224</v>
      </c>
      <c r="CB103" s="99">
        <v>5</v>
      </c>
      <c r="CC103" s="99">
        <v>10140</v>
      </c>
      <c r="CD103" s="99">
        <v>9</v>
      </c>
      <c r="CE103" s="99">
        <v>18252</v>
      </c>
      <c r="CF103" s="99">
        <v>10</v>
      </c>
      <c r="CG103" s="99">
        <v>20280</v>
      </c>
      <c r="CH103" s="99">
        <v>7</v>
      </c>
      <c r="CI103" s="99">
        <v>14196</v>
      </c>
      <c r="CJ103" s="99">
        <v>5</v>
      </c>
      <c r="CK103" s="99">
        <v>10140</v>
      </c>
      <c r="CL103" s="99">
        <v>7</v>
      </c>
      <c r="CM103" s="99">
        <v>14196</v>
      </c>
      <c r="CN103" s="99">
        <v>6</v>
      </c>
      <c r="CO103" s="99">
        <v>12168</v>
      </c>
      <c r="CP103" s="99">
        <v>5</v>
      </c>
      <c r="CQ103" s="99">
        <v>10140</v>
      </c>
      <c r="CR103" s="99">
        <v>10</v>
      </c>
      <c r="CS103" s="99">
        <v>20280</v>
      </c>
      <c r="CT103" s="99">
        <v>10</v>
      </c>
      <c r="CU103" s="99">
        <v>20280</v>
      </c>
    </row>
    <row r="104" spans="2:99">
      <c r="C104" s="98" t="s">
        <v>269</v>
      </c>
      <c r="D104" s="99">
        <v>0</v>
      </c>
      <c r="E104" s="99">
        <v>0</v>
      </c>
      <c r="F104" s="99">
        <v>0</v>
      </c>
      <c r="G104" s="99">
        <v>0</v>
      </c>
      <c r="H104" s="99">
        <v>8.9930362415344458</v>
      </c>
      <c r="I104" s="99">
        <v>18637.168306955988</v>
      </c>
      <c r="J104" s="99">
        <v>6</v>
      </c>
      <c r="K104" s="99">
        <v>12434.400000000001</v>
      </c>
      <c r="L104" s="99">
        <v>5</v>
      </c>
      <c r="M104" s="99">
        <v>10362</v>
      </c>
      <c r="N104" s="99">
        <v>9</v>
      </c>
      <c r="O104" s="99">
        <v>18651.600000000002</v>
      </c>
      <c r="P104" s="99">
        <v>6</v>
      </c>
      <c r="Q104" s="99">
        <v>12434.400000000001</v>
      </c>
      <c r="R104" s="99">
        <v>9</v>
      </c>
      <c r="S104" s="99">
        <v>18651.600000000002</v>
      </c>
      <c r="T104" s="99">
        <v>5</v>
      </c>
      <c r="U104" s="99">
        <v>10362</v>
      </c>
      <c r="V104" s="99">
        <v>8</v>
      </c>
      <c r="W104" s="99">
        <v>16579.2</v>
      </c>
      <c r="X104" s="99">
        <v>9</v>
      </c>
      <c r="Y104" s="99">
        <v>18651.600000000002</v>
      </c>
      <c r="Z104" s="99">
        <v>6</v>
      </c>
      <c r="AA104" s="99">
        <v>12434.400000000001</v>
      </c>
      <c r="AB104" s="99">
        <v>7</v>
      </c>
      <c r="AC104" s="99">
        <v>14506.800000000001</v>
      </c>
      <c r="AD104" s="99">
        <v>10</v>
      </c>
      <c r="AE104" s="99">
        <v>20724</v>
      </c>
      <c r="AF104" s="99">
        <v>9</v>
      </c>
      <c r="AG104" s="99">
        <v>18651.600000000002</v>
      </c>
      <c r="AH104" s="99">
        <v>6</v>
      </c>
      <c r="AI104" s="99">
        <v>12434.400000000001</v>
      </c>
      <c r="AJ104" s="99">
        <v>7</v>
      </c>
      <c r="AK104" s="99">
        <v>14506.800000000001</v>
      </c>
      <c r="AL104" s="99">
        <v>8</v>
      </c>
      <c r="AM104" s="99">
        <v>16579.2</v>
      </c>
      <c r="AN104" s="99">
        <v>6</v>
      </c>
      <c r="AO104" s="99">
        <v>12434.400000000001</v>
      </c>
      <c r="AP104" s="99">
        <v>5</v>
      </c>
      <c r="AQ104" s="99">
        <v>10362</v>
      </c>
      <c r="AR104" s="99">
        <v>6</v>
      </c>
      <c r="AS104" s="99">
        <v>12434.400000000001</v>
      </c>
      <c r="AT104" s="99">
        <v>5</v>
      </c>
      <c r="AU104" s="99">
        <v>10362</v>
      </c>
      <c r="AV104" s="99">
        <v>10</v>
      </c>
      <c r="AW104" s="99">
        <v>20724</v>
      </c>
      <c r="AX104" s="99">
        <v>7</v>
      </c>
      <c r="AY104" s="99">
        <v>14506.800000000001</v>
      </c>
      <c r="AZ104" s="99">
        <v>6</v>
      </c>
      <c r="BA104" s="99">
        <v>12434.400000000001</v>
      </c>
      <c r="BB104" s="99">
        <v>7</v>
      </c>
      <c r="BC104" s="99">
        <v>14506.800000000001</v>
      </c>
      <c r="BD104" s="99">
        <v>9</v>
      </c>
      <c r="BE104" s="99">
        <v>18651.600000000002</v>
      </c>
      <c r="BF104" s="99">
        <v>7</v>
      </c>
      <c r="BG104" s="99">
        <v>14506.800000000001</v>
      </c>
      <c r="BH104" s="99">
        <v>9</v>
      </c>
      <c r="BI104" s="99">
        <v>18651.600000000002</v>
      </c>
      <c r="BJ104" s="99">
        <v>7</v>
      </c>
      <c r="BK104" s="99">
        <v>14506.800000000001</v>
      </c>
      <c r="BL104" s="99">
        <v>8</v>
      </c>
      <c r="BM104" s="99">
        <v>16579.2</v>
      </c>
      <c r="BN104" s="99">
        <v>7</v>
      </c>
      <c r="BO104" s="99">
        <v>14506.800000000001</v>
      </c>
      <c r="BP104" s="99">
        <v>10</v>
      </c>
      <c r="BQ104" s="99">
        <v>20724</v>
      </c>
      <c r="BR104" s="99">
        <v>7</v>
      </c>
      <c r="BS104" s="99">
        <v>14506.800000000001</v>
      </c>
      <c r="BT104" s="99">
        <v>9</v>
      </c>
      <c r="BU104" s="99">
        <v>18651.600000000002</v>
      </c>
      <c r="BV104" s="99">
        <v>10</v>
      </c>
      <c r="BW104" s="99">
        <v>20724</v>
      </c>
      <c r="BX104" s="99">
        <v>9</v>
      </c>
      <c r="BY104" s="99">
        <v>18651.600000000002</v>
      </c>
      <c r="BZ104" s="99">
        <v>8</v>
      </c>
      <c r="CA104" s="99">
        <v>16579.2</v>
      </c>
      <c r="CB104" s="99">
        <v>5</v>
      </c>
      <c r="CC104" s="99">
        <v>10362</v>
      </c>
      <c r="CD104" s="99">
        <v>8</v>
      </c>
      <c r="CE104" s="99">
        <v>16579.2</v>
      </c>
      <c r="CF104" s="99">
        <v>10</v>
      </c>
      <c r="CG104" s="99">
        <v>20724</v>
      </c>
      <c r="CH104" s="99">
        <v>7</v>
      </c>
      <c r="CI104" s="99">
        <v>14506.800000000001</v>
      </c>
      <c r="CJ104" s="99">
        <v>5</v>
      </c>
      <c r="CK104" s="99">
        <v>10362</v>
      </c>
      <c r="CL104" s="99">
        <v>8</v>
      </c>
      <c r="CM104" s="99">
        <v>16579.2</v>
      </c>
      <c r="CN104" s="99">
        <v>7</v>
      </c>
      <c r="CO104" s="99">
        <v>14506.800000000001</v>
      </c>
      <c r="CP104" s="99">
        <v>6</v>
      </c>
      <c r="CQ104" s="99">
        <v>12434.400000000001</v>
      </c>
      <c r="CR104" s="99">
        <v>8</v>
      </c>
      <c r="CS104" s="99">
        <v>16579.2</v>
      </c>
      <c r="CT104" s="99">
        <v>10</v>
      </c>
      <c r="CU104" s="99">
        <v>20724</v>
      </c>
    </row>
    <row r="105" spans="2:99">
      <c r="C105" s="98" t="s">
        <v>270</v>
      </c>
      <c r="D105" s="99">
        <v>0</v>
      </c>
      <c r="E105" s="99">
        <v>0</v>
      </c>
      <c r="F105" s="99">
        <v>0</v>
      </c>
      <c r="G105" s="99">
        <v>0</v>
      </c>
      <c r="H105" s="99">
        <v>8.9930362415344458</v>
      </c>
      <c r="I105" s="99">
        <v>17968.086410585824</v>
      </c>
      <c r="J105" s="99">
        <v>7</v>
      </c>
      <c r="K105" s="99">
        <v>13986</v>
      </c>
      <c r="L105" s="99">
        <v>5</v>
      </c>
      <c r="M105" s="99">
        <v>9990</v>
      </c>
      <c r="N105" s="99">
        <v>7</v>
      </c>
      <c r="O105" s="99">
        <v>13986</v>
      </c>
      <c r="P105" s="99">
        <v>5</v>
      </c>
      <c r="Q105" s="99">
        <v>9990</v>
      </c>
      <c r="R105" s="99">
        <v>9</v>
      </c>
      <c r="S105" s="99">
        <v>17982</v>
      </c>
      <c r="T105" s="99">
        <v>5</v>
      </c>
      <c r="U105" s="99">
        <v>9990</v>
      </c>
      <c r="V105" s="99">
        <v>8</v>
      </c>
      <c r="W105" s="99">
        <v>15984</v>
      </c>
      <c r="X105" s="99">
        <v>8</v>
      </c>
      <c r="Y105" s="99">
        <v>15984</v>
      </c>
      <c r="Z105" s="99">
        <v>6</v>
      </c>
      <c r="AA105" s="99">
        <v>11988</v>
      </c>
      <c r="AB105" s="99">
        <v>7</v>
      </c>
      <c r="AC105" s="99">
        <v>13986</v>
      </c>
      <c r="AD105" s="99">
        <v>9</v>
      </c>
      <c r="AE105" s="99">
        <v>17982</v>
      </c>
      <c r="AF105" s="99">
        <v>10</v>
      </c>
      <c r="AG105" s="99">
        <v>19980</v>
      </c>
      <c r="AH105" s="99">
        <v>7</v>
      </c>
      <c r="AI105" s="99">
        <v>13986</v>
      </c>
      <c r="AJ105" s="99">
        <v>7</v>
      </c>
      <c r="AK105" s="99">
        <v>13986</v>
      </c>
      <c r="AL105" s="99">
        <v>9</v>
      </c>
      <c r="AM105" s="99">
        <v>17982</v>
      </c>
      <c r="AN105" s="99">
        <v>6</v>
      </c>
      <c r="AO105" s="99">
        <v>11988</v>
      </c>
      <c r="AP105" s="99">
        <v>5</v>
      </c>
      <c r="AQ105" s="99">
        <v>9990</v>
      </c>
      <c r="AR105" s="99">
        <v>7</v>
      </c>
      <c r="AS105" s="99">
        <v>13986</v>
      </c>
      <c r="AT105" s="99">
        <v>5</v>
      </c>
      <c r="AU105" s="99">
        <v>9990</v>
      </c>
      <c r="AV105" s="99">
        <v>9</v>
      </c>
      <c r="AW105" s="99">
        <v>17982</v>
      </c>
      <c r="AX105" s="99">
        <v>7</v>
      </c>
      <c r="AY105" s="99">
        <v>13986</v>
      </c>
      <c r="AZ105" s="99">
        <v>6</v>
      </c>
      <c r="BA105" s="99">
        <v>11988</v>
      </c>
      <c r="BB105" s="99">
        <v>8</v>
      </c>
      <c r="BC105" s="99">
        <v>15984</v>
      </c>
      <c r="BD105" s="99">
        <v>10</v>
      </c>
      <c r="BE105" s="99">
        <v>19980</v>
      </c>
      <c r="BF105" s="99">
        <v>7</v>
      </c>
      <c r="BG105" s="99">
        <v>13986</v>
      </c>
      <c r="BH105" s="99">
        <v>9</v>
      </c>
      <c r="BI105" s="99">
        <v>17982</v>
      </c>
      <c r="BJ105" s="99">
        <v>7</v>
      </c>
      <c r="BK105" s="99">
        <v>13986</v>
      </c>
      <c r="BL105" s="99">
        <v>7</v>
      </c>
      <c r="BM105" s="99">
        <v>13986</v>
      </c>
      <c r="BN105" s="99">
        <v>6</v>
      </c>
      <c r="BO105" s="99">
        <v>11988</v>
      </c>
      <c r="BP105" s="99">
        <v>9</v>
      </c>
      <c r="BQ105" s="99">
        <v>17982</v>
      </c>
      <c r="BR105" s="99">
        <v>7</v>
      </c>
      <c r="BS105" s="99">
        <v>13986</v>
      </c>
      <c r="BT105" s="99">
        <v>10</v>
      </c>
      <c r="BU105" s="99">
        <v>19980</v>
      </c>
      <c r="BV105" s="99">
        <v>10</v>
      </c>
      <c r="BW105" s="99">
        <v>19980</v>
      </c>
      <c r="BX105" s="99">
        <v>7</v>
      </c>
      <c r="BY105" s="99">
        <v>13986</v>
      </c>
      <c r="BZ105" s="99">
        <v>8</v>
      </c>
      <c r="CA105" s="99">
        <v>15984</v>
      </c>
      <c r="CB105" s="99">
        <v>5</v>
      </c>
      <c r="CC105" s="99">
        <v>9990</v>
      </c>
      <c r="CD105" s="99">
        <v>8</v>
      </c>
      <c r="CE105" s="99">
        <v>15984</v>
      </c>
      <c r="CF105" s="99">
        <v>11</v>
      </c>
      <c r="CG105" s="99">
        <v>21978</v>
      </c>
      <c r="CH105" s="99">
        <v>7</v>
      </c>
      <c r="CI105" s="99">
        <v>13986</v>
      </c>
      <c r="CJ105" s="99">
        <v>6</v>
      </c>
      <c r="CK105" s="99">
        <v>11988</v>
      </c>
      <c r="CL105" s="99">
        <v>8</v>
      </c>
      <c r="CM105" s="99">
        <v>15984</v>
      </c>
      <c r="CN105" s="99">
        <v>7</v>
      </c>
      <c r="CO105" s="99">
        <v>13986</v>
      </c>
      <c r="CP105" s="99">
        <v>5</v>
      </c>
      <c r="CQ105" s="99">
        <v>9990</v>
      </c>
      <c r="CR105" s="99">
        <v>8</v>
      </c>
      <c r="CS105" s="99">
        <v>15984</v>
      </c>
      <c r="CT105" s="99">
        <v>10</v>
      </c>
      <c r="CU105" s="99">
        <v>19980</v>
      </c>
    </row>
    <row r="107" spans="2:99">
      <c r="B107" s="103" t="s">
        <v>275</v>
      </c>
    </row>
    <row r="108" spans="2:99">
      <c r="C108" s="98" t="s">
        <v>276</v>
      </c>
      <c r="D108" s="98" t="s">
        <v>92</v>
      </c>
      <c r="E108" s="98" t="s">
        <v>93</v>
      </c>
      <c r="F108" s="98" t="s">
        <v>94</v>
      </c>
      <c r="G108" s="98" t="s">
        <v>95</v>
      </c>
      <c r="H108" s="98" t="s">
        <v>96</v>
      </c>
      <c r="I108" s="98" t="s">
        <v>97</v>
      </c>
      <c r="J108" s="98" t="s">
        <v>98</v>
      </c>
      <c r="K108" s="98" t="s">
        <v>99</v>
      </c>
      <c r="L108" s="98" t="s">
        <v>100</v>
      </c>
      <c r="M108" s="98" t="s">
        <v>101</v>
      </c>
      <c r="N108" s="98" t="s">
        <v>102</v>
      </c>
      <c r="O108" s="98" t="s">
        <v>103</v>
      </c>
    </row>
    <row r="109" spans="2:99">
      <c r="C109" s="98" t="s">
        <v>126</v>
      </c>
      <c r="D109" s="99">
        <f>SUM(D$6:D$19)+SUM(F$6:F$19)+SUM(H$6:H$19)+SUM(J$6:J$19)</f>
        <v>366.9392580759436</v>
      </c>
      <c r="E109" s="99">
        <f>SUM(L$6:L$19)+SUM(N$6:N$19)+SUM(P$6:P$19)+SUM(R$6:R$19)</f>
        <v>1287.3200773337469</v>
      </c>
      <c r="F109" s="99">
        <f>SUM(T$6:T$19)+SUM(V$6:V$19)+SUM(X$6:X$19)+SUM(Z$6:Z$19)</f>
        <v>1221</v>
      </c>
      <c r="G109" s="99">
        <f>SUM(AB$6:AB$19)+SUM(AD$6:AD$19)+SUM(AF$6:AF$19)+SUM(AH$6:AH$19)</f>
        <v>1019.4671236441657</v>
      </c>
      <c r="H109" s="99">
        <f>SUM(AJ$6:AJ$19)+SUM(AL$6:AL$19)+SUM(AN$6:AN$19)+SUM(AP$6:AP$19)</f>
        <v>1418</v>
      </c>
      <c r="I109" s="99">
        <f>SUM(AR$6:AR$19)+SUM(AT$6:AT$19)+SUM(AV$6:AV$19)+SUM(AX$6:AX$19)</f>
        <v>1173.997431688847</v>
      </c>
      <c r="J109" s="99">
        <f>SUM(AZ$6:AZ$19)+SUM(BB$6:BB$19)+SUM(BD$6:BD$19)+SUM(BF$6:BF$19)</f>
        <v>1352</v>
      </c>
      <c r="K109" s="99">
        <f>SUM(BH$6:BH$19)+SUM(BJ$6:BJ$19)+SUM(BL$6:BL$19)+SUM(BN$6:BN$19)</f>
        <v>1098.8560315793152</v>
      </c>
      <c r="L109" s="99">
        <f>SUM(BP$6:BP$19)+SUM(BR$6:BR$19)+SUM(BT$6:BT$19)+SUM(BV$6:BV$19)</f>
        <v>1418.1914684648229</v>
      </c>
      <c r="M109" s="99">
        <f>SUM(BX$6:BX$19)+SUM(BZ$6:BZ$19)+SUM(CB$6:CB$19)+SUM(CD$6:CD$19)</f>
        <v>995.17136741897411</v>
      </c>
      <c r="N109" s="99">
        <f>SUM(CF$6:CF$19)+SUM(CH$6:CH$19)+SUM(CJ$6:CJ$19)+SUM(CL$6:CL$19)</f>
        <v>578.94104029390462</v>
      </c>
      <c r="O109" s="99">
        <f>SUM(CN$6:CN$19)+SUM(CP$6:CP$19)+SUM(CR$6:CR$19)+SUM(CT$6:CT$19)</f>
        <v>1032.8496190333005</v>
      </c>
    </row>
    <row r="110" spans="2:99">
      <c r="C110" s="98" t="s">
        <v>127</v>
      </c>
      <c r="D110" s="99">
        <f>SUM(D$20:D$36)+SUM(F$20:F$36)+SUM(H$20:H$36)+SUM(J$20:J$36)</f>
        <v>691.63038935870941</v>
      </c>
      <c r="E110" s="99">
        <f>SUM(L$20:L$36)+SUM(N$20:N$36)+SUM(P$20:P$36)+SUM(R$20:R$36)</f>
        <v>2748.8291030926443</v>
      </c>
      <c r="F110" s="99">
        <f>SUM(T$20:T$36)+SUM(V$20:V$36)+SUM(X$20:X$36)+SUM(Z$20:Z$36)</f>
        <v>3623</v>
      </c>
      <c r="G110" s="99">
        <f>SUM(AB$20:AB$36)+SUM(AD$20:AD$36)+SUM(AF$20:AF$36)+SUM(AH$20:AH$36)</f>
        <v>2944.4519277472455</v>
      </c>
      <c r="H110" s="99">
        <f>SUM(AJ$20:AJ$36)+SUM(AL$20:AL$36)+SUM(AN$20:AN$36)+SUM(AP$20:AP$36)</f>
        <v>3221</v>
      </c>
      <c r="I110" s="99">
        <f>SUM(AR$20:AR$36)+SUM(AT$20:AT$36)+SUM(AV$20:AV$36)+SUM(AX$20:AX$36)</f>
        <v>3007.3059820841413</v>
      </c>
      <c r="J110" s="99">
        <f>SUM(AZ$20:AZ$36)+SUM(BB$20:BB$36)+SUM(BD$20:BD$36)+SUM(BF$20:BF$36)</f>
        <v>3944</v>
      </c>
      <c r="K110" s="99">
        <f>SUM(BH$20:BH$36)+SUM(BJ$20:BJ$36)+SUM(BL$20:BL$36)+SUM(BN$20:BN$36)</f>
        <v>2315.0338739094614</v>
      </c>
      <c r="L110" s="99">
        <f>SUM(BP$20:BP$36)+SUM(BR$20:BR$36)+SUM(BT$20:BT$36)+SUM(BV$20:BV$36)</f>
        <v>2956.7087485198449</v>
      </c>
      <c r="M110" s="99">
        <f>SUM(BX$20:BX$36)+SUM(BZ$20:BZ$36)+SUM(CB$20:CB$36)+SUM(CD$20:CD$36)</f>
        <v>2513.0237578622869</v>
      </c>
      <c r="N110" s="99">
        <f>SUM(CF$20:CF$36)+SUM(CH$20:CH$36)+SUM(CJ$20:CJ$36)+SUM(CL$20:CL$36)</f>
        <v>1554.5029573015181</v>
      </c>
      <c r="O110" s="99">
        <f>SUM(CN$20:CN$36)+SUM(CP$20:CP$36)+SUM(CR$20:CR$36)+SUM(CT$20:CT$36)</f>
        <v>2012.6650239837338</v>
      </c>
    </row>
    <row r="111" spans="2:99">
      <c r="C111" s="98" t="s">
        <v>128</v>
      </c>
      <c r="D111" s="99">
        <f>SUM(D$37:D$48)+SUM(F$37:F$48)+SUM(H$37:H$48)+SUM(J$37:J$48)</f>
        <v>126.72627710014402</v>
      </c>
      <c r="E111" s="99">
        <f>SUM(L$37:L$48)+SUM(N$37:N$48)+SUM(P$37:P$48)+SUM(R$37:R$48)</f>
        <v>406.6779126843756</v>
      </c>
      <c r="F111" s="99">
        <f>SUM(T$37:T$48)+SUM(V$37:V$48)+SUM(X$37:X$48)+SUM(Z$37:Z$48)</f>
        <v>515</v>
      </c>
      <c r="G111" s="99">
        <f>SUM(AB$37:AB$48)+SUM(AD$37:AD$48)+SUM(AF$37:AF$48)+SUM(AH$37:AH$48)</f>
        <v>340.48904121472196</v>
      </c>
      <c r="H111" s="99">
        <f>SUM(AJ$37:AJ$48)+SUM(AL$37:AL$48)+SUM(AN$37:AN$48)+SUM(AP$37:AP$48)</f>
        <v>405</v>
      </c>
      <c r="I111" s="99">
        <f>SUM(AR$37:AR$48)+SUM(AT$37:AT$48)+SUM(AV$37:AV$48)+SUM(AX$37:AX$48)</f>
        <v>394.1340318128</v>
      </c>
      <c r="J111" s="99">
        <f>SUM(AZ$37:AZ$48)+SUM(BB$37:BB$48)+SUM(BD$37:BD$48)+SUM(BF$37:BF$48)</f>
        <v>492</v>
      </c>
      <c r="K111" s="99">
        <f>SUM(BH$37:BH$48)+SUM(BJ$37:BJ$48)+SUM(BL$37:BL$48)+SUM(BN$37:BN$48)</f>
        <v>358.98455778931736</v>
      </c>
      <c r="L111" s="99">
        <f>SUM(BP$37:BP$48)+SUM(BR$37:BR$48)+SUM(BT$37:BT$48)+SUM(BV$37:BV$48)</f>
        <v>447.0916861938195</v>
      </c>
      <c r="M111" s="99">
        <f>SUM(BX$37:BX$48)+SUM(BZ$37:BZ$48)+SUM(CB$37:CB$48)+SUM(CD$37:CD$48)</f>
        <v>290.13591467569017</v>
      </c>
      <c r="N111" s="99">
        <f>SUM(CF$37:CF$48)+SUM(CH$37:CH$48)+SUM(CJ$37:CJ$48)+SUM(CL$37:CL$48)</f>
        <v>156.25015209151184</v>
      </c>
      <c r="O111" s="99">
        <f>SUM(CN$37:CN$48)+SUM(CP$37:CP$48)+SUM(CR$37:CR$48)+SUM(CT$37:CT$48)</f>
        <v>353.900075124068</v>
      </c>
    </row>
    <row r="112" spans="2:99">
      <c r="C112" s="98" t="s">
        <v>129</v>
      </c>
      <c r="D112" s="99">
        <f>SUM(D$49:D$70)+SUM(F$49:F$70)+SUM(H$49:H$70)+SUM(J$49:J$70)</f>
        <v>546.36735601626162</v>
      </c>
      <c r="E112" s="99">
        <f>SUM(L$49:L$70)+SUM(N$49:N$70)+SUM(P$49:P$70)+SUM(R$49:R$70)</f>
        <v>2147.7503154154006</v>
      </c>
      <c r="F112" s="99">
        <f>SUM(T$49:T$70)+SUM(V$49:V$70)+SUM(X$49:X$70)+SUM(Z$49:Z$70)</f>
        <v>2074</v>
      </c>
      <c r="G112" s="99">
        <f>SUM(AB$49:AB$70)+SUM(AD$49:AD$70)+SUM(AF$49:AF$70)+SUM(AH$49:AH$70)</f>
        <v>1550.3315586188769</v>
      </c>
      <c r="H112" s="99">
        <f>SUM(AJ$49:AJ$70)+SUM(AL$49:AL$70)+SUM(AN$49:AN$70)+SUM(AP$49:AP$70)</f>
        <v>2187</v>
      </c>
      <c r="I112" s="99">
        <f>SUM(AR$49:AR$70)+SUM(AT$49:AT$70)+SUM(AV$49:AV$70)+SUM(AX$49:AX$70)</f>
        <v>1601.3344374542119</v>
      </c>
      <c r="J112" s="99">
        <f>SUM(AZ$49:AZ$70)+SUM(BB$49:BB$70)+SUM(BD$49:BD$70)+SUM(BF$49:BF$70)</f>
        <v>2227</v>
      </c>
      <c r="K112" s="99">
        <f>SUM(BH$49:BH$70)+SUM(BJ$49:BJ$70)+SUM(BL$49:BL$70)+SUM(BN$49:BN$70)</f>
        <v>1706.0909612819069</v>
      </c>
      <c r="L112" s="99">
        <f>SUM(BP$49:BP$70)+SUM(BR$49:BR$70)+SUM(BT$49:BT$70)+SUM(BV$49:BV$70)</f>
        <v>1892.2384968215119</v>
      </c>
      <c r="M112" s="99">
        <f>SUM(BX$49:BX$70)+SUM(BZ$49:BZ$70)+SUM(CB$49:CB$70)+SUM(CD$49:CD$70)</f>
        <v>1119.298486505443</v>
      </c>
      <c r="N112" s="99">
        <f>SUM(CF$49:CF$70)+SUM(CH$49:CH$70)+SUM(CJ$49:CJ$70)+SUM(CL$49:CL$70)</f>
        <v>1052.6264026050032</v>
      </c>
      <c r="O112" s="99">
        <f>SUM(CN$49:CN$70)+SUM(CP$49:CP$70)+SUM(CR$49:CR$70)+SUM(CT$49:CT$70)</f>
        <v>1692.3324493228979</v>
      </c>
    </row>
    <row r="113" spans="2:15">
      <c r="C113" s="98" t="s">
        <v>130</v>
      </c>
      <c r="D113" s="99">
        <f>SUM(D$71:D$86)+SUM(F$71:F$86)+SUM(H$71:H$86)+SUM(J$71:J$86)</f>
        <v>270.90947113994781</v>
      </c>
      <c r="E113" s="99">
        <f>SUM(L$71:L$86)+SUM(N$71:N$86)+SUM(P$71:P$86)+SUM(R$71:R$86)</f>
        <v>542</v>
      </c>
      <c r="F113" s="99">
        <f>SUM(T$71:T$86)+SUM(V$71:V$86)+SUM(X$71:X$86)+SUM(Z$71:Z$86)</f>
        <v>483</v>
      </c>
      <c r="G113" s="99">
        <f>SUM(AB$71:AB$86)+SUM(AD$71:AD$86)+SUM(AF$71:AF$86)+SUM(AH$71:AH$86)</f>
        <v>466</v>
      </c>
      <c r="H113" s="99">
        <f>SUM(AJ$71:AJ$86)+SUM(AL$71:AL$86)+SUM(AN$71:AN$86)+SUM(AP$71:AP$86)</f>
        <v>629</v>
      </c>
      <c r="I113" s="99">
        <f>SUM(AR$71:AR$86)+SUM(AT$71:AT$86)+SUM(AV$71:AV$86)+SUM(AX$71:AX$86)</f>
        <v>610</v>
      </c>
      <c r="J113" s="99">
        <f>SUM(AZ$71:AZ$86)+SUM(BB$71:BB$86)+SUM(BD$71:BD$86)+SUM(BF$71:BF$86)</f>
        <v>474</v>
      </c>
      <c r="K113" s="99">
        <f>SUM(BH$71:BH$86)+SUM(BJ$71:BJ$86)+SUM(BL$71:BL$86)+SUM(BN$71:BN$86)</f>
        <v>526</v>
      </c>
      <c r="L113" s="99">
        <f>SUM(BP$71:BP$86)+SUM(BR$71:BR$86)+SUM(BT$71:BT$86)+SUM(BV$71:BV$86)</f>
        <v>564</v>
      </c>
      <c r="M113" s="99">
        <f>SUM(BX$71:BX$86)+SUM(BZ$71:BZ$86)+SUM(CB$71:CB$86)+SUM(CD$71:CD$86)</f>
        <v>597</v>
      </c>
      <c r="N113" s="99">
        <f>SUM(CF$71:CF$86)+SUM(CH$71:CH$86)+SUM(CJ$71:CJ$86)+SUM(CL$71:CL$86)</f>
        <v>529</v>
      </c>
      <c r="O113" s="99">
        <f>SUM(CN$71:CN$86)+SUM(CP$71:CP$86)+SUM(CR$71:CR$86)+SUM(CT$71:CT$86)</f>
        <v>656</v>
      </c>
    </row>
    <row r="114" spans="2:15">
      <c r="C114" s="98" t="s">
        <v>131</v>
      </c>
      <c r="D114" s="99">
        <f>SUM(D$87:D$94)+SUM(F$87:F$94)+SUM(H$87:H$94)+SUM(J$87:J$94)</f>
        <v>104.27423409367745</v>
      </c>
      <c r="E114" s="99">
        <f>SUM(L$87:L$94)+SUM(N$87:N$94)+SUM(P$87:P$94)+SUM(R$87:R$94)</f>
        <v>273</v>
      </c>
      <c r="F114" s="99">
        <f>SUM(T$87:T$94)+SUM(V$87:V$94)+SUM(X$87:X$94)+SUM(Z$87:Z$94)</f>
        <v>243</v>
      </c>
      <c r="G114" s="99">
        <f>SUM(AB$87:AB$94)+SUM(AD$87:AD$94)+SUM(AF$87:AF$94)+SUM(AH$87:AH$94)</f>
        <v>223</v>
      </c>
      <c r="H114" s="99">
        <f>SUM(AJ$87:AJ$94)+SUM(AL$87:AL$94)+SUM(AN$87:AN$94)+SUM(AP$87:AP$94)</f>
        <v>203</v>
      </c>
      <c r="I114" s="99">
        <f>SUM(AR$87:AR$94)+SUM(AT$87:AT$94)+SUM(AV$87:AV$94)+SUM(AX$87:AX$94)</f>
        <v>229</v>
      </c>
      <c r="J114" s="99">
        <f>SUM(AZ$87:AZ$94)+SUM(BB$87:BB$94)+SUM(BD$87:BD$94)+SUM(BF$87:BF$94)</f>
        <v>216</v>
      </c>
      <c r="K114" s="99">
        <f>SUM(BH$87:BH$94)+SUM(BJ$87:BJ$94)+SUM(BL$87:BL$94)+SUM(BN$87:BN$94)</f>
        <v>264</v>
      </c>
      <c r="L114" s="99">
        <f>SUM(BP$87:BP$94)+SUM(BR$87:BR$94)+SUM(BT$87:BT$94)+SUM(BV$87:BV$94)</f>
        <v>285</v>
      </c>
      <c r="M114" s="99">
        <f>SUM(BX$87:BX$94)+SUM(BZ$87:BZ$94)+SUM(CB$87:CB$94)+SUM(CD$87:CD$94)</f>
        <v>271</v>
      </c>
      <c r="N114" s="99">
        <f>SUM(CF$87:CF$94)+SUM(CH$87:CH$94)+SUM(CJ$87:CJ$94)+SUM(CL$87:CL$94)</f>
        <v>217</v>
      </c>
      <c r="O114" s="99">
        <f>SUM(CN$87:CN$94)+SUM(CP$87:CP$94)+SUM(CR$87:CR$94)+SUM(CT$87:CT$94)</f>
        <v>272</v>
      </c>
    </row>
    <row r="115" spans="2:15">
      <c r="C115" s="98" t="s">
        <v>132</v>
      </c>
      <c r="D115" s="99">
        <f>SUM(D$95:D$105)+SUM(F$95:F$105)+SUM(H$95:H$105)+SUM(J$95:J$105)</f>
        <v>168.12479140857198</v>
      </c>
      <c r="E115" s="99">
        <f>SUM(L$95:L$105)+SUM(N$95:N$105)+SUM(P$95:P$105)+SUM(R$95:R$105)</f>
        <v>307</v>
      </c>
      <c r="F115" s="99">
        <f>SUM(T$95:T$105)+SUM(V$95:V$105)+SUM(X$95:X$105)+SUM(Z$95:Z$105)</f>
        <v>308</v>
      </c>
      <c r="G115" s="99">
        <f>SUM(AB$95:AB$105)+SUM(AD$95:AD$105)+SUM(AF$95:AF$105)+SUM(AH$95:AH$105)</f>
        <v>350</v>
      </c>
      <c r="H115" s="99">
        <f>SUM(AJ$95:AJ$105)+SUM(AL$95:AL$105)+SUM(AN$95:AN$105)+SUM(AP$95:AP$105)</f>
        <v>292</v>
      </c>
      <c r="I115" s="99">
        <f>SUM(AR$95:AR$105)+SUM(AT$95:AT$105)+SUM(AV$95:AV$105)+SUM(AX$95:AX$105)</f>
        <v>319</v>
      </c>
      <c r="J115" s="99">
        <f>SUM(AZ$95:AZ$105)+SUM(BB$95:BB$105)+SUM(BD$95:BD$105)+SUM(BF$95:BF$105)</f>
        <v>337</v>
      </c>
      <c r="K115" s="99">
        <f>SUM(BH$95:BH$105)+SUM(BJ$95:BJ$105)+SUM(BL$95:BL$105)+SUM(BN$95:BN$105)</f>
        <v>325</v>
      </c>
      <c r="L115" s="99">
        <f>SUM(BP$95:BP$105)+SUM(BR$95:BR$105)+SUM(BT$95:BT$105)+SUM(BV$95:BV$105)</f>
        <v>394</v>
      </c>
      <c r="M115" s="99">
        <f>SUM(BX$95:BX$105)+SUM(BZ$95:BZ$105)+SUM(CB$95:CB$105)+SUM(CD$95:CD$105)</f>
        <v>322</v>
      </c>
      <c r="N115" s="99">
        <f>SUM(CF$95:CF$105)+SUM(CH$95:CH$105)+SUM(CJ$95:CJ$105)+SUM(CL$95:CL$105)</f>
        <v>329</v>
      </c>
      <c r="O115" s="99">
        <f>SUM(CN$95:CN$105)+SUM(CP$95:CP$105)+SUM(CR$95:CR$105)+SUM(CT$95:CT$105)</f>
        <v>343</v>
      </c>
    </row>
    <row r="116" spans="2:15">
      <c r="C116" s="98" t="s">
        <v>277</v>
      </c>
      <c r="D116" s="99">
        <f t="shared" ref="D116:O116" si="0">SUM(D$109:D$115)</f>
        <v>2274.9717771932555</v>
      </c>
      <c r="E116" s="99">
        <f t="shared" si="0"/>
        <v>7712.5774085261673</v>
      </c>
      <c r="F116" s="99">
        <f t="shared" si="0"/>
        <v>8467</v>
      </c>
      <c r="G116" s="99">
        <f t="shared" si="0"/>
        <v>6893.7396512250089</v>
      </c>
      <c r="H116" s="99">
        <f t="shared" si="0"/>
        <v>8355</v>
      </c>
      <c r="I116" s="99">
        <f t="shared" si="0"/>
        <v>7334.7718830400008</v>
      </c>
      <c r="J116" s="99">
        <f t="shared" si="0"/>
        <v>9042</v>
      </c>
      <c r="K116" s="99">
        <f t="shared" si="0"/>
        <v>6593.9654245600013</v>
      </c>
      <c r="L116" s="99">
        <f t="shared" si="0"/>
        <v>7957.2303999999995</v>
      </c>
      <c r="M116" s="99">
        <f t="shared" si="0"/>
        <v>6107.6295264623941</v>
      </c>
      <c r="N116" s="99">
        <f t="shared" si="0"/>
        <v>4417.3205522919379</v>
      </c>
      <c r="O116" s="99">
        <f t="shared" si="0"/>
        <v>6362.7471674640001</v>
      </c>
    </row>
    <row r="118" spans="2:15">
      <c r="B118" s="102" t="s">
        <v>278</v>
      </c>
    </row>
    <row r="119" spans="2:15">
      <c r="C119" s="98" t="s">
        <v>276</v>
      </c>
      <c r="D119" s="98" t="s">
        <v>92</v>
      </c>
      <c r="E119" s="98" t="s">
        <v>93</v>
      </c>
      <c r="F119" s="98" t="s">
        <v>94</v>
      </c>
      <c r="G119" s="98" t="s">
        <v>95</v>
      </c>
      <c r="H119" s="98" t="s">
        <v>96</v>
      </c>
      <c r="I119" s="98" t="s">
        <v>97</v>
      </c>
      <c r="J119" s="98" t="s">
        <v>98</v>
      </c>
      <c r="K119" s="98" t="s">
        <v>99</v>
      </c>
      <c r="L119" s="98" t="s">
        <v>100</v>
      </c>
      <c r="M119" s="98" t="s">
        <v>101</v>
      </c>
      <c r="N119" s="98" t="s">
        <v>102</v>
      </c>
      <c r="O119" s="98" t="s">
        <v>103</v>
      </c>
    </row>
    <row r="120" spans="2:15">
      <c r="C120" s="98" t="s">
        <v>126</v>
      </c>
      <c r="D120" s="99">
        <f>D109*pricing!D15*2000</f>
        <v>1467757.0323037745</v>
      </c>
      <c r="E120" s="99">
        <f>E109*pricing!E15*2000</f>
        <v>5149280.3093349878</v>
      </c>
      <c r="F120" s="99">
        <f>F109*pricing!F15*2000</f>
        <v>4884000</v>
      </c>
      <c r="G120" s="99">
        <f>G109*pricing!G15*2000</f>
        <v>4077868.4945766628</v>
      </c>
      <c r="H120" s="99">
        <f>H109*pricing!H15*2000</f>
        <v>5672000</v>
      </c>
      <c r="I120" s="99">
        <f>I109*pricing!I15*2000</f>
        <v>4695989.7267553881</v>
      </c>
      <c r="J120" s="99">
        <f>J109*pricing!J15*2000</f>
        <v>5408000</v>
      </c>
      <c r="K120" s="99">
        <f>K109*pricing!K15*2000</f>
        <v>4395424.1263172608</v>
      </c>
      <c r="L120" s="99">
        <f>L109*pricing!L15*2000</f>
        <v>5672765.8738592919</v>
      </c>
      <c r="M120" s="99">
        <f>M109*pricing!M15*2000</f>
        <v>3980685.4696758967</v>
      </c>
      <c r="N120" s="99">
        <f>N109*pricing!N15*2000</f>
        <v>2315764.1611756184</v>
      </c>
      <c r="O120" s="99">
        <f>O109*pricing!O15*2000</f>
        <v>4131398.4761332022</v>
      </c>
    </row>
    <row r="121" spans="2:15">
      <c r="C121" s="98" t="s">
        <v>127</v>
      </c>
      <c r="D121" s="99">
        <f>D110*pricing!D16*2000</f>
        <v>2766521.5574348378</v>
      </c>
      <c r="E121" s="99">
        <f>E110*pricing!E16*2000</f>
        <v>10995316.412370577</v>
      </c>
      <c r="F121" s="99">
        <f>F110*pricing!F16*2000</f>
        <v>14492000</v>
      </c>
      <c r="G121" s="99">
        <f>G110*pricing!G16*2000</f>
        <v>11777807.710988982</v>
      </c>
      <c r="H121" s="99">
        <f>H110*pricing!H16*2000</f>
        <v>12884000</v>
      </c>
      <c r="I121" s="99">
        <f>I110*pricing!I16*2000</f>
        <v>12029223.928336564</v>
      </c>
      <c r="J121" s="99">
        <f>J110*pricing!J16*2000</f>
        <v>15776000</v>
      </c>
      <c r="K121" s="99">
        <f>K110*pricing!K16*2000</f>
        <v>9260135.4956378452</v>
      </c>
      <c r="L121" s="99">
        <f>L110*pricing!L16*2000</f>
        <v>11826834.994079379</v>
      </c>
      <c r="M121" s="99">
        <f>M110*pricing!M16*2000</f>
        <v>10052095.031449147</v>
      </c>
      <c r="N121" s="99">
        <f>N110*pricing!N16*2000</f>
        <v>6218011.8292060727</v>
      </c>
      <c r="O121" s="99">
        <f>O110*pricing!O16*2000</f>
        <v>8050660.0959349349</v>
      </c>
    </row>
    <row r="122" spans="2:15">
      <c r="C122" s="98" t="s">
        <v>128</v>
      </c>
      <c r="D122" s="99">
        <f>D111*pricing!D17*2000</f>
        <v>963119.70596109447</v>
      </c>
      <c r="E122" s="99">
        <f>E111*pricing!E17*2000</f>
        <v>3090752.1364012547</v>
      </c>
      <c r="F122" s="99">
        <f>F111*pricing!F17*2000</f>
        <v>3914000</v>
      </c>
      <c r="G122" s="99">
        <f>G111*pricing!G17*2000</f>
        <v>2587716.7132318867</v>
      </c>
      <c r="H122" s="99">
        <f>H111*pricing!H17*2000</f>
        <v>3078000</v>
      </c>
      <c r="I122" s="99">
        <f>I111*pricing!I17*2000</f>
        <v>2995418.6417772798</v>
      </c>
      <c r="J122" s="99">
        <f>J111*pricing!J17*2000</f>
        <v>3739200</v>
      </c>
      <c r="K122" s="99">
        <f>K111*pricing!K17*2000</f>
        <v>2728282.6391988117</v>
      </c>
      <c r="L122" s="99">
        <f>L111*pricing!L17*2000</f>
        <v>3397896.8150730277</v>
      </c>
      <c r="M122" s="99">
        <f>M111*pricing!M17*2000</f>
        <v>2205032.9515352449</v>
      </c>
      <c r="N122" s="99">
        <f>N111*pricing!N17*2000</f>
        <v>1187501.15589549</v>
      </c>
      <c r="O122" s="99">
        <f>O111*pricing!O17*2000</f>
        <v>2689640.5709429169</v>
      </c>
    </row>
    <row r="123" spans="2:15">
      <c r="C123" s="98" t="s">
        <v>129</v>
      </c>
      <c r="D123" s="99">
        <f>D112*pricing!D18*2000</f>
        <v>2185469.4240650465</v>
      </c>
      <c r="E123" s="99">
        <f>E112*pricing!E18*2000</f>
        <v>8591001.2616616022</v>
      </c>
      <c r="F123" s="99">
        <f>F112*pricing!F18*2000</f>
        <v>8296000</v>
      </c>
      <c r="G123" s="99">
        <f>G112*pricing!G18*2000</f>
        <v>6201326.2344755074</v>
      </c>
      <c r="H123" s="99">
        <f>H112*pricing!H18*2000</f>
        <v>8748000</v>
      </c>
      <c r="I123" s="99">
        <f>I112*pricing!I18*2000</f>
        <v>6405337.749816847</v>
      </c>
      <c r="J123" s="99">
        <f>J112*pricing!J18*2000</f>
        <v>8908000</v>
      </c>
      <c r="K123" s="99">
        <f>K112*pricing!K18*2000</f>
        <v>6824363.8451276273</v>
      </c>
      <c r="L123" s="99">
        <f>L112*pricing!L18*2000</f>
        <v>7568953.987286048</v>
      </c>
      <c r="M123" s="99">
        <f>M112*pricing!M18*2000</f>
        <v>4477193.946021772</v>
      </c>
      <c r="N123" s="99">
        <f>N112*pricing!N18*2000</f>
        <v>4210505.6104200128</v>
      </c>
      <c r="O123" s="99">
        <f>O112*pricing!O18*2000</f>
        <v>6769329.7972915918</v>
      </c>
    </row>
    <row r="124" spans="2:15">
      <c r="C124" s="98" t="s">
        <v>130</v>
      </c>
      <c r="D124" s="99">
        <f>D113*pricing!D19*2000</f>
        <v>2113093.8748915927</v>
      </c>
      <c r="E124" s="99">
        <f>E113*pricing!E19*2000</f>
        <v>4227599.9999999991</v>
      </c>
      <c r="F124" s="99">
        <f>F113*pricing!F19*2000</f>
        <v>3767400</v>
      </c>
      <c r="G124" s="99">
        <f>G113*pricing!G19*2000</f>
        <v>3634799.9999999995</v>
      </c>
      <c r="H124" s="99">
        <f>H113*pricing!H19*2000</f>
        <v>4906200</v>
      </c>
      <c r="I124" s="99">
        <f>I113*pricing!I19*2000</f>
        <v>4758000</v>
      </c>
      <c r="J124" s="99">
        <f>J113*pricing!J19*2000</f>
        <v>3697200</v>
      </c>
      <c r="K124" s="99">
        <f>K113*pricing!K19*2000</f>
        <v>4102800</v>
      </c>
      <c r="L124" s="99">
        <f>L113*pricing!L19*2000</f>
        <v>4399200</v>
      </c>
      <c r="M124" s="99">
        <f>M113*pricing!M19*2000</f>
        <v>4656599.9999999991</v>
      </c>
      <c r="N124" s="99">
        <f>N113*pricing!N19*2000</f>
        <v>4126200</v>
      </c>
      <c r="O124" s="99">
        <f>O113*pricing!O19*2000</f>
        <v>5116800</v>
      </c>
    </row>
    <row r="125" spans="2:15">
      <c r="C125" s="98" t="s">
        <v>131</v>
      </c>
      <c r="D125" s="99">
        <f>D114*pricing!D20*2000</f>
        <v>729919.63865574216</v>
      </c>
      <c r="E125" s="99">
        <f>E114*pricing!E20*2000</f>
        <v>1911000</v>
      </c>
      <c r="F125" s="99">
        <f>F114*pricing!F20*2000</f>
        <v>1701000</v>
      </c>
      <c r="G125" s="99">
        <f>G114*pricing!G20*2000</f>
        <v>1561000</v>
      </c>
      <c r="H125" s="99">
        <f>H114*pricing!H20*2000</f>
        <v>1421000</v>
      </c>
      <c r="I125" s="99">
        <f>I114*pricing!I20*2000</f>
        <v>1603000</v>
      </c>
      <c r="J125" s="99">
        <f>J114*pricing!J20*2000</f>
        <v>1512000</v>
      </c>
      <c r="K125" s="99">
        <f>K114*pricing!K20*2000</f>
        <v>1848000</v>
      </c>
      <c r="L125" s="99">
        <f>L114*pricing!L20*2000</f>
        <v>1995000</v>
      </c>
      <c r="M125" s="99">
        <f>M114*pricing!M20*2000</f>
        <v>1897000</v>
      </c>
      <c r="N125" s="99">
        <f>N114*pricing!N20*2000</f>
        <v>1519000</v>
      </c>
      <c r="O125" s="99">
        <f>O114*pricing!O20*2000</f>
        <v>1904000</v>
      </c>
    </row>
    <row r="126" spans="2:15">
      <c r="C126" s="98" t="s">
        <v>132</v>
      </c>
      <c r="D126" s="99">
        <f>D115*pricing!D21*2000</f>
        <v>1311373.3729868613</v>
      </c>
      <c r="E126" s="99">
        <f>E115*pricing!E21*2000</f>
        <v>2394600</v>
      </c>
      <c r="F126" s="99">
        <f>F115*pricing!F21*2000</f>
        <v>2402400</v>
      </c>
      <c r="G126" s="99">
        <f>G115*pricing!G21*2000</f>
        <v>2730000</v>
      </c>
      <c r="H126" s="99">
        <f>H115*pricing!H21*2000</f>
        <v>2277600</v>
      </c>
      <c r="I126" s="99">
        <f>I115*pricing!I21*2000</f>
        <v>2488200</v>
      </c>
      <c r="J126" s="99">
        <f>J115*pricing!J21*2000</f>
        <v>2628600</v>
      </c>
      <c r="K126" s="99">
        <f>K115*pricing!K21*2000</f>
        <v>2535000</v>
      </c>
      <c r="L126" s="99">
        <f>L115*pricing!L21*2000</f>
        <v>3073200</v>
      </c>
      <c r="M126" s="99">
        <f>M115*pricing!M21*2000</f>
        <v>2511600</v>
      </c>
      <c r="N126" s="99">
        <f>N115*pricing!N21*2000</f>
        <v>2566200</v>
      </c>
      <c r="O126" s="99">
        <f>O115*pricing!O21*2000</f>
        <v>2675400</v>
      </c>
    </row>
    <row r="127" spans="2:15">
      <c r="C127" s="98" t="s">
        <v>277</v>
      </c>
      <c r="D127" s="99">
        <f t="shared" ref="D127:O127" si="1">SUM(D$120:D$126)</f>
        <v>11537254.606298948</v>
      </c>
      <c r="E127" s="99">
        <f t="shared" si="1"/>
        <v>36359550.119768426</v>
      </c>
      <c r="F127" s="99">
        <f t="shared" si="1"/>
        <v>39456800</v>
      </c>
      <c r="G127" s="99">
        <f t="shared" si="1"/>
        <v>32570519.153273039</v>
      </c>
      <c r="H127" s="99">
        <f t="shared" si="1"/>
        <v>38986800</v>
      </c>
      <c r="I127" s="99">
        <f t="shared" si="1"/>
        <v>34975170.046686083</v>
      </c>
      <c r="J127" s="99">
        <f t="shared" si="1"/>
        <v>41669000</v>
      </c>
      <c r="K127" s="99">
        <f t="shared" si="1"/>
        <v>31694006.106281545</v>
      </c>
      <c r="L127" s="99">
        <f t="shared" si="1"/>
        <v>37933851.670297749</v>
      </c>
      <c r="M127" s="99">
        <f t="shared" si="1"/>
        <v>29780207.398682062</v>
      </c>
      <c r="N127" s="99">
        <f t="shared" si="1"/>
        <v>22143182.756697193</v>
      </c>
      <c r="O127" s="99">
        <f t="shared" si="1"/>
        <v>31337228.940302644</v>
      </c>
    </row>
    <row r="129" spans="2:15">
      <c r="B129" s="102" t="s">
        <v>279</v>
      </c>
    </row>
    <row r="130" spans="2:15">
      <c r="C130" s="104" t="s">
        <v>276</v>
      </c>
      <c r="D130" s="104" t="s">
        <v>92</v>
      </c>
      <c r="E130" s="104" t="s">
        <v>93</v>
      </c>
      <c r="F130" s="104" t="s">
        <v>94</v>
      </c>
      <c r="G130" s="104" t="s">
        <v>95</v>
      </c>
      <c r="H130" s="104" t="s">
        <v>96</v>
      </c>
      <c r="I130" s="104" t="s">
        <v>97</v>
      </c>
      <c r="J130" s="104" t="s">
        <v>98</v>
      </c>
      <c r="K130" s="104" t="s">
        <v>99</v>
      </c>
      <c r="L130" s="104" t="s">
        <v>100</v>
      </c>
      <c r="M130" s="104" t="s">
        <v>101</v>
      </c>
      <c r="N130" s="104" t="s">
        <v>102</v>
      </c>
      <c r="O130" s="104" t="s">
        <v>103</v>
      </c>
    </row>
    <row r="131" spans="2:15">
      <c r="C131" s="104" t="s">
        <v>126</v>
      </c>
      <c r="D131" s="105">
        <f>SUM(E$6:E$19)+SUM(G$6:G$19)+SUM(I$6:I$19)+SUM(K$6:K$19)</f>
        <v>183828.39606990205</v>
      </c>
      <c r="E131" s="105">
        <f>SUM(M$6:M$19)+SUM(O$6:O$19)+SUM(Q$6:Q$19)+SUM(S$6:S$19)</f>
        <v>646218.32813579729</v>
      </c>
      <c r="F131" s="105">
        <f>SUM(U$6:U$19)+SUM(W$6:W$19)+SUM(Y$6:Y$19)+SUM(AA$6:AA$19)</f>
        <v>614754</v>
      </c>
      <c r="G131" s="105">
        <f>SUM(AC$6:AC$19)+SUM(AE$6:AE$19)+SUM(AG$6:AG$19)+SUM(AI$6:AI$19)</f>
        <v>512591.32769459923</v>
      </c>
      <c r="H131" s="105">
        <f>SUM(AK$6:AK$19)+SUM(AM$6:AM$19)+SUM(AO$6:AO$19)+SUM(AQ$6:AQ$19)</f>
        <v>714308.4</v>
      </c>
      <c r="I131" s="105">
        <f>SUM(AS$6:AS$19)+SUM(AU$6:AU$19)+SUM(AW$6:AW$19)+SUM(AY$6:AY$19)</f>
        <v>589736.69610921713</v>
      </c>
      <c r="J131" s="105">
        <f>SUM(BA$6:BA$19)+SUM(BC$6:BC$19)+SUM(BE$6:BE$19)+SUM(BG$6:BG$19)</f>
        <v>681397.2</v>
      </c>
      <c r="K131" s="105">
        <f>SUM(BI$6:BI$19)+SUM(BK$6:BK$19)+SUM(BM$6:BM$19)+SUM(BO$6:BO$19)</f>
        <v>557043.24795532005</v>
      </c>
      <c r="L131" s="105">
        <f>SUM(BQ$6:BQ$19)+SUM(BS$6:BS$19)+SUM(BU$6:BU$19)+SUM(BW$6:BW$19)</f>
        <v>713802.71841390501</v>
      </c>
      <c r="M131" s="105">
        <f>SUM(BY$6:BY$19)+SUM(CA$6:CA$19)+SUM(CC$6:CC$19)+SUM(CE$6:CE$19)</f>
        <v>501781.89642594667</v>
      </c>
      <c r="N131" s="105">
        <f>SUM(CG$6:CG$19)+SUM(CI$6:CI$19)+SUM(CK$6:CK$19)+SUM(CM$6:CM$19)</f>
        <v>290509.48258446425</v>
      </c>
      <c r="O131" s="105">
        <f>SUM(CO$6:CO$19)+SUM(CQ$6:CQ$19)+SUM(CS$6:CS$19)+SUM(CU$6:CU$19)</f>
        <v>521729.48486319429</v>
      </c>
    </row>
    <row r="132" spans="2:15">
      <c r="C132" s="104" t="s">
        <v>127</v>
      </c>
      <c r="D132" s="105">
        <f>SUM(E$20:E$36)+SUM(G$20:G$36)+SUM(I$20:I$36)+SUM(K$20:K$36)</f>
        <v>293628.31473603798</v>
      </c>
      <c r="E132" s="105">
        <f>SUM(M$20:M$36)+SUM(O$20:O$36)+SUM(Q$20:Q$36)+SUM(S$20:S$36)</f>
        <v>1171825.7950958281</v>
      </c>
      <c r="F132" s="105">
        <f>SUM(U$20:U$36)+SUM(W$20:W$36)+SUM(Y$20:Y$36)+SUM(AA$20:AA$36)</f>
        <v>1540542</v>
      </c>
      <c r="G132" s="105">
        <f>SUM(AC$20:AC$36)+SUM(AE$20:AE$36)+SUM(AG$20:AG$36)+SUM(AI$20:AI$36)</f>
        <v>1264363.6016408007</v>
      </c>
      <c r="H132" s="105">
        <f>SUM(AK$20:AK$36)+SUM(AM$20:AM$36)+SUM(AO$20:AO$36)+SUM(AQ$20:AQ$36)</f>
        <v>1371428.4</v>
      </c>
      <c r="I132" s="105">
        <f>SUM(AS$20:AS$36)+SUM(AU$20:AU$36)+SUM(AW$20:AW$36)+SUM(AY$20:AY$36)</f>
        <v>1290987.8842658331</v>
      </c>
      <c r="J132" s="105">
        <f>SUM(BA$20:BA$36)+SUM(BC$20:BC$36)+SUM(BE$20:BE$36)+SUM(BG$20:BG$36)</f>
        <v>1685298</v>
      </c>
      <c r="K132" s="105">
        <f>SUM(BI$20:BI$36)+SUM(BK$20:BK$36)+SUM(BM$20:BM$36)+SUM(BO$20:BO$36)</f>
        <v>986849.92560881586</v>
      </c>
      <c r="L132" s="105">
        <f>SUM(BQ$20:BQ$36)+SUM(BS$20:BS$36)+SUM(BU$20:BU$36)+SUM(BW$20:BW$36)</f>
        <v>1257013.5500646394</v>
      </c>
      <c r="M132" s="105">
        <f>SUM(BY$20:BY$36)+SUM(CA$20:CA$36)+SUM(CC$20:CC$36)+SUM(CE$20:CE$36)</f>
        <v>1066480.6829344684</v>
      </c>
      <c r="N132" s="105">
        <f>SUM(CG$20:CG$36)+SUM(CI$20:CI$36)+SUM(CK$20:CK$36)+SUM(CM$20:CM$36)</f>
        <v>663110.22291704104</v>
      </c>
      <c r="O132" s="105">
        <f>SUM(CO$20:CO$36)+SUM(CQ$20:CQ$36)+SUM(CS$20:CS$36)+SUM(CU$20:CU$36)</f>
        <v>857488.1218381084</v>
      </c>
    </row>
    <row r="133" spans="2:15">
      <c r="C133" s="104" t="s">
        <v>128</v>
      </c>
      <c r="D133" s="105">
        <f>SUM(E$37:E$48)+SUM(G$37:G$48)+SUM(I$37:I$48)+SUM(K$37:K$48)</f>
        <v>133028.4542251199</v>
      </c>
      <c r="E133" s="105">
        <f>SUM(M$37:M$48)+SUM(O$37:O$48)+SUM(Q$37:Q$48)+SUM(S$37:S$48)</f>
        <v>427747.13409487752</v>
      </c>
      <c r="F133" s="105">
        <f>SUM(U$37:U$48)+SUM(W$37:W$48)+SUM(Y$37:Y$48)+SUM(AA$37:AA$48)</f>
        <v>542497.19999999995</v>
      </c>
      <c r="G133" s="105">
        <f>SUM(AC$37:AC$48)+SUM(AE$37:AE$48)+SUM(AG$37:AG$48)+SUM(AI$37:AI$48)</f>
        <v>359145.02187920024</v>
      </c>
      <c r="H133" s="105">
        <f>SUM(AK$37:AK$48)+SUM(AM$37:AM$48)+SUM(AO$37:AO$48)+SUM(AQ$37:AQ$48)</f>
        <v>425841.60000000003</v>
      </c>
      <c r="I133" s="105">
        <f>SUM(AS$37:AS$48)+SUM(AU$37:AU$48)+SUM(AW$37:AW$48)+SUM(AY$37:AY$48)</f>
        <v>415192.5487736442</v>
      </c>
      <c r="J133" s="105">
        <f>SUM(BA$37:BA$48)+SUM(BC$37:BC$48)+SUM(BE$37:BE$48)+SUM(BG$37:BG$48)</f>
        <v>518638.8</v>
      </c>
      <c r="K133" s="105">
        <f>SUM(BI$37:BI$48)+SUM(BK$37:BK$48)+SUM(BM$37:BM$48)+SUM(BO$37:BO$48)</f>
        <v>377817.50827788137</v>
      </c>
      <c r="L133" s="105">
        <f>SUM(BQ$37:BQ$48)+SUM(BS$37:BS$48)+SUM(BU$37:BU$48)+SUM(BW$37:BW$48)</f>
        <v>468818.60061116097</v>
      </c>
      <c r="M133" s="105">
        <f>SUM(BY$37:BY$48)+SUM(CA$37:CA$48)+SUM(CC$37:CC$48)+SUM(CE$37:CE$48)</f>
        <v>305380.21165258274</v>
      </c>
      <c r="N133" s="105">
        <f>SUM(CG$37:CG$48)+SUM(CI$37:CI$48)+SUM(CK$37:CK$48)+SUM(CM$37:CM$48)</f>
        <v>163726.30547139677</v>
      </c>
      <c r="O133" s="105">
        <f>SUM(CO$37:CO$48)+SUM(CQ$37:CQ$48)+SUM(CS$37:CS$48)+SUM(CU$37:CU$48)</f>
        <v>371129.10621878406</v>
      </c>
    </row>
    <row r="134" spans="2:15">
      <c r="C134" s="104" t="s">
        <v>129</v>
      </c>
      <c r="D134" s="105">
        <f>SUM(E$49:E$70)+SUM(G$49:G$70)+SUM(I$49:I$70)+SUM(K$49:K$70)</f>
        <v>474549.05582837039</v>
      </c>
      <c r="E134" s="105">
        <f>SUM(M$49:M$70)+SUM(O$49:O$70)+SUM(Q$49:Q$70)+SUM(S$49:S$70)</f>
        <v>1820020.7549654695</v>
      </c>
      <c r="F134" s="105">
        <f>SUM(U$49:U$70)+SUM(W$49:W$70)+SUM(Y$49:Y$70)+SUM(AA$49:AA$70)</f>
        <v>1753888.8</v>
      </c>
      <c r="G134" s="105">
        <f>SUM(AC$49:AC$70)+SUM(AE$49:AE$70)+SUM(AG$49:AG$70)+SUM(AI$49:AI$70)</f>
        <v>1330390.7798645496</v>
      </c>
      <c r="H134" s="105">
        <f>SUM(AK$49:AK$70)+SUM(AM$49:AM$70)+SUM(AO$49:AO$70)+SUM(AQ$49:AQ$70)</f>
        <v>1850679.5999999999</v>
      </c>
      <c r="I134" s="105">
        <f>SUM(AS$49:AS$70)+SUM(AU$49:AU$70)+SUM(AW$49:AW$70)+SUM(AY$49:AY$70)</f>
        <v>1359361.6871730825</v>
      </c>
      <c r="J134" s="105">
        <f>SUM(BA$49:BA$70)+SUM(BC$49:BC$70)+SUM(BE$49:BE$70)+SUM(BG$49:BG$70)</f>
        <v>1891160.4</v>
      </c>
      <c r="K134" s="105">
        <f>SUM(BI$49:BI$70)+SUM(BK$49:BK$70)+SUM(BM$49:BM$70)+SUM(BO$49:BO$70)</f>
        <v>1469502.4197596712</v>
      </c>
      <c r="L134" s="105">
        <f>SUM(BQ$49:BQ$70)+SUM(BS$49:BS$70)+SUM(BU$49:BU$70)+SUM(BW$49:BW$70)</f>
        <v>1601598.0120441881</v>
      </c>
      <c r="M134" s="105">
        <f>SUM(BY$49:BY$70)+SUM(CA$49:CA$70)+SUM(CC$49:CC$70)+SUM(CE$49:CE$70)</f>
        <v>968437.95249873155</v>
      </c>
      <c r="N134" s="105">
        <f>SUM(CG$49:CG$70)+SUM(CI$49:CI$70)+SUM(CK$49:CK$70)+SUM(CM$49:CM$70)</f>
        <v>939742.32816766296</v>
      </c>
      <c r="O134" s="105">
        <f>SUM(CO$49:CO$70)+SUM(CQ$49:CQ$70)+SUM(CS$49:CS$70)+SUM(CU$49:CU$70)</f>
        <v>1453685.2306505586</v>
      </c>
    </row>
    <row r="135" spans="2:15">
      <c r="C135" s="104" t="s">
        <v>130</v>
      </c>
      <c r="D135" s="105">
        <f>SUM(E$71:E$86)+SUM(G$71:G$86)+SUM(I$71:I$86)+SUM(K$71:K$86)</f>
        <v>151149.0266230173</v>
      </c>
      <c r="E135" s="105">
        <f>SUM(M$71:M$86)+SUM(O$71:O$86)+SUM(Q$71:Q$86)+SUM(S$71:S$86)</f>
        <v>303708</v>
      </c>
      <c r="F135" s="105">
        <f>SUM(U$71:U$86)+SUM(W$71:W$86)+SUM(Y$71:Y$86)+SUM(AA$71:AA$86)</f>
        <v>271515.59999999998</v>
      </c>
      <c r="G135" s="105">
        <f>SUM(AC$71:AC$86)+SUM(AE$71:AE$86)+SUM(AG$71:AG$86)+SUM(AI$71:AI$86)</f>
        <v>262404</v>
      </c>
      <c r="H135" s="105">
        <f>SUM(AK$71:AK$86)+SUM(AM$71:AM$86)+SUM(AO$71:AO$86)+SUM(AQ$71:AQ$86)</f>
        <v>353350.8</v>
      </c>
      <c r="I135" s="105">
        <f>SUM(AS$71:AS$86)+SUM(AU$71:AU$86)+SUM(AW$71:AW$86)+SUM(AY$71:AY$86)</f>
        <v>341794.79999999993</v>
      </c>
      <c r="J135" s="105">
        <f>SUM(BA$71:BA$86)+SUM(BC$71:BC$86)+SUM(BE$71:BE$86)+SUM(BG$71:BG$86)</f>
        <v>266716.79999999999</v>
      </c>
      <c r="K135" s="105">
        <f>SUM(BI$71:BI$86)+SUM(BK$71:BK$86)+SUM(BM$71:BM$86)+SUM(BO$71:BO$86)</f>
        <v>293328</v>
      </c>
      <c r="L135" s="105">
        <f>SUM(BQ$71:BQ$86)+SUM(BS$71:BS$86)+SUM(BU$71:BU$86)+SUM(BW$71:BW$86)</f>
        <v>313502.40000000002</v>
      </c>
      <c r="M135" s="105">
        <f>SUM(BY$71:BY$86)+SUM(CA$71:CA$86)+SUM(CC$71:CC$86)+SUM(CE$71:CE$86)</f>
        <v>334796.40000000002</v>
      </c>
      <c r="N135" s="105">
        <f>SUM(CG$71:CG$86)+SUM(CI$71:CI$86)+SUM(CK$71:CK$86)+SUM(CM$71:CM$86)</f>
        <v>296592</v>
      </c>
      <c r="O135" s="105">
        <f>SUM(CO$71:CO$86)+SUM(CQ$71:CQ$86)+SUM(CS$71:CS$86)+SUM(CU$71:CU$86)</f>
        <v>366115.19999999995</v>
      </c>
    </row>
    <row r="136" spans="2:15">
      <c r="C136" s="104" t="s">
        <v>131</v>
      </c>
      <c r="D136" s="105">
        <f>SUM(E$87:E$94)+SUM(G$87:G$94)+SUM(I$87:I$94)+SUM(K$87:K$94)</f>
        <v>211245.26813387265</v>
      </c>
      <c r="E136" s="105">
        <f>SUM(M$87:M$94)+SUM(O$87:O$94)+SUM(Q$87:Q$94)+SUM(S$87:S$94)</f>
        <v>556986</v>
      </c>
      <c r="F136" s="105">
        <f>SUM(U$87:U$94)+SUM(W$87:W$94)+SUM(Y$87:Y$94)+SUM(AA$87:AA$94)</f>
        <v>494025.6</v>
      </c>
      <c r="G136" s="105">
        <f>SUM(AC$87:AC$94)+SUM(AE$87:AE$94)+SUM(AG$87:AG$94)+SUM(AI$87:AI$94)</f>
        <v>453160.79999999993</v>
      </c>
      <c r="H136" s="105">
        <f>SUM(AK$87:AK$94)+SUM(AM$87:AM$94)+SUM(AO$87:AO$94)+SUM(AQ$87:AQ$94)</f>
        <v>411052.80000000005</v>
      </c>
      <c r="I136" s="105">
        <f>SUM(AS$87:AS$94)+SUM(AU$87:AU$94)+SUM(AW$87:AW$94)+SUM(AY$87:AY$94)</f>
        <v>466699.19999999995</v>
      </c>
      <c r="J136" s="105">
        <f>SUM(BA$87:BA$94)+SUM(BC$87:BC$94)+SUM(BE$87:BE$94)+SUM(BG$87:BG$94)</f>
        <v>439256.39999999997</v>
      </c>
      <c r="K136" s="105">
        <f>SUM(BI$87:BI$94)+SUM(BK$87:BK$94)+SUM(BM$87:BM$94)+SUM(BO$87:BO$94)</f>
        <v>538623.6</v>
      </c>
      <c r="L136" s="105">
        <f>SUM(BQ$87:BQ$94)+SUM(BS$87:BS$94)+SUM(BU$87:BU$94)+SUM(BW$87:BW$94)</f>
        <v>580774.79999999993</v>
      </c>
      <c r="M136" s="105">
        <f>SUM(BY$87:BY$94)+SUM(CA$87:CA$94)+SUM(CC$87:CC$94)+SUM(CE$87:CE$94)</f>
        <v>551443.19999999995</v>
      </c>
      <c r="N136" s="105">
        <f>SUM(CG$87:CG$94)+SUM(CI$87:CI$94)+SUM(CK$87:CK$94)+SUM(CM$87:CM$94)</f>
        <v>442076.39999999991</v>
      </c>
      <c r="O136" s="105">
        <f>SUM(CO$87:CO$94)+SUM(CQ$87:CQ$94)+SUM(CS$87:CS$94)+SUM(CU$87:CU$94)</f>
        <v>553417.19999999995</v>
      </c>
    </row>
    <row r="137" spans="2:15">
      <c r="C137" s="104" t="s">
        <v>132</v>
      </c>
      <c r="D137" s="105">
        <f>SUM(E$95:E$105)+SUM(G$95:G$105)+SUM(I$95:I$105)+SUM(K$95:K$105)</f>
        <v>331167.62202812021</v>
      </c>
      <c r="E137" s="105">
        <f>SUM(M$95:M$105)+SUM(O$95:O$105)+SUM(Q$95:Q$105)+SUM(S$95:S$105)</f>
        <v>595782</v>
      </c>
      <c r="F137" s="105">
        <f>SUM(U$95:U$105)+SUM(W$95:W$105)+SUM(Y$95:Y$105)+SUM(AA$95:AA$105)</f>
        <v>597471.6</v>
      </c>
      <c r="G137" s="105">
        <f>SUM(AC$95:AC$105)+SUM(AE$95:AE$105)+SUM(AG$95:AG$105)+SUM(AI$95:AI$105)</f>
        <v>681822</v>
      </c>
      <c r="H137" s="105">
        <f>SUM(AK$95:AK$105)+SUM(AM$95:AM$105)+SUM(AO$95:AO$105)+SUM(AQ$95:AQ$105)</f>
        <v>564504</v>
      </c>
      <c r="I137" s="105">
        <f>SUM(AS$95:AS$105)+SUM(AU$95:AU$105)+SUM(AW$95:AW$105)+SUM(AY$95:AY$105)</f>
        <v>615003.6</v>
      </c>
      <c r="J137" s="105">
        <f>SUM(BA$95:BA$105)+SUM(BC$95:BC$105)+SUM(BE$95:BE$105)+SUM(BG$95:BG$105)</f>
        <v>650575.19999999995</v>
      </c>
      <c r="K137" s="105">
        <f>SUM(BI$95:BI$105)+SUM(BK$95:BK$105)+SUM(BM$95:BM$105)+SUM(BO$95:BO$105)</f>
        <v>629815.19999999995</v>
      </c>
      <c r="L137" s="105">
        <f>SUM(BQ$95:BQ$105)+SUM(BS$95:BS$105)+SUM(BU$95:BU$105)+SUM(BW$95:BW$105)</f>
        <v>757190.4</v>
      </c>
      <c r="M137" s="105">
        <f>SUM(BY$95:BY$105)+SUM(CA$95:CA$105)+SUM(CC$95:CC$105)+SUM(CE$95:CE$105)</f>
        <v>617334</v>
      </c>
      <c r="N137" s="105">
        <f>SUM(CG$95:CG$105)+SUM(CI$95:CI$105)+SUM(CK$95:CK$105)+SUM(CM$95:CM$105)</f>
        <v>637483.19999999995</v>
      </c>
      <c r="O137" s="105">
        <f>SUM(CO$95:CO$105)+SUM(CQ$95:CQ$105)+SUM(CS$95:CS$105)+SUM(CU$95:CU$105)</f>
        <v>662588.39999999991</v>
      </c>
    </row>
    <row r="138" spans="2:15">
      <c r="C138" s="104" t="s">
        <v>277</v>
      </c>
      <c r="D138" s="99">
        <f t="shared" ref="D138:O138" si="2">SUM(D$131:D$137)</f>
        <v>1778596.1376444404</v>
      </c>
      <c r="E138" s="99">
        <f t="shared" si="2"/>
        <v>5522288.0122919725</v>
      </c>
      <c r="F138" s="99">
        <f t="shared" si="2"/>
        <v>5814694.7999999989</v>
      </c>
      <c r="G138" s="99">
        <f t="shared" si="2"/>
        <v>4863877.5310791498</v>
      </c>
      <c r="H138" s="99">
        <f t="shared" si="2"/>
        <v>5691165.5999999996</v>
      </c>
      <c r="I138" s="99">
        <f t="shared" si="2"/>
        <v>5078776.4163217759</v>
      </c>
      <c r="J138" s="99">
        <f t="shared" si="2"/>
        <v>6133042.8000000007</v>
      </c>
      <c r="K138" s="99">
        <f t="shared" si="2"/>
        <v>4852979.9016016889</v>
      </c>
      <c r="L138" s="99">
        <f t="shared" si="2"/>
        <v>5692700.4811338941</v>
      </c>
      <c r="M138" s="99">
        <f t="shared" si="2"/>
        <v>4345654.3435117295</v>
      </c>
      <c r="N138" s="99">
        <f t="shared" si="2"/>
        <v>3433239.9391405648</v>
      </c>
      <c r="O138" s="99">
        <f t="shared" si="2"/>
        <v>4786152.7435706463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99"/>
  </cols>
  <sheetData>
    <row r="2" spans="1:99">
      <c r="B2" s="101" t="s">
        <v>271</v>
      </c>
    </row>
    <row r="3" spans="1:99">
      <c r="B3" s="102" t="s">
        <v>280</v>
      </c>
    </row>
    <row r="4" spans="1:99">
      <c r="A4" s="100"/>
      <c r="B4" s="100"/>
      <c r="C4" s="98" t="s">
        <v>273</v>
      </c>
      <c r="D4" s="98" t="s">
        <v>92</v>
      </c>
      <c r="E4" s="100"/>
      <c r="F4" s="100"/>
      <c r="G4" s="100"/>
      <c r="H4" s="100"/>
      <c r="I4" s="100"/>
      <c r="J4" s="100"/>
      <c r="K4" s="100"/>
      <c r="L4" s="98" t="s">
        <v>93</v>
      </c>
      <c r="M4" s="100"/>
      <c r="N4" s="100"/>
      <c r="O4" s="100"/>
      <c r="P4" s="100"/>
      <c r="Q4" s="100"/>
      <c r="R4" s="100"/>
      <c r="S4" s="100"/>
      <c r="T4" s="98" t="s">
        <v>94</v>
      </c>
      <c r="U4" s="100"/>
      <c r="V4" s="100"/>
      <c r="W4" s="100"/>
      <c r="X4" s="100"/>
      <c r="Y4" s="100"/>
      <c r="Z4" s="100"/>
      <c r="AA4" s="100"/>
      <c r="AB4" s="98" t="s">
        <v>95</v>
      </c>
      <c r="AC4" s="100"/>
      <c r="AD4" s="100"/>
      <c r="AE4" s="100"/>
      <c r="AF4" s="100"/>
      <c r="AG4" s="100"/>
      <c r="AH4" s="100"/>
      <c r="AI4" s="100"/>
      <c r="AJ4" s="98" t="s">
        <v>96</v>
      </c>
      <c r="AK4" s="100"/>
      <c r="AL4" s="100"/>
      <c r="AM4" s="100"/>
      <c r="AN4" s="100"/>
      <c r="AO4" s="100"/>
      <c r="AP4" s="100"/>
      <c r="AQ4" s="100"/>
      <c r="AR4" s="98" t="s">
        <v>97</v>
      </c>
      <c r="AS4" s="100"/>
      <c r="AT4" s="100"/>
      <c r="AU4" s="100"/>
      <c r="AV4" s="100"/>
      <c r="AW4" s="100"/>
      <c r="AX4" s="100"/>
      <c r="AY4" s="100"/>
      <c r="AZ4" s="98" t="s">
        <v>98</v>
      </c>
      <c r="BA4" s="100"/>
      <c r="BB4" s="100"/>
      <c r="BC4" s="100"/>
      <c r="BD4" s="100"/>
      <c r="BE4" s="100"/>
      <c r="BF4" s="100"/>
      <c r="BG4" s="100"/>
      <c r="BH4" s="98" t="s">
        <v>99</v>
      </c>
      <c r="BI4" s="100"/>
      <c r="BJ4" s="100"/>
      <c r="BK4" s="100"/>
      <c r="BL4" s="100"/>
      <c r="BM4" s="100"/>
      <c r="BN4" s="100"/>
      <c r="BO4" s="100"/>
      <c r="BP4" s="98" t="s">
        <v>100</v>
      </c>
      <c r="BQ4" s="100"/>
      <c r="BR4" s="100"/>
      <c r="BS4" s="100"/>
      <c r="BT4" s="100"/>
      <c r="BU4" s="100"/>
      <c r="BV4" s="100"/>
      <c r="BW4" s="100"/>
      <c r="BX4" s="98" t="s">
        <v>101</v>
      </c>
      <c r="BY4" s="100"/>
      <c r="BZ4" s="100"/>
      <c r="CA4" s="100"/>
      <c r="CB4" s="100"/>
      <c r="CC4" s="100"/>
      <c r="CD4" s="100"/>
      <c r="CE4" s="100"/>
      <c r="CF4" s="98" t="s">
        <v>102</v>
      </c>
      <c r="CG4" s="100"/>
      <c r="CH4" s="100"/>
      <c r="CI4" s="100"/>
      <c r="CJ4" s="100"/>
      <c r="CK4" s="100"/>
      <c r="CL4" s="100"/>
      <c r="CM4" s="100"/>
      <c r="CN4" s="98" t="s">
        <v>103</v>
      </c>
      <c r="CO4" s="100"/>
      <c r="CP4" s="100"/>
      <c r="CQ4" s="100"/>
      <c r="CR4" s="100"/>
      <c r="CS4" s="100"/>
      <c r="CT4" s="100"/>
      <c r="CU4" s="100"/>
    </row>
    <row r="5" spans="1:99">
      <c r="B5" s="98" t="s">
        <v>166</v>
      </c>
      <c r="C5" s="98" t="s">
        <v>274</v>
      </c>
      <c r="D5" s="98">
        <v>1</v>
      </c>
      <c r="E5" s="98"/>
      <c r="F5" s="98">
        <v>2</v>
      </c>
      <c r="G5" s="98"/>
      <c r="H5" s="98">
        <v>3</v>
      </c>
      <c r="I5" s="98"/>
      <c r="J5" s="98">
        <v>4</v>
      </c>
      <c r="K5" s="98"/>
      <c r="L5" s="98">
        <v>1</v>
      </c>
      <c r="M5" s="98"/>
      <c r="N5" s="98">
        <v>2</v>
      </c>
      <c r="O5" s="98"/>
      <c r="P5" s="98">
        <v>3</v>
      </c>
      <c r="Q5" s="98"/>
      <c r="R5" s="98">
        <v>4</v>
      </c>
      <c r="S5" s="98"/>
      <c r="T5" s="98">
        <v>1</v>
      </c>
      <c r="U5" s="98"/>
      <c r="V5" s="98">
        <v>2</v>
      </c>
      <c r="W5" s="98"/>
      <c r="X5" s="98">
        <v>3</v>
      </c>
      <c r="Y5" s="98"/>
      <c r="Z5" s="98">
        <v>4</v>
      </c>
      <c r="AA5" s="98"/>
      <c r="AB5" s="98">
        <v>1</v>
      </c>
      <c r="AC5" s="98"/>
      <c r="AD5" s="98">
        <v>2</v>
      </c>
      <c r="AE5" s="98"/>
      <c r="AF5" s="98">
        <v>3</v>
      </c>
      <c r="AG5" s="98"/>
      <c r="AH5" s="98">
        <v>4</v>
      </c>
      <c r="AI5" s="98"/>
      <c r="AJ5" s="98">
        <v>1</v>
      </c>
      <c r="AK5" s="98"/>
      <c r="AL5" s="98">
        <v>2</v>
      </c>
      <c r="AM5" s="98"/>
      <c r="AN5" s="98">
        <v>3</v>
      </c>
      <c r="AO5" s="98"/>
      <c r="AP5" s="98">
        <v>4</v>
      </c>
      <c r="AQ5" s="98"/>
      <c r="AR5" s="98">
        <v>1</v>
      </c>
      <c r="AS5" s="98"/>
      <c r="AT5" s="98">
        <v>2</v>
      </c>
      <c r="AU5" s="98"/>
      <c r="AV5" s="98">
        <v>3</v>
      </c>
      <c r="AW5" s="98"/>
      <c r="AX5" s="98">
        <v>4</v>
      </c>
      <c r="AY5" s="98"/>
      <c r="AZ5" s="98">
        <v>1</v>
      </c>
      <c r="BA5" s="98"/>
      <c r="BB5" s="98">
        <v>2</v>
      </c>
      <c r="BC5" s="98"/>
      <c r="BD5" s="98">
        <v>3</v>
      </c>
      <c r="BE5" s="98"/>
      <c r="BF5" s="98">
        <v>4</v>
      </c>
      <c r="BG5" s="98"/>
      <c r="BH5" s="98">
        <v>1</v>
      </c>
      <c r="BI5" s="98"/>
      <c r="BJ5" s="98">
        <v>2</v>
      </c>
      <c r="BK5" s="98"/>
      <c r="BL5" s="98">
        <v>3</v>
      </c>
      <c r="BM5" s="98"/>
      <c r="BN5" s="98">
        <v>4</v>
      </c>
      <c r="BO5" s="98"/>
      <c r="BP5" s="98">
        <v>1</v>
      </c>
      <c r="BQ5" s="98"/>
      <c r="BR5" s="98">
        <v>2</v>
      </c>
      <c r="BS5" s="98"/>
      <c r="BT5" s="98">
        <v>3</v>
      </c>
      <c r="BU5" s="98"/>
      <c r="BV5" s="98">
        <v>4</v>
      </c>
      <c r="BW5" s="98"/>
      <c r="BX5" s="98">
        <v>1</v>
      </c>
      <c r="BY5" s="98"/>
      <c r="BZ5" s="98">
        <v>2</v>
      </c>
      <c r="CA5" s="98"/>
      <c r="CB5" s="98">
        <v>3</v>
      </c>
      <c r="CC5" s="98"/>
      <c r="CD5" s="98">
        <v>4</v>
      </c>
      <c r="CE5" s="98"/>
      <c r="CF5" s="98">
        <v>1</v>
      </c>
      <c r="CG5" s="98"/>
      <c r="CH5" s="98">
        <v>2</v>
      </c>
      <c r="CI5" s="98"/>
      <c r="CJ5" s="98">
        <v>3</v>
      </c>
      <c r="CK5" s="98"/>
      <c r="CL5" s="98">
        <v>4</v>
      </c>
      <c r="CM5" s="98"/>
      <c r="CN5" s="98">
        <v>1</v>
      </c>
      <c r="CO5" s="98"/>
      <c r="CP5" s="98">
        <v>2</v>
      </c>
      <c r="CQ5" s="98"/>
      <c r="CR5" s="98">
        <v>3</v>
      </c>
      <c r="CS5" s="98"/>
      <c r="CT5" s="98">
        <v>4</v>
      </c>
      <c r="CU5" s="98"/>
    </row>
    <row r="6" spans="1:99">
      <c r="B6" s="98" t="s">
        <v>126</v>
      </c>
      <c r="C6" s="98" t="s">
        <v>171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5.014668762206127</v>
      </c>
      <c r="K6" s="99">
        <v>2900.4844120600237</v>
      </c>
      <c r="L6" s="99">
        <v>3.1017170217191916</v>
      </c>
      <c r="M6" s="99">
        <v>1794.0331253623804</v>
      </c>
      <c r="N6" s="99">
        <v>9</v>
      </c>
      <c r="O6" s="99">
        <v>5205.5999999999995</v>
      </c>
      <c r="P6" s="99">
        <v>9</v>
      </c>
      <c r="Q6" s="99">
        <v>5205.5999999999995</v>
      </c>
      <c r="R6" s="99">
        <v>8</v>
      </c>
      <c r="S6" s="99">
        <v>4627.2</v>
      </c>
      <c r="T6" s="99">
        <v>5</v>
      </c>
      <c r="U6" s="99">
        <v>2892</v>
      </c>
      <c r="V6" s="99">
        <v>5</v>
      </c>
      <c r="W6" s="99">
        <v>2892</v>
      </c>
      <c r="X6" s="99">
        <v>5</v>
      </c>
      <c r="Y6" s="99">
        <v>2892</v>
      </c>
      <c r="Z6" s="99">
        <v>8</v>
      </c>
      <c r="AA6" s="99">
        <v>4627.2</v>
      </c>
      <c r="AB6" s="99">
        <v>6</v>
      </c>
      <c r="AC6" s="99">
        <v>3470.3999999999996</v>
      </c>
      <c r="AD6" s="99">
        <v>6</v>
      </c>
      <c r="AE6" s="99">
        <v>3470.3999999999996</v>
      </c>
      <c r="AF6" s="99">
        <v>7</v>
      </c>
      <c r="AG6" s="99">
        <v>4048.7999999999997</v>
      </c>
      <c r="AH6" s="99">
        <v>6</v>
      </c>
      <c r="AI6" s="99">
        <v>3470.3999999999996</v>
      </c>
      <c r="AJ6" s="99">
        <v>9</v>
      </c>
      <c r="AK6" s="99">
        <v>5205.5999999999995</v>
      </c>
      <c r="AL6" s="99">
        <v>7</v>
      </c>
      <c r="AM6" s="99">
        <v>4048.7999999999997</v>
      </c>
      <c r="AN6" s="99">
        <v>5</v>
      </c>
      <c r="AO6" s="99">
        <v>2892</v>
      </c>
      <c r="AP6" s="99">
        <v>8</v>
      </c>
      <c r="AQ6" s="99">
        <v>4627.2</v>
      </c>
      <c r="AR6" s="99">
        <v>8</v>
      </c>
      <c r="AS6" s="99">
        <v>4627.2</v>
      </c>
      <c r="AT6" s="99">
        <v>8.0999583854288684</v>
      </c>
      <c r="AU6" s="99">
        <v>4685.0159301320573</v>
      </c>
      <c r="AV6" s="99">
        <v>6</v>
      </c>
      <c r="AW6" s="99">
        <v>3470.3999999999996</v>
      </c>
      <c r="AX6" s="99">
        <v>6</v>
      </c>
      <c r="AY6" s="99">
        <v>3470.3999999999996</v>
      </c>
      <c r="AZ6" s="99">
        <v>7</v>
      </c>
      <c r="BA6" s="99">
        <v>4048.7999999999997</v>
      </c>
      <c r="BB6" s="99">
        <v>7</v>
      </c>
      <c r="BC6" s="99">
        <v>4048.7999999999997</v>
      </c>
      <c r="BD6" s="99">
        <v>8</v>
      </c>
      <c r="BE6" s="99">
        <v>4627.2</v>
      </c>
      <c r="BF6" s="99">
        <v>9</v>
      </c>
      <c r="BG6" s="99">
        <v>5205.5999999999995</v>
      </c>
      <c r="BH6" s="99">
        <v>9</v>
      </c>
      <c r="BI6" s="99">
        <v>5205.5999999999995</v>
      </c>
      <c r="BJ6" s="99">
        <v>8</v>
      </c>
      <c r="BK6" s="99">
        <v>4627.2</v>
      </c>
      <c r="BL6" s="99">
        <v>8</v>
      </c>
      <c r="BM6" s="99">
        <v>4627.2</v>
      </c>
      <c r="BN6" s="99">
        <v>10.39233657998523</v>
      </c>
      <c r="BO6" s="99">
        <v>6010.9274778634563</v>
      </c>
      <c r="BP6" s="99">
        <v>8</v>
      </c>
      <c r="BQ6" s="99">
        <v>4627.2</v>
      </c>
      <c r="BR6" s="99">
        <v>10</v>
      </c>
      <c r="BS6" s="99">
        <v>5784</v>
      </c>
      <c r="BT6" s="99">
        <v>10</v>
      </c>
      <c r="BU6" s="99">
        <v>5784</v>
      </c>
      <c r="BV6" s="99">
        <v>10</v>
      </c>
      <c r="BW6" s="99">
        <v>5784</v>
      </c>
      <c r="BX6" s="99">
        <v>8.8845358003047359</v>
      </c>
      <c r="BY6" s="99">
        <v>5138.8155068962587</v>
      </c>
      <c r="BZ6" s="99">
        <v>6</v>
      </c>
      <c r="CA6" s="99">
        <v>3470.3999999999996</v>
      </c>
      <c r="CB6" s="99">
        <v>9</v>
      </c>
      <c r="CC6" s="99">
        <v>5205.5999999999995</v>
      </c>
      <c r="CD6" s="99">
        <v>5</v>
      </c>
      <c r="CE6" s="99">
        <v>2892</v>
      </c>
      <c r="CF6" s="99">
        <v>8</v>
      </c>
      <c r="CG6" s="99">
        <v>4627.2</v>
      </c>
      <c r="CH6" s="99">
        <v>8</v>
      </c>
      <c r="CI6" s="99">
        <v>4627.2</v>
      </c>
      <c r="CJ6" s="99">
        <v>8</v>
      </c>
      <c r="CK6" s="99">
        <v>4627.2</v>
      </c>
      <c r="CL6" s="99">
        <v>10</v>
      </c>
      <c r="CM6" s="99">
        <v>5784</v>
      </c>
      <c r="CN6" s="99">
        <v>9</v>
      </c>
      <c r="CO6" s="99">
        <v>5205.5999999999995</v>
      </c>
      <c r="CP6" s="99">
        <v>9</v>
      </c>
      <c r="CQ6" s="99">
        <v>5205.5999999999995</v>
      </c>
      <c r="CR6" s="99">
        <v>9</v>
      </c>
      <c r="CS6" s="99">
        <v>5205.5999999999995</v>
      </c>
      <c r="CT6" s="99">
        <v>8.4167879839153255</v>
      </c>
      <c r="CU6" s="99">
        <v>4868.2701698966239</v>
      </c>
    </row>
    <row r="7" spans="1:99">
      <c r="C7" s="98" t="s">
        <v>172</v>
      </c>
      <c r="D7" s="99">
        <v>0</v>
      </c>
      <c r="E7" s="99">
        <v>0</v>
      </c>
      <c r="F7" s="99">
        <v>0</v>
      </c>
      <c r="G7" s="99">
        <v>0</v>
      </c>
      <c r="H7" s="99">
        <v>0</v>
      </c>
      <c r="I7" s="99">
        <v>0</v>
      </c>
      <c r="J7" s="99">
        <v>4.9788888935411491</v>
      </c>
      <c r="K7" s="99">
        <v>3925.3560036678418</v>
      </c>
      <c r="L7" s="99">
        <v>2.584764184765993</v>
      </c>
      <c r="M7" s="99">
        <v>2037.8280832695089</v>
      </c>
      <c r="N7" s="99">
        <v>8</v>
      </c>
      <c r="O7" s="99">
        <v>6307.2</v>
      </c>
      <c r="P7" s="99">
        <v>8</v>
      </c>
      <c r="Q7" s="99">
        <v>6307.2</v>
      </c>
      <c r="R7" s="99">
        <v>8</v>
      </c>
      <c r="S7" s="99">
        <v>6307.2</v>
      </c>
      <c r="T7" s="99">
        <v>5</v>
      </c>
      <c r="U7" s="99">
        <v>3942</v>
      </c>
      <c r="V7" s="99">
        <v>6</v>
      </c>
      <c r="W7" s="99">
        <v>4730.3999999999996</v>
      </c>
      <c r="X7" s="99">
        <v>6</v>
      </c>
      <c r="Y7" s="99">
        <v>4730.3999999999996</v>
      </c>
      <c r="Z7" s="99">
        <v>8</v>
      </c>
      <c r="AA7" s="99">
        <v>6307.2</v>
      </c>
      <c r="AB7" s="99">
        <v>7</v>
      </c>
      <c r="AC7" s="99">
        <v>5518.8</v>
      </c>
      <c r="AD7" s="99">
        <v>6</v>
      </c>
      <c r="AE7" s="99">
        <v>4730.3999999999996</v>
      </c>
      <c r="AF7" s="99">
        <v>7</v>
      </c>
      <c r="AG7" s="99">
        <v>5518.8</v>
      </c>
      <c r="AH7" s="99">
        <v>6</v>
      </c>
      <c r="AI7" s="99">
        <v>4730.3999999999996</v>
      </c>
      <c r="AJ7" s="99">
        <v>9</v>
      </c>
      <c r="AK7" s="99">
        <v>7095.5999999999995</v>
      </c>
      <c r="AL7" s="99">
        <v>8</v>
      </c>
      <c r="AM7" s="99">
        <v>6307.2</v>
      </c>
      <c r="AN7" s="99">
        <v>6</v>
      </c>
      <c r="AO7" s="99">
        <v>4730.3999999999996</v>
      </c>
      <c r="AP7" s="99">
        <v>10</v>
      </c>
      <c r="AQ7" s="99">
        <v>7884</v>
      </c>
      <c r="AR7" s="99">
        <v>9</v>
      </c>
      <c r="AS7" s="99">
        <v>7095.5999999999995</v>
      </c>
      <c r="AT7" s="99">
        <v>9.149956493857454</v>
      </c>
      <c r="AU7" s="99">
        <v>7213.8256997572162</v>
      </c>
      <c r="AV7" s="99">
        <v>6</v>
      </c>
      <c r="AW7" s="99">
        <v>4730.3999999999996</v>
      </c>
      <c r="AX7" s="99">
        <v>6</v>
      </c>
      <c r="AY7" s="99">
        <v>4730.3999999999996</v>
      </c>
      <c r="AZ7" s="99">
        <v>8</v>
      </c>
      <c r="BA7" s="99">
        <v>6307.2</v>
      </c>
      <c r="BB7" s="99">
        <v>7</v>
      </c>
      <c r="BC7" s="99">
        <v>5518.8</v>
      </c>
      <c r="BD7" s="99">
        <v>7</v>
      </c>
      <c r="BE7" s="99">
        <v>5518.8</v>
      </c>
      <c r="BF7" s="99">
        <v>10</v>
      </c>
      <c r="BG7" s="99">
        <v>7884</v>
      </c>
      <c r="BH7" s="99">
        <v>7</v>
      </c>
      <c r="BI7" s="99">
        <v>5518.8</v>
      </c>
      <c r="BJ7" s="99">
        <v>8</v>
      </c>
      <c r="BK7" s="99">
        <v>6307.2</v>
      </c>
      <c r="BL7" s="99">
        <v>8</v>
      </c>
      <c r="BM7" s="99">
        <v>6307.2</v>
      </c>
      <c r="BN7" s="99">
        <v>11.21268024708391</v>
      </c>
      <c r="BO7" s="99">
        <v>8840.0771068009544</v>
      </c>
      <c r="BP7" s="99">
        <v>8</v>
      </c>
      <c r="BQ7" s="99">
        <v>6307.2</v>
      </c>
      <c r="BR7" s="99">
        <v>10</v>
      </c>
      <c r="BS7" s="99">
        <v>7884</v>
      </c>
      <c r="BT7" s="99">
        <v>9</v>
      </c>
      <c r="BU7" s="99">
        <v>7095.5999999999995</v>
      </c>
      <c r="BV7" s="99">
        <v>10</v>
      </c>
      <c r="BW7" s="99">
        <v>7884</v>
      </c>
      <c r="BX7" s="99">
        <v>7.6861636107989737</v>
      </c>
      <c r="BY7" s="99">
        <v>6059.771390753911</v>
      </c>
      <c r="BZ7" s="99">
        <v>6</v>
      </c>
      <c r="CA7" s="99">
        <v>4730.3999999999996</v>
      </c>
      <c r="CB7" s="99">
        <v>8</v>
      </c>
      <c r="CC7" s="99">
        <v>6307.2</v>
      </c>
      <c r="CD7" s="99">
        <v>6</v>
      </c>
      <c r="CE7" s="99">
        <v>4730.3999999999996</v>
      </c>
      <c r="CF7" s="99">
        <v>9</v>
      </c>
      <c r="CG7" s="99">
        <v>7095.5999999999995</v>
      </c>
      <c r="CH7" s="99">
        <v>9</v>
      </c>
      <c r="CI7" s="99">
        <v>7095.5999999999995</v>
      </c>
      <c r="CJ7" s="99">
        <v>8</v>
      </c>
      <c r="CK7" s="99">
        <v>6307.2</v>
      </c>
      <c r="CL7" s="99">
        <v>11</v>
      </c>
      <c r="CM7" s="99">
        <v>8672.4</v>
      </c>
      <c r="CN7" s="99">
        <v>9</v>
      </c>
      <c r="CO7" s="99">
        <v>7095.5999999999995</v>
      </c>
      <c r="CP7" s="99">
        <v>11</v>
      </c>
      <c r="CQ7" s="99">
        <v>8672.4</v>
      </c>
      <c r="CR7" s="99">
        <v>8</v>
      </c>
      <c r="CS7" s="99">
        <v>6307.2</v>
      </c>
      <c r="CT7" s="99">
        <v>8.2396894859259113</v>
      </c>
      <c r="CU7" s="99">
        <v>6496.171190703988</v>
      </c>
    </row>
    <row r="8" spans="1:99">
      <c r="C8" s="98" t="s">
        <v>173</v>
      </c>
      <c r="D8" s="99">
        <v>0</v>
      </c>
      <c r="E8" s="99">
        <v>0</v>
      </c>
      <c r="F8" s="99">
        <v>0</v>
      </c>
      <c r="G8" s="99">
        <v>0</v>
      </c>
      <c r="H8" s="99">
        <v>0</v>
      </c>
      <c r="I8" s="99">
        <v>0</v>
      </c>
      <c r="J8" s="99">
        <v>5.014668762206127</v>
      </c>
      <c r="K8" s="99">
        <v>1552.5414487790167</v>
      </c>
      <c r="L8" s="99">
        <v>3.1017170217191916</v>
      </c>
      <c r="M8" s="99">
        <v>960.29158992426164</v>
      </c>
      <c r="N8" s="99">
        <v>8</v>
      </c>
      <c r="O8" s="99">
        <v>2476.7999999999997</v>
      </c>
      <c r="P8" s="99">
        <v>8</v>
      </c>
      <c r="Q8" s="99">
        <v>2476.7999999999997</v>
      </c>
      <c r="R8" s="99">
        <v>9</v>
      </c>
      <c r="S8" s="99">
        <v>2786.3999999999996</v>
      </c>
      <c r="T8" s="99">
        <v>6</v>
      </c>
      <c r="U8" s="99">
        <v>1857.6</v>
      </c>
      <c r="V8" s="99">
        <v>5</v>
      </c>
      <c r="W8" s="99">
        <v>1547.9999999999998</v>
      </c>
      <c r="X8" s="99">
        <v>6</v>
      </c>
      <c r="Y8" s="99">
        <v>1857.6</v>
      </c>
      <c r="Z8" s="99">
        <v>8</v>
      </c>
      <c r="AA8" s="99">
        <v>2476.7999999999997</v>
      </c>
      <c r="AB8" s="99">
        <v>7</v>
      </c>
      <c r="AC8" s="99">
        <v>2167.1999999999998</v>
      </c>
      <c r="AD8" s="99">
        <v>6</v>
      </c>
      <c r="AE8" s="99">
        <v>1857.6</v>
      </c>
      <c r="AF8" s="99">
        <v>7</v>
      </c>
      <c r="AG8" s="99">
        <v>2167.1999999999998</v>
      </c>
      <c r="AH8" s="99">
        <v>7</v>
      </c>
      <c r="AI8" s="99">
        <v>2167.1999999999998</v>
      </c>
      <c r="AJ8" s="99">
        <v>9</v>
      </c>
      <c r="AK8" s="99">
        <v>2786.3999999999996</v>
      </c>
      <c r="AL8" s="99">
        <v>7</v>
      </c>
      <c r="AM8" s="99">
        <v>2167.1999999999998</v>
      </c>
      <c r="AN8" s="99">
        <v>5</v>
      </c>
      <c r="AO8" s="99">
        <v>1547.9999999999998</v>
      </c>
      <c r="AP8" s="99">
        <v>8</v>
      </c>
      <c r="AQ8" s="99">
        <v>2476.7999999999997</v>
      </c>
      <c r="AR8" s="99">
        <v>7</v>
      </c>
      <c r="AS8" s="99">
        <v>2167.1999999999998</v>
      </c>
      <c r="AT8" s="99">
        <v>9.2999508191432092</v>
      </c>
      <c r="AU8" s="99">
        <v>2879.2647736067374</v>
      </c>
      <c r="AV8" s="99">
        <v>6</v>
      </c>
      <c r="AW8" s="99">
        <v>1857.6</v>
      </c>
      <c r="AX8" s="99">
        <v>7</v>
      </c>
      <c r="AY8" s="99">
        <v>2167.1999999999998</v>
      </c>
      <c r="AZ8" s="99">
        <v>8</v>
      </c>
      <c r="BA8" s="99">
        <v>2476.7999999999997</v>
      </c>
      <c r="BB8" s="99">
        <v>7</v>
      </c>
      <c r="BC8" s="99">
        <v>2167.1999999999998</v>
      </c>
      <c r="BD8" s="99">
        <v>8</v>
      </c>
      <c r="BE8" s="99">
        <v>2476.7999999999997</v>
      </c>
      <c r="BF8" s="99">
        <v>10</v>
      </c>
      <c r="BG8" s="99">
        <v>3095.9999999999995</v>
      </c>
      <c r="BH8" s="99">
        <v>8</v>
      </c>
      <c r="BI8" s="99">
        <v>2476.7999999999997</v>
      </c>
      <c r="BJ8" s="99">
        <v>8</v>
      </c>
      <c r="BK8" s="99">
        <v>2476.7999999999997</v>
      </c>
      <c r="BL8" s="99">
        <v>9</v>
      </c>
      <c r="BM8" s="99">
        <v>2786.3999999999996</v>
      </c>
      <c r="BN8" s="99">
        <v>11.39233657998523</v>
      </c>
      <c r="BO8" s="99">
        <v>3527.0674051634269</v>
      </c>
      <c r="BP8" s="99">
        <v>8</v>
      </c>
      <c r="BQ8" s="99">
        <v>2476.7999999999997</v>
      </c>
      <c r="BR8" s="99">
        <v>11</v>
      </c>
      <c r="BS8" s="99">
        <v>3405.5999999999995</v>
      </c>
      <c r="BT8" s="99">
        <v>9</v>
      </c>
      <c r="BU8" s="99">
        <v>2786.3999999999996</v>
      </c>
      <c r="BV8" s="99">
        <v>10</v>
      </c>
      <c r="BW8" s="99">
        <v>3095.9999999999995</v>
      </c>
      <c r="BX8" s="99">
        <v>7.8349427529282947</v>
      </c>
      <c r="BY8" s="99">
        <v>2425.6982763065998</v>
      </c>
      <c r="BZ8" s="99">
        <v>6</v>
      </c>
      <c r="CA8" s="99">
        <v>1857.6</v>
      </c>
      <c r="CB8" s="99">
        <v>10</v>
      </c>
      <c r="CC8" s="99">
        <v>3095.9999999999995</v>
      </c>
      <c r="CD8" s="99">
        <v>6</v>
      </c>
      <c r="CE8" s="99">
        <v>1857.6</v>
      </c>
      <c r="CF8" s="99">
        <v>10</v>
      </c>
      <c r="CG8" s="99">
        <v>3095.9999999999995</v>
      </c>
      <c r="CH8" s="99">
        <v>8</v>
      </c>
      <c r="CI8" s="99">
        <v>2476.7999999999997</v>
      </c>
      <c r="CJ8" s="99">
        <v>8</v>
      </c>
      <c r="CK8" s="99">
        <v>2476.7999999999997</v>
      </c>
      <c r="CL8" s="99">
        <v>10</v>
      </c>
      <c r="CM8" s="99">
        <v>3095.9999999999995</v>
      </c>
      <c r="CN8" s="99">
        <v>10</v>
      </c>
      <c r="CO8" s="99">
        <v>3095.9999999999995</v>
      </c>
      <c r="CP8" s="99">
        <v>10</v>
      </c>
      <c r="CQ8" s="99">
        <v>3095.9999999999995</v>
      </c>
      <c r="CR8" s="99">
        <v>10.197366978706896</v>
      </c>
      <c r="CS8" s="99">
        <v>3157.1048166076544</v>
      </c>
      <c r="CT8" s="99">
        <v>7.4167879839153263</v>
      </c>
      <c r="CU8" s="99">
        <v>2296.2375598201847</v>
      </c>
    </row>
    <row r="9" spans="1:99">
      <c r="C9" s="98" t="s">
        <v>174</v>
      </c>
      <c r="D9" s="99">
        <v>0</v>
      </c>
      <c r="E9" s="99">
        <v>0</v>
      </c>
      <c r="F9" s="99">
        <v>0</v>
      </c>
      <c r="G9" s="99">
        <v>0</v>
      </c>
      <c r="H9" s="99">
        <v>0</v>
      </c>
      <c r="I9" s="99">
        <v>0</v>
      </c>
      <c r="J9" s="99">
        <v>5.014668762206127</v>
      </c>
      <c r="K9" s="99">
        <v>3520.2974710687013</v>
      </c>
      <c r="L9" s="99">
        <v>3.1017170217191916</v>
      </c>
      <c r="M9" s="99">
        <v>2177.4053492468724</v>
      </c>
      <c r="N9" s="99">
        <v>9</v>
      </c>
      <c r="O9" s="99">
        <v>6318</v>
      </c>
      <c r="P9" s="99">
        <v>9</v>
      </c>
      <c r="Q9" s="99">
        <v>6318</v>
      </c>
      <c r="R9" s="99">
        <v>8</v>
      </c>
      <c r="S9" s="99">
        <v>5616</v>
      </c>
      <c r="T9" s="99">
        <v>5</v>
      </c>
      <c r="U9" s="99">
        <v>3510</v>
      </c>
      <c r="V9" s="99">
        <v>5</v>
      </c>
      <c r="W9" s="99">
        <v>3510</v>
      </c>
      <c r="X9" s="99">
        <v>5</v>
      </c>
      <c r="Y9" s="99">
        <v>3510</v>
      </c>
      <c r="Z9" s="99">
        <v>8</v>
      </c>
      <c r="AA9" s="99">
        <v>5616</v>
      </c>
      <c r="AB9" s="99">
        <v>7</v>
      </c>
      <c r="AC9" s="99">
        <v>4914</v>
      </c>
      <c r="AD9" s="99">
        <v>6</v>
      </c>
      <c r="AE9" s="99">
        <v>4212</v>
      </c>
      <c r="AF9" s="99">
        <v>8</v>
      </c>
      <c r="AG9" s="99">
        <v>5616</v>
      </c>
      <c r="AH9" s="99">
        <v>6</v>
      </c>
      <c r="AI9" s="99">
        <v>4212</v>
      </c>
      <c r="AJ9" s="99">
        <v>8</v>
      </c>
      <c r="AK9" s="99">
        <v>5616</v>
      </c>
      <c r="AL9" s="99">
        <v>7</v>
      </c>
      <c r="AM9" s="99">
        <v>4914</v>
      </c>
      <c r="AN9" s="99">
        <v>6</v>
      </c>
      <c r="AO9" s="99">
        <v>4212</v>
      </c>
      <c r="AP9" s="99">
        <v>9</v>
      </c>
      <c r="AQ9" s="99">
        <v>6318</v>
      </c>
      <c r="AR9" s="99">
        <v>7</v>
      </c>
      <c r="AS9" s="99">
        <v>4914</v>
      </c>
      <c r="AT9" s="99">
        <v>8.1999546022860379</v>
      </c>
      <c r="AU9" s="99">
        <v>5756.368130804799</v>
      </c>
      <c r="AV9" s="99">
        <v>6</v>
      </c>
      <c r="AW9" s="99">
        <v>4212</v>
      </c>
      <c r="AX9" s="99">
        <v>6</v>
      </c>
      <c r="AY9" s="99">
        <v>4212</v>
      </c>
      <c r="AZ9" s="99">
        <v>8</v>
      </c>
      <c r="BA9" s="99">
        <v>5616</v>
      </c>
      <c r="BB9" s="99">
        <v>6</v>
      </c>
      <c r="BC9" s="99">
        <v>4212</v>
      </c>
      <c r="BD9" s="99">
        <v>8</v>
      </c>
      <c r="BE9" s="99">
        <v>5616</v>
      </c>
      <c r="BF9" s="99">
        <v>9</v>
      </c>
      <c r="BG9" s="99">
        <v>6318</v>
      </c>
      <c r="BH9" s="99">
        <v>8</v>
      </c>
      <c r="BI9" s="99">
        <v>5616</v>
      </c>
      <c r="BJ9" s="99">
        <v>8</v>
      </c>
      <c r="BK9" s="99">
        <v>5616</v>
      </c>
      <c r="BL9" s="99">
        <v>9</v>
      </c>
      <c r="BM9" s="99">
        <v>6318</v>
      </c>
      <c r="BN9" s="99">
        <v>9</v>
      </c>
      <c r="BO9" s="99">
        <v>6318</v>
      </c>
      <c r="BP9" s="99">
        <v>8</v>
      </c>
      <c r="BQ9" s="99">
        <v>5616</v>
      </c>
      <c r="BR9" s="99">
        <v>10</v>
      </c>
      <c r="BS9" s="99">
        <v>7020</v>
      </c>
      <c r="BT9" s="99">
        <v>10</v>
      </c>
      <c r="BU9" s="99">
        <v>7020</v>
      </c>
      <c r="BV9" s="99">
        <v>9</v>
      </c>
      <c r="BW9" s="99">
        <v>6318</v>
      </c>
      <c r="BX9" s="99">
        <v>7.6861636107989737</v>
      </c>
      <c r="BY9" s="99">
        <v>5395.6868547808799</v>
      </c>
      <c r="BZ9" s="99">
        <v>7</v>
      </c>
      <c r="CA9" s="99">
        <v>4914</v>
      </c>
      <c r="CB9" s="99">
        <v>9</v>
      </c>
      <c r="CC9" s="99">
        <v>6318</v>
      </c>
      <c r="CD9" s="99">
        <v>6</v>
      </c>
      <c r="CE9" s="99">
        <v>4212</v>
      </c>
      <c r="CF9" s="99">
        <v>9</v>
      </c>
      <c r="CG9" s="99">
        <v>6318</v>
      </c>
      <c r="CH9" s="99">
        <v>8</v>
      </c>
      <c r="CI9" s="99">
        <v>5616</v>
      </c>
      <c r="CJ9" s="99">
        <v>9</v>
      </c>
      <c r="CK9" s="99">
        <v>6318</v>
      </c>
      <c r="CL9" s="99">
        <v>11</v>
      </c>
      <c r="CM9" s="99">
        <v>7722</v>
      </c>
      <c r="CN9" s="99">
        <v>10</v>
      </c>
      <c r="CO9" s="99">
        <v>7020</v>
      </c>
      <c r="CP9" s="99">
        <v>10</v>
      </c>
      <c r="CQ9" s="99">
        <v>7020</v>
      </c>
      <c r="CR9" s="99">
        <v>9.1973669787068957</v>
      </c>
      <c r="CS9" s="99">
        <v>6456.5516190522412</v>
      </c>
      <c r="CT9" s="99">
        <v>8.4167879839153255</v>
      </c>
      <c r="CU9" s="99">
        <v>5908.5851647085583</v>
      </c>
    </row>
    <row r="10" spans="1:99">
      <c r="C10" s="98" t="s">
        <v>175</v>
      </c>
      <c r="D10" s="99">
        <v>0</v>
      </c>
      <c r="E10" s="99">
        <v>0</v>
      </c>
      <c r="F10" s="99">
        <v>0</v>
      </c>
      <c r="G10" s="99">
        <v>0</v>
      </c>
      <c r="H10" s="99">
        <v>0</v>
      </c>
      <c r="I10" s="99">
        <v>0</v>
      </c>
      <c r="J10" s="99">
        <v>5.014668762206127</v>
      </c>
      <c r="K10" s="99">
        <v>2731.991541649898</v>
      </c>
      <c r="L10" s="99">
        <v>2.584764184765993</v>
      </c>
      <c r="M10" s="99">
        <v>1408.179527860513</v>
      </c>
      <c r="N10" s="99">
        <v>8</v>
      </c>
      <c r="O10" s="99">
        <v>4358.3999999999996</v>
      </c>
      <c r="P10" s="99">
        <v>8</v>
      </c>
      <c r="Q10" s="99">
        <v>4358.3999999999996</v>
      </c>
      <c r="R10" s="99">
        <v>9</v>
      </c>
      <c r="S10" s="99">
        <v>4903.2</v>
      </c>
      <c r="T10" s="99">
        <v>6</v>
      </c>
      <c r="U10" s="99">
        <v>3268.7999999999997</v>
      </c>
      <c r="V10" s="99">
        <v>5</v>
      </c>
      <c r="W10" s="99">
        <v>2724</v>
      </c>
      <c r="X10" s="99">
        <v>6</v>
      </c>
      <c r="Y10" s="99">
        <v>3268.7999999999997</v>
      </c>
      <c r="Z10" s="99">
        <v>8</v>
      </c>
      <c r="AA10" s="99">
        <v>4358.3999999999996</v>
      </c>
      <c r="AB10" s="99">
        <v>7</v>
      </c>
      <c r="AC10" s="99">
        <v>3813.5999999999995</v>
      </c>
      <c r="AD10" s="99">
        <v>6</v>
      </c>
      <c r="AE10" s="99">
        <v>3268.7999999999997</v>
      </c>
      <c r="AF10" s="99">
        <v>8</v>
      </c>
      <c r="AG10" s="99">
        <v>4358.3999999999996</v>
      </c>
      <c r="AH10" s="99">
        <v>6</v>
      </c>
      <c r="AI10" s="99">
        <v>3268.7999999999997</v>
      </c>
      <c r="AJ10" s="99">
        <v>8</v>
      </c>
      <c r="AK10" s="99">
        <v>4358.3999999999996</v>
      </c>
      <c r="AL10" s="99">
        <v>7</v>
      </c>
      <c r="AM10" s="99">
        <v>3813.5999999999995</v>
      </c>
      <c r="AN10" s="99">
        <v>6</v>
      </c>
      <c r="AO10" s="99">
        <v>3268.7999999999997</v>
      </c>
      <c r="AP10" s="99">
        <v>8</v>
      </c>
      <c r="AQ10" s="99">
        <v>4358.3999999999996</v>
      </c>
      <c r="AR10" s="99">
        <v>8</v>
      </c>
      <c r="AS10" s="99">
        <v>4358.3999999999996</v>
      </c>
      <c r="AT10" s="99">
        <v>8.0999583854288684</v>
      </c>
      <c r="AU10" s="99">
        <v>4412.8573283816468</v>
      </c>
      <c r="AV10" s="99">
        <v>5</v>
      </c>
      <c r="AW10" s="99">
        <v>2724</v>
      </c>
      <c r="AX10" s="99">
        <v>6</v>
      </c>
      <c r="AY10" s="99">
        <v>3268.7999999999997</v>
      </c>
      <c r="AZ10" s="99">
        <v>8</v>
      </c>
      <c r="BA10" s="99">
        <v>4358.3999999999996</v>
      </c>
      <c r="BB10" s="99">
        <v>6</v>
      </c>
      <c r="BC10" s="99">
        <v>3268.7999999999997</v>
      </c>
      <c r="BD10" s="99">
        <v>9</v>
      </c>
      <c r="BE10" s="99">
        <v>4903.2</v>
      </c>
      <c r="BF10" s="99">
        <v>9</v>
      </c>
      <c r="BG10" s="99">
        <v>4903.2</v>
      </c>
      <c r="BH10" s="99">
        <v>8</v>
      </c>
      <c r="BI10" s="99">
        <v>4358.3999999999996</v>
      </c>
      <c r="BJ10" s="99">
        <v>8</v>
      </c>
      <c r="BK10" s="99">
        <v>4358.3999999999996</v>
      </c>
      <c r="BL10" s="99">
        <v>9</v>
      </c>
      <c r="BM10" s="99">
        <v>4903.2</v>
      </c>
      <c r="BN10" s="99">
        <v>11.30250841353457</v>
      </c>
      <c r="BO10" s="99">
        <v>6157.6065836936332</v>
      </c>
      <c r="BP10" s="99">
        <v>9</v>
      </c>
      <c r="BQ10" s="99">
        <v>4903.2</v>
      </c>
      <c r="BR10" s="99">
        <v>9</v>
      </c>
      <c r="BS10" s="99">
        <v>4903.2</v>
      </c>
      <c r="BT10" s="99">
        <v>9</v>
      </c>
      <c r="BU10" s="99">
        <v>4903.2</v>
      </c>
      <c r="BV10" s="99">
        <v>10</v>
      </c>
      <c r="BW10" s="99">
        <v>5448</v>
      </c>
      <c r="BX10" s="99">
        <v>7.5373844686696518</v>
      </c>
      <c r="BY10" s="99">
        <v>4106.3670585312257</v>
      </c>
      <c r="BZ10" s="99">
        <v>7</v>
      </c>
      <c r="CA10" s="99">
        <v>3813.5999999999995</v>
      </c>
      <c r="CB10" s="99">
        <v>9</v>
      </c>
      <c r="CC10" s="99">
        <v>4903.2</v>
      </c>
      <c r="CD10" s="99">
        <v>6</v>
      </c>
      <c r="CE10" s="99">
        <v>3268.7999999999997</v>
      </c>
      <c r="CF10" s="99">
        <v>8</v>
      </c>
      <c r="CG10" s="99">
        <v>4358.3999999999996</v>
      </c>
      <c r="CH10" s="99">
        <v>8</v>
      </c>
      <c r="CI10" s="99">
        <v>4358.3999999999996</v>
      </c>
      <c r="CJ10" s="99">
        <v>8</v>
      </c>
      <c r="CK10" s="99">
        <v>4358.3999999999996</v>
      </c>
      <c r="CL10" s="99">
        <v>10</v>
      </c>
      <c r="CM10" s="99">
        <v>5448</v>
      </c>
      <c r="CN10" s="99">
        <v>10</v>
      </c>
      <c r="CO10" s="99">
        <v>5448</v>
      </c>
      <c r="CP10" s="99">
        <v>10</v>
      </c>
      <c r="CQ10" s="99">
        <v>5448</v>
      </c>
      <c r="CR10" s="99">
        <v>9</v>
      </c>
      <c r="CS10" s="99">
        <v>4903.2</v>
      </c>
      <c r="CT10" s="99">
        <v>7.4610626084126803</v>
      </c>
      <c r="CU10" s="99">
        <v>4064.786909063228</v>
      </c>
    </row>
    <row r="11" spans="1:99">
      <c r="C11" s="98" t="s">
        <v>176</v>
      </c>
      <c r="D11" s="99">
        <v>0</v>
      </c>
      <c r="E11" s="99">
        <v>0</v>
      </c>
      <c r="F11" s="99">
        <v>0</v>
      </c>
      <c r="G11" s="99">
        <v>0</v>
      </c>
      <c r="H11" s="99">
        <v>0</v>
      </c>
      <c r="I11" s="99">
        <v>0</v>
      </c>
      <c r="J11" s="99">
        <v>5.7550339061338729</v>
      </c>
      <c r="K11" s="99">
        <v>3066.282065188127</v>
      </c>
      <c r="L11" s="99">
        <v>3.1017170217191916</v>
      </c>
      <c r="M11" s="99">
        <v>1652.5948291719851</v>
      </c>
      <c r="N11" s="99">
        <v>8</v>
      </c>
      <c r="O11" s="99">
        <v>4262.3999999999996</v>
      </c>
      <c r="P11" s="99">
        <v>9</v>
      </c>
      <c r="Q11" s="99">
        <v>4795.2</v>
      </c>
      <c r="R11" s="99">
        <v>8</v>
      </c>
      <c r="S11" s="99">
        <v>4262.3999999999996</v>
      </c>
      <c r="T11" s="99">
        <v>5</v>
      </c>
      <c r="U11" s="99">
        <v>2664</v>
      </c>
      <c r="V11" s="99">
        <v>5</v>
      </c>
      <c r="W11" s="99">
        <v>2664</v>
      </c>
      <c r="X11" s="99">
        <v>6</v>
      </c>
      <c r="Y11" s="99">
        <v>3196.7999999999997</v>
      </c>
      <c r="Z11" s="99">
        <v>9</v>
      </c>
      <c r="AA11" s="99">
        <v>4795.2</v>
      </c>
      <c r="AB11" s="99">
        <v>7</v>
      </c>
      <c r="AC11" s="99">
        <v>3729.5999999999995</v>
      </c>
      <c r="AD11" s="99">
        <v>6</v>
      </c>
      <c r="AE11" s="99">
        <v>3196.7999999999997</v>
      </c>
      <c r="AF11" s="99">
        <v>7</v>
      </c>
      <c r="AG11" s="99">
        <v>3729.5999999999995</v>
      </c>
      <c r="AH11" s="99">
        <v>6</v>
      </c>
      <c r="AI11" s="99">
        <v>3196.7999999999997</v>
      </c>
      <c r="AJ11" s="99">
        <v>9</v>
      </c>
      <c r="AK11" s="99">
        <v>4795.2</v>
      </c>
      <c r="AL11" s="99">
        <v>7</v>
      </c>
      <c r="AM11" s="99">
        <v>3729.5999999999995</v>
      </c>
      <c r="AN11" s="99">
        <v>5</v>
      </c>
      <c r="AO11" s="99">
        <v>2664</v>
      </c>
      <c r="AP11" s="99">
        <v>9</v>
      </c>
      <c r="AQ11" s="99">
        <v>4795.2</v>
      </c>
      <c r="AR11" s="99">
        <v>8</v>
      </c>
      <c r="AS11" s="99">
        <v>4262.3999999999996</v>
      </c>
      <c r="AT11" s="99">
        <v>8.0499602770002845</v>
      </c>
      <c r="AU11" s="99">
        <v>4289.0188355857508</v>
      </c>
      <c r="AV11" s="99">
        <v>5</v>
      </c>
      <c r="AW11" s="99">
        <v>2664</v>
      </c>
      <c r="AX11" s="99">
        <v>6</v>
      </c>
      <c r="AY11" s="99">
        <v>3196.7999999999997</v>
      </c>
      <c r="AZ11" s="99">
        <v>7</v>
      </c>
      <c r="BA11" s="99">
        <v>3729.5999999999995</v>
      </c>
      <c r="BB11" s="99">
        <v>7</v>
      </c>
      <c r="BC11" s="99">
        <v>3729.5999999999995</v>
      </c>
      <c r="BD11" s="99">
        <v>7</v>
      </c>
      <c r="BE11" s="99">
        <v>3729.5999999999995</v>
      </c>
      <c r="BF11" s="99">
        <v>9</v>
      </c>
      <c r="BG11" s="99">
        <v>4795.2</v>
      </c>
      <c r="BH11" s="99">
        <v>9</v>
      </c>
      <c r="BI11" s="99">
        <v>4795.2</v>
      </c>
      <c r="BJ11" s="99">
        <v>7</v>
      </c>
      <c r="BK11" s="99">
        <v>3729.5999999999995</v>
      </c>
      <c r="BL11" s="99">
        <v>9</v>
      </c>
      <c r="BM11" s="99">
        <v>4795.2</v>
      </c>
      <c r="BN11" s="99">
        <v>11.167766163858579</v>
      </c>
      <c r="BO11" s="99">
        <v>5950.1858121038504</v>
      </c>
      <c r="BP11" s="99">
        <v>9</v>
      </c>
      <c r="BQ11" s="99">
        <v>4795.2</v>
      </c>
      <c r="BR11" s="99">
        <v>9</v>
      </c>
      <c r="BS11" s="99">
        <v>4795.2</v>
      </c>
      <c r="BT11" s="99">
        <v>10</v>
      </c>
      <c r="BU11" s="99">
        <v>5328</v>
      </c>
      <c r="BV11" s="99">
        <v>10</v>
      </c>
      <c r="BW11" s="99">
        <v>5328</v>
      </c>
      <c r="BX11" s="99">
        <v>7.735756658175414</v>
      </c>
      <c r="BY11" s="99">
        <v>4121.61114747586</v>
      </c>
      <c r="BZ11" s="99">
        <v>6</v>
      </c>
      <c r="CA11" s="99">
        <v>3196.7999999999997</v>
      </c>
      <c r="CB11" s="99">
        <v>9</v>
      </c>
      <c r="CC11" s="99">
        <v>4795.2</v>
      </c>
      <c r="CD11" s="99">
        <v>5</v>
      </c>
      <c r="CE11" s="99">
        <v>2664</v>
      </c>
      <c r="CF11" s="99">
        <v>8</v>
      </c>
      <c r="CG11" s="99">
        <v>4262.3999999999996</v>
      </c>
      <c r="CH11" s="99">
        <v>9</v>
      </c>
      <c r="CI11" s="99">
        <v>4795.2</v>
      </c>
      <c r="CJ11" s="99">
        <v>9</v>
      </c>
      <c r="CK11" s="99">
        <v>4795.2</v>
      </c>
      <c r="CL11" s="99">
        <v>11</v>
      </c>
      <c r="CM11" s="99">
        <v>5860.7999999999993</v>
      </c>
      <c r="CN11" s="99">
        <v>10</v>
      </c>
      <c r="CO11" s="99">
        <v>5328</v>
      </c>
      <c r="CP11" s="99">
        <v>10</v>
      </c>
      <c r="CQ11" s="99">
        <v>5328</v>
      </c>
      <c r="CR11" s="99">
        <v>9.2434195548110072</v>
      </c>
      <c r="CS11" s="99">
        <v>4924.8939388033041</v>
      </c>
      <c r="CT11" s="99">
        <v>8.2396894859259113</v>
      </c>
      <c r="CU11" s="99">
        <v>4390.1065581013254</v>
      </c>
    </row>
    <row r="12" spans="1:99">
      <c r="C12" s="98" t="s">
        <v>177</v>
      </c>
      <c r="D12" s="99">
        <v>0</v>
      </c>
      <c r="E12" s="99">
        <v>0</v>
      </c>
      <c r="F12" s="99">
        <v>0</v>
      </c>
      <c r="G12" s="99">
        <v>0</v>
      </c>
      <c r="H12" s="99">
        <v>0</v>
      </c>
      <c r="I12" s="99">
        <v>0</v>
      </c>
      <c r="J12" s="99">
        <v>5.0862284995360838</v>
      </c>
      <c r="K12" s="99">
        <v>2862.5293995389079</v>
      </c>
      <c r="L12" s="99">
        <v>3.1017170217191916</v>
      </c>
      <c r="M12" s="99">
        <v>1745.646339823561</v>
      </c>
      <c r="N12" s="99">
        <v>8</v>
      </c>
      <c r="O12" s="99">
        <v>4502.3999999999996</v>
      </c>
      <c r="P12" s="99">
        <v>8</v>
      </c>
      <c r="Q12" s="99">
        <v>4502.3999999999996</v>
      </c>
      <c r="R12" s="99">
        <v>9</v>
      </c>
      <c r="S12" s="99">
        <v>5065.2</v>
      </c>
      <c r="T12" s="99">
        <v>5</v>
      </c>
      <c r="U12" s="99">
        <v>2814</v>
      </c>
      <c r="V12" s="99">
        <v>5</v>
      </c>
      <c r="W12" s="99">
        <v>2814</v>
      </c>
      <c r="X12" s="99">
        <v>6</v>
      </c>
      <c r="Y12" s="99">
        <v>3376.7999999999997</v>
      </c>
      <c r="Z12" s="99">
        <v>9</v>
      </c>
      <c r="AA12" s="99">
        <v>5065.2</v>
      </c>
      <c r="AB12" s="99">
        <v>7</v>
      </c>
      <c r="AC12" s="99">
        <v>3939.5999999999995</v>
      </c>
      <c r="AD12" s="99">
        <v>6</v>
      </c>
      <c r="AE12" s="99">
        <v>3376.7999999999997</v>
      </c>
      <c r="AF12" s="99">
        <v>7</v>
      </c>
      <c r="AG12" s="99">
        <v>3939.5999999999995</v>
      </c>
      <c r="AH12" s="99">
        <v>6</v>
      </c>
      <c r="AI12" s="99">
        <v>3376.7999999999997</v>
      </c>
      <c r="AJ12" s="99">
        <v>9</v>
      </c>
      <c r="AK12" s="99">
        <v>5065.2</v>
      </c>
      <c r="AL12" s="99">
        <v>8</v>
      </c>
      <c r="AM12" s="99">
        <v>4502.3999999999996</v>
      </c>
      <c r="AN12" s="99">
        <v>5</v>
      </c>
      <c r="AO12" s="99">
        <v>2814</v>
      </c>
      <c r="AP12" s="99">
        <v>9</v>
      </c>
      <c r="AQ12" s="99">
        <v>5065.2</v>
      </c>
      <c r="AR12" s="99">
        <v>8</v>
      </c>
      <c r="AS12" s="99">
        <v>4502.3999999999996</v>
      </c>
      <c r="AT12" s="99">
        <v>9.2499527107146235</v>
      </c>
      <c r="AU12" s="99">
        <v>5205.8733855901901</v>
      </c>
      <c r="AV12" s="99">
        <v>5</v>
      </c>
      <c r="AW12" s="99">
        <v>2814</v>
      </c>
      <c r="AX12" s="99">
        <v>7</v>
      </c>
      <c r="AY12" s="99">
        <v>3939.5999999999995</v>
      </c>
      <c r="AZ12" s="99">
        <v>7</v>
      </c>
      <c r="BA12" s="99">
        <v>3939.5999999999995</v>
      </c>
      <c r="BB12" s="99">
        <v>7</v>
      </c>
      <c r="BC12" s="99">
        <v>3939.5999999999995</v>
      </c>
      <c r="BD12" s="99">
        <v>7</v>
      </c>
      <c r="BE12" s="99">
        <v>3939.5999999999995</v>
      </c>
      <c r="BF12" s="99">
        <v>9</v>
      </c>
      <c r="BG12" s="99">
        <v>5065.2</v>
      </c>
      <c r="BH12" s="99">
        <v>9</v>
      </c>
      <c r="BI12" s="99">
        <v>5065.2</v>
      </c>
      <c r="BJ12" s="99">
        <v>8</v>
      </c>
      <c r="BK12" s="99">
        <v>4502.3999999999996</v>
      </c>
      <c r="BL12" s="99">
        <v>8</v>
      </c>
      <c r="BM12" s="99">
        <v>4502.3999999999996</v>
      </c>
      <c r="BN12" s="99">
        <v>11.30250841353457</v>
      </c>
      <c r="BO12" s="99">
        <v>6361.0517351372555</v>
      </c>
      <c r="BP12" s="99">
        <v>8</v>
      </c>
      <c r="BQ12" s="99">
        <v>4502.3999999999996</v>
      </c>
      <c r="BR12" s="99">
        <v>11</v>
      </c>
      <c r="BS12" s="99">
        <v>6190.7999999999993</v>
      </c>
      <c r="BT12" s="99">
        <v>9</v>
      </c>
      <c r="BU12" s="99">
        <v>5065.2</v>
      </c>
      <c r="BV12" s="99">
        <v>10</v>
      </c>
      <c r="BW12" s="99">
        <v>5628</v>
      </c>
      <c r="BX12" s="99">
        <v>7.7853497055518543</v>
      </c>
      <c r="BY12" s="99">
        <v>4381.5948142845837</v>
      </c>
      <c r="BZ12" s="99">
        <v>6</v>
      </c>
      <c r="CA12" s="99">
        <v>3376.7999999999997</v>
      </c>
      <c r="CB12" s="99">
        <v>10</v>
      </c>
      <c r="CC12" s="99">
        <v>5628</v>
      </c>
      <c r="CD12" s="99">
        <v>5</v>
      </c>
      <c r="CE12" s="99">
        <v>2814</v>
      </c>
      <c r="CF12" s="99">
        <v>9</v>
      </c>
      <c r="CG12" s="99">
        <v>5065.2</v>
      </c>
      <c r="CH12" s="99">
        <v>9</v>
      </c>
      <c r="CI12" s="99">
        <v>5065.2</v>
      </c>
      <c r="CJ12" s="99">
        <v>7</v>
      </c>
      <c r="CK12" s="99">
        <v>3939.5999999999995</v>
      </c>
      <c r="CL12" s="99">
        <v>12</v>
      </c>
      <c r="CM12" s="99">
        <v>6753.5999999999995</v>
      </c>
      <c r="CN12" s="99">
        <v>10</v>
      </c>
      <c r="CO12" s="99">
        <v>5628</v>
      </c>
      <c r="CP12" s="99">
        <v>11</v>
      </c>
      <c r="CQ12" s="99">
        <v>6190.7999999999993</v>
      </c>
      <c r="CR12" s="99">
        <v>10.151314402602784</v>
      </c>
      <c r="CS12" s="99">
        <v>5713.1597457848466</v>
      </c>
      <c r="CT12" s="99">
        <v>8.2396894859259113</v>
      </c>
      <c r="CU12" s="99">
        <v>4637.297242679103</v>
      </c>
    </row>
    <row r="13" spans="1:99">
      <c r="C13" s="98" t="s">
        <v>178</v>
      </c>
      <c r="D13" s="99">
        <v>0</v>
      </c>
      <c r="E13" s="99">
        <v>0</v>
      </c>
      <c r="F13" s="99">
        <v>0</v>
      </c>
      <c r="G13" s="99">
        <v>0</v>
      </c>
      <c r="H13" s="99">
        <v>0</v>
      </c>
      <c r="I13" s="99">
        <v>0</v>
      </c>
      <c r="J13" s="99">
        <v>5.0862284995360838</v>
      </c>
      <c r="K13" s="99">
        <v>433.34666816047434</v>
      </c>
      <c r="L13" s="99">
        <v>3.1017170217191916</v>
      </c>
      <c r="M13" s="99">
        <v>264.26629025047515</v>
      </c>
      <c r="N13" s="99">
        <v>9</v>
      </c>
      <c r="O13" s="99">
        <v>766.80000000000007</v>
      </c>
      <c r="P13" s="99">
        <v>8</v>
      </c>
      <c r="Q13" s="99">
        <v>681.6</v>
      </c>
      <c r="R13" s="99">
        <v>8</v>
      </c>
      <c r="S13" s="99">
        <v>681.6</v>
      </c>
      <c r="T13" s="99">
        <v>6</v>
      </c>
      <c r="U13" s="99">
        <v>511.20000000000005</v>
      </c>
      <c r="V13" s="99">
        <v>6</v>
      </c>
      <c r="W13" s="99">
        <v>511.20000000000005</v>
      </c>
      <c r="X13" s="99">
        <v>6</v>
      </c>
      <c r="Y13" s="99">
        <v>511.20000000000005</v>
      </c>
      <c r="Z13" s="99">
        <v>8</v>
      </c>
      <c r="AA13" s="99">
        <v>681.6</v>
      </c>
      <c r="AB13" s="99">
        <v>7</v>
      </c>
      <c r="AC13" s="99">
        <v>596.4</v>
      </c>
      <c r="AD13" s="99">
        <v>7</v>
      </c>
      <c r="AE13" s="99">
        <v>596.4</v>
      </c>
      <c r="AF13" s="99">
        <v>7</v>
      </c>
      <c r="AG13" s="99">
        <v>596.4</v>
      </c>
      <c r="AH13" s="99">
        <v>6</v>
      </c>
      <c r="AI13" s="99">
        <v>511.20000000000005</v>
      </c>
      <c r="AJ13" s="99">
        <v>9</v>
      </c>
      <c r="AK13" s="99">
        <v>766.80000000000007</v>
      </c>
      <c r="AL13" s="99">
        <v>7</v>
      </c>
      <c r="AM13" s="99">
        <v>596.4</v>
      </c>
      <c r="AN13" s="99">
        <v>6</v>
      </c>
      <c r="AO13" s="99">
        <v>511.20000000000005</v>
      </c>
      <c r="AP13" s="99">
        <v>9</v>
      </c>
      <c r="AQ13" s="99">
        <v>766.80000000000007</v>
      </c>
      <c r="AR13" s="99">
        <v>8</v>
      </c>
      <c r="AS13" s="99">
        <v>681.6</v>
      </c>
      <c r="AT13" s="99">
        <v>9.0999583854288684</v>
      </c>
      <c r="AU13" s="99">
        <v>775.31645443853961</v>
      </c>
      <c r="AV13" s="99">
        <v>5</v>
      </c>
      <c r="AW13" s="99">
        <v>426</v>
      </c>
      <c r="AX13" s="99">
        <v>7</v>
      </c>
      <c r="AY13" s="99">
        <v>596.4</v>
      </c>
      <c r="AZ13" s="99">
        <v>8</v>
      </c>
      <c r="BA13" s="99">
        <v>681.6</v>
      </c>
      <c r="BB13" s="99">
        <v>8</v>
      </c>
      <c r="BC13" s="99">
        <v>681.6</v>
      </c>
      <c r="BD13" s="99">
        <v>8</v>
      </c>
      <c r="BE13" s="99">
        <v>681.6</v>
      </c>
      <c r="BF13" s="99">
        <v>11</v>
      </c>
      <c r="BG13" s="99">
        <v>937.2</v>
      </c>
      <c r="BH13" s="99">
        <v>8</v>
      </c>
      <c r="BI13" s="99">
        <v>681.6</v>
      </c>
      <c r="BJ13" s="99">
        <v>7</v>
      </c>
      <c r="BK13" s="99">
        <v>596.4</v>
      </c>
      <c r="BL13" s="99">
        <v>8</v>
      </c>
      <c r="BM13" s="99">
        <v>681.6</v>
      </c>
      <c r="BN13" s="99">
        <v>11.30250841353457</v>
      </c>
      <c r="BO13" s="99">
        <v>962.97371683314532</v>
      </c>
      <c r="BP13" s="99">
        <v>8</v>
      </c>
      <c r="BQ13" s="99">
        <v>681.6</v>
      </c>
      <c r="BR13" s="99">
        <v>11</v>
      </c>
      <c r="BS13" s="99">
        <v>937.2</v>
      </c>
      <c r="BT13" s="99">
        <v>9</v>
      </c>
      <c r="BU13" s="99">
        <v>766.80000000000007</v>
      </c>
      <c r="BV13" s="99">
        <v>11</v>
      </c>
      <c r="BW13" s="99">
        <v>937.2</v>
      </c>
      <c r="BX13" s="99">
        <v>7.884535800304735</v>
      </c>
      <c r="BY13" s="99">
        <v>671.76245018596342</v>
      </c>
      <c r="BZ13" s="99">
        <v>6</v>
      </c>
      <c r="CA13" s="99">
        <v>511.20000000000005</v>
      </c>
      <c r="CB13" s="99">
        <v>9</v>
      </c>
      <c r="CC13" s="99">
        <v>766.80000000000007</v>
      </c>
      <c r="CD13" s="99">
        <v>6</v>
      </c>
      <c r="CE13" s="99">
        <v>511.20000000000005</v>
      </c>
      <c r="CF13" s="99">
        <v>10</v>
      </c>
      <c r="CG13" s="99">
        <v>852</v>
      </c>
      <c r="CH13" s="99">
        <v>9</v>
      </c>
      <c r="CI13" s="99">
        <v>766.80000000000007</v>
      </c>
      <c r="CJ13" s="99">
        <v>9</v>
      </c>
      <c r="CK13" s="99">
        <v>766.80000000000007</v>
      </c>
      <c r="CL13" s="99">
        <v>11</v>
      </c>
      <c r="CM13" s="99">
        <v>937.2</v>
      </c>
      <c r="CN13" s="99">
        <v>10</v>
      </c>
      <c r="CO13" s="99">
        <v>852</v>
      </c>
      <c r="CP13" s="99">
        <v>9</v>
      </c>
      <c r="CQ13" s="99">
        <v>766.80000000000007</v>
      </c>
      <c r="CR13" s="99">
        <v>10.289472130915119</v>
      </c>
      <c r="CS13" s="99">
        <v>876.66302555396817</v>
      </c>
      <c r="CT13" s="99">
        <v>7.4167879839153263</v>
      </c>
      <c r="CU13" s="99">
        <v>631.91033622958582</v>
      </c>
    </row>
    <row r="14" spans="1:99">
      <c r="C14" s="98" t="s">
        <v>179</v>
      </c>
      <c r="D14" s="99">
        <v>0</v>
      </c>
      <c r="E14" s="99">
        <v>0</v>
      </c>
      <c r="F14" s="99">
        <v>0</v>
      </c>
      <c r="G14" s="99">
        <v>0</v>
      </c>
      <c r="H14" s="99">
        <v>0</v>
      </c>
      <c r="I14" s="99">
        <v>0</v>
      </c>
      <c r="J14" s="99">
        <v>5.0862284995360838</v>
      </c>
      <c r="K14" s="99">
        <v>2484.1139991734231</v>
      </c>
      <c r="L14" s="99">
        <v>2.584764184765993</v>
      </c>
      <c r="M14" s="99">
        <v>1262.398827839711</v>
      </c>
      <c r="N14" s="99">
        <v>8</v>
      </c>
      <c r="O14" s="99">
        <v>3907.2</v>
      </c>
      <c r="P14" s="99">
        <v>8</v>
      </c>
      <c r="Q14" s="99">
        <v>3907.2</v>
      </c>
      <c r="R14" s="99">
        <v>9</v>
      </c>
      <c r="S14" s="99">
        <v>4395.5999999999995</v>
      </c>
      <c r="T14" s="99">
        <v>5</v>
      </c>
      <c r="U14" s="99">
        <v>2442</v>
      </c>
      <c r="V14" s="99">
        <v>5</v>
      </c>
      <c r="W14" s="99">
        <v>2442</v>
      </c>
      <c r="X14" s="99">
        <v>6</v>
      </c>
      <c r="Y14" s="99">
        <v>2930.3999999999996</v>
      </c>
      <c r="Z14" s="99">
        <v>9</v>
      </c>
      <c r="AA14" s="99">
        <v>4395.5999999999995</v>
      </c>
      <c r="AB14" s="99">
        <v>6</v>
      </c>
      <c r="AC14" s="99">
        <v>2930.3999999999996</v>
      </c>
      <c r="AD14" s="99">
        <v>5</v>
      </c>
      <c r="AE14" s="99">
        <v>2442</v>
      </c>
      <c r="AF14" s="99">
        <v>7</v>
      </c>
      <c r="AG14" s="99">
        <v>3418.7999999999997</v>
      </c>
      <c r="AH14" s="99">
        <v>7</v>
      </c>
      <c r="AI14" s="99">
        <v>3418.7999999999997</v>
      </c>
      <c r="AJ14" s="99">
        <v>8</v>
      </c>
      <c r="AK14" s="99">
        <v>3907.2</v>
      </c>
      <c r="AL14" s="99">
        <v>7</v>
      </c>
      <c r="AM14" s="99">
        <v>3418.7999999999997</v>
      </c>
      <c r="AN14" s="99">
        <v>5</v>
      </c>
      <c r="AO14" s="99">
        <v>2442</v>
      </c>
      <c r="AP14" s="99">
        <v>8</v>
      </c>
      <c r="AQ14" s="99">
        <v>3907.2</v>
      </c>
      <c r="AR14" s="99">
        <v>9</v>
      </c>
      <c r="AS14" s="99">
        <v>4395.5999999999995</v>
      </c>
      <c r="AT14" s="99">
        <v>8.1999546022860379</v>
      </c>
      <c r="AU14" s="99">
        <v>4004.8578277565007</v>
      </c>
      <c r="AV14" s="99">
        <v>6</v>
      </c>
      <c r="AW14" s="99">
        <v>2930.3999999999996</v>
      </c>
      <c r="AX14" s="99">
        <v>6</v>
      </c>
      <c r="AY14" s="99">
        <v>2930.3999999999996</v>
      </c>
      <c r="AZ14" s="99">
        <v>7</v>
      </c>
      <c r="BA14" s="99">
        <v>3418.7999999999997</v>
      </c>
      <c r="BB14" s="99">
        <v>8</v>
      </c>
      <c r="BC14" s="99">
        <v>3907.2</v>
      </c>
      <c r="BD14" s="99">
        <v>8</v>
      </c>
      <c r="BE14" s="99">
        <v>3907.2</v>
      </c>
      <c r="BF14" s="99">
        <v>10</v>
      </c>
      <c r="BG14" s="99">
        <v>4884</v>
      </c>
      <c r="BH14" s="99">
        <v>7</v>
      </c>
      <c r="BI14" s="99">
        <v>3418.7999999999997</v>
      </c>
      <c r="BJ14" s="99">
        <v>8</v>
      </c>
      <c r="BK14" s="99">
        <v>3907.2</v>
      </c>
      <c r="BL14" s="99">
        <v>9</v>
      </c>
      <c r="BM14" s="99">
        <v>4395.5999999999995</v>
      </c>
      <c r="BN14" s="99">
        <v>11.21268024708391</v>
      </c>
      <c r="BO14" s="99">
        <v>5476.273032675781</v>
      </c>
      <c r="BP14" s="99">
        <v>9</v>
      </c>
      <c r="BQ14" s="99">
        <v>4395.5999999999995</v>
      </c>
      <c r="BR14" s="99">
        <v>11</v>
      </c>
      <c r="BS14" s="99">
        <v>5372.4</v>
      </c>
      <c r="BT14" s="99">
        <v>10</v>
      </c>
      <c r="BU14" s="99">
        <v>4884</v>
      </c>
      <c r="BV14" s="99">
        <v>10</v>
      </c>
      <c r="BW14" s="99">
        <v>4884</v>
      </c>
      <c r="BX14" s="99">
        <v>7.7853497055518543</v>
      </c>
      <c r="BY14" s="99">
        <v>3802.3647961915253</v>
      </c>
      <c r="BZ14" s="99">
        <v>6</v>
      </c>
      <c r="CA14" s="99">
        <v>2930.3999999999996</v>
      </c>
      <c r="CB14" s="99">
        <v>9</v>
      </c>
      <c r="CC14" s="99">
        <v>4395.5999999999995</v>
      </c>
      <c r="CD14" s="99">
        <v>6</v>
      </c>
      <c r="CE14" s="99">
        <v>2930.3999999999996</v>
      </c>
      <c r="CF14" s="99">
        <v>8</v>
      </c>
      <c r="CG14" s="99">
        <v>3907.2</v>
      </c>
      <c r="CH14" s="99">
        <v>9</v>
      </c>
      <c r="CI14" s="99">
        <v>4395.5999999999995</v>
      </c>
      <c r="CJ14" s="99">
        <v>8</v>
      </c>
      <c r="CK14" s="99">
        <v>3907.2</v>
      </c>
      <c r="CL14" s="99">
        <v>11</v>
      </c>
      <c r="CM14" s="99">
        <v>5372.4</v>
      </c>
      <c r="CN14" s="99">
        <v>9</v>
      </c>
      <c r="CO14" s="99">
        <v>4395.5999999999995</v>
      </c>
      <c r="CP14" s="99">
        <v>9</v>
      </c>
      <c r="CQ14" s="99">
        <v>4395.5999999999995</v>
      </c>
      <c r="CR14" s="99">
        <v>9.2434195548110072</v>
      </c>
      <c r="CS14" s="99">
        <v>4514.4861105696955</v>
      </c>
      <c r="CT14" s="99">
        <v>8.2396894859259113</v>
      </c>
      <c r="CU14" s="99">
        <v>4024.264344926215</v>
      </c>
    </row>
    <row r="15" spans="1:99">
      <c r="C15" s="98" t="s">
        <v>180</v>
      </c>
      <c r="D15" s="99">
        <v>0</v>
      </c>
      <c r="E15" s="99">
        <v>0</v>
      </c>
      <c r="F15" s="99">
        <v>0</v>
      </c>
      <c r="G15" s="99">
        <v>0</v>
      </c>
      <c r="H15" s="99">
        <v>0</v>
      </c>
      <c r="I15" s="99">
        <v>0</v>
      </c>
      <c r="J15" s="99">
        <v>5.7550339061338729</v>
      </c>
      <c r="K15" s="99">
        <v>4392.2418771613711</v>
      </c>
      <c r="L15" s="99">
        <v>2.584764184765993</v>
      </c>
      <c r="M15" s="99">
        <v>1972.6920258134057</v>
      </c>
      <c r="N15" s="99">
        <v>8</v>
      </c>
      <c r="O15" s="99">
        <v>6105.5999999999995</v>
      </c>
      <c r="P15" s="99">
        <v>7</v>
      </c>
      <c r="Q15" s="99">
        <v>5342.4</v>
      </c>
      <c r="R15" s="99">
        <v>8</v>
      </c>
      <c r="S15" s="99">
        <v>6105.5999999999995</v>
      </c>
      <c r="T15" s="99">
        <v>5</v>
      </c>
      <c r="U15" s="99">
        <v>3815.9999999999995</v>
      </c>
      <c r="V15" s="99">
        <v>5</v>
      </c>
      <c r="W15" s="99">
        <v>3815.9999999999995</v>
      </c>
      <c r="X15" s="99">
        <v>5</v>
      </c>
      <c r="Y15" s="99">
        <v>3815.9999999999995</v>
      </c>
      <c r="Z15" s="99">
        <v>9</v>
      </c>
      <c r="AA15" s="99">
        <v>6868.7999999999993</v>
      </c>
      <c r="AB15" s="99">
        <v>7</v>
      </c>
      <c r="AC15" s="99">
        <v>5342.4</v>
      </c>
      <c r="AD15" s="99">
        <v>6</v>
      </c>
      <c r="AE15" s="99">
        <v>4579.2</v>
      </c>
      <c r="AF15" s="99">
        <v>7</v>
      </c>
      <c r="AG15" s="99">
        <v>5342.4</v>
      </c>
      <c r="AH15" s="99">
        <v>6</v>
      </c>
      <c r="AI15" s="99">
        <v>4579.2</v>
      </c>
      <c r="AJ15" s="99">
        <v>8</v>
      </c>
      <c r="AK15" s="99">
        <v>6105.5999999999995</v>
      </c>
      <c r="AL15" s="99">
        <v>8</v>
      </c>
      <c r="AM15" s="99">
        <v>6105.5999999999995</v>
      </c>
      <c r="AN15" s="99">
        <v>5</v>
      </c>
      <c r="AO15" s="99">
        <v>3815.9999999999995</v>
      </c>
      <c r="AP15" s="99">
        <v>8</v>
      </c>
      <c r="AQ15" s="99">
        <v>6105.5999999999995</v>
      </c>
      <c r="AR15" s="99">
        <v>8</v>
      </c>
      <c r="AS15" s="99">
        <v>6105.5999999999995</v>
      </c>
      <c r="AT15" s="99">
        <v>8.1999546022860379</v>
      </c>
      <c r="AU15" s="99">
        <v>6258.2053524647035</v>
      </c>
      <c r="AV15" s="99">
        <v>5</v>
      </c>
      <c r="AW15" s="99">
        <v>3815.9999999999995</v>
      </c>
      <c r="AX15" s="99">
        <v>7</v>
      </c>
      <c r="AY15" s="99">
        <v>5342.4</v>
      </c>
      <c r="AZ15" s="99">
        <v>7</v>
      </c>
      <c r="BA15" s="99">
        <v>5342.4</v>
      </c>
      <c r="BB15" s="99">
        <v>8</v>
      </c>
      <c r="BC15" s="99">
        <v>6105.5999999999995</v>
      </c>
      <c r="BD15" s="99">
        <v>7</v>
      </c>
      <c r="BE15" s="99">
        <v>5342.4</v>
      </c>
      <c r="BF15" s="99">
        <v>9</v>
      </c>
      <c r="BG15" s="99">
        <v>6868.7999999999993</v>
      </c>
      <c r="BH15" s="99">
        <v>9</v>
      </c>
      <c r="BI15" s="99">
        <v>6868.7999999999993</v>
      </c>
      <c r="BJ15" s="99">
        <v>7</v>
      </c>
      <c r="BK15" s="99">
        <v>5342.4</v>
      </c>
      <c r="BL15" s="99">
        <v>9</v>
      </c>
      <c r="BM15" s="99">
        <v>6868.7999999999993</v>
      </c>
      <c r="BN15" s="99">
        <v>11.347422496759899</v>
      </c>
      <c r="BO15" s="99">
        <v>8660.3528495271548</v>
      </c>
      <c r="BP15" s="99">
        <v>9</v>
      </c>
      <c r="BQ15" s="99">
        <v>6868.7999999999993</v>
      </c>
      <c r="BR15" s="99">
        <v>11</v>
      </c>
      <c r="BS15" s="99">
        <v>8395.1999999999989</v>
      </c>
      <c r="BT15" s="99">
        <v>9</v>
      </c>
      <c r="BU15" s="99">
        <v>6868.7999999999993</v>
      </c>
      <c r="BV15" s="99">
        <v>9</v>
      </c>
      <c r="BW15" s="99">
        <v>6868.7999999999993</v>
      </c>
      <c r="BX15" s="99">
        <v>7.7853497055518543</v>
      </c>
      <c r="BY15" s="99">
        <v>5941.7788952771743</v>
      </c>
      <c r="BZ15" s="99">
        <v>7</v>
      </c>
      <c r="CA15" s="99">
        <v>5342.4</v>
      </c>
      <c r="CB15" s="99">
        <v>9</v>
      </c>
      <c r="CC15" s="99">
        <v>6868.7999999999993</v>
      </c>
      <c r="CD15" s="99">
        <v>6</v>
      </c>
      <c r="CE15" s="99">
        <v>4579.2</v>
      </c>
      <c r="CF15" s="99">
        <v>9</v>
      </c>
      <c r="CG15" s="99">
        <v>6868.7999999999993</v>
      </c>
      <c r="CH15" s="99">
        <v>9</v>
      </c>
      <c r="CI15" s="99">
        <v>6868.7999999999993</v>
      </c>
      <c r="CJ15" s="99">
        <v>7</v>
      </c>
      <c r="CK15" s="99">
        <v>5342.4</v>
      </c>
      <c r="CL15" s="99">
        <v>11</v>
      </c>
      <c r="CM15" s="99">
        <v>8395.1999999999989</v>
      </c>
      <c r="CN15" s="99">
        <v>10</v>
      </c>
      <c r="CO15" s="99">
        <v>7631.9999999999991</v>
      </c>
      <c r="CP15" s="99">
        <v>10</v>
      </c>
      <c r="CQ15" s="99">
        <v>7631.9999999999991</v>
      </c>
      <c r="CR15" s="99">
        <v>9.2894721309151187</v>
      </c>
      <c r="CS15" s="99">
        <v>7089.7251303144176</v>
      </c>
      <c r="CT15" s="99">
        <v>7.3725133594179724</v>
      </c>
      <c r="CU15" s="99">
        <v>5626.7021959077956</v>
      </c>
    </row>
    <row r="16" spans="1:99">
      <c r="C16" s="98" t="s">
        <v>181</v>
      </c>
      <c r="D16" s="99">
        <v>0</v>
      </c>
      <c r="E16" s="99">
        <v>0</v>
      </c>
      <c r="F16" s="99">
        <v>0</v>
      </c>
      <c r="G16" s="99">
        <v>0</v>
      </c>
      <c r="H16" s="99">
        <v>0</v>
      </c>
      <c r="I16" s="99">
        <v>0</v>
      </c>
      <c r="J16" s="99">
        <v>5.7550339061338729</v>
      </c>
      <c r="K16" s="99">
        <v>1961.315555210424</v>
      </c>
      <c r="L16" s="99">
        <v>3.1017170217191916</v>
      </c>
      <c r="M16" s="99">
        <v>1057.0651610019006</v>
      </c>
      <c r="N16" s="99">
        <v>9</v>
      </c>
      <c r="O16" s="99">
        <v>3067.2000000000003</v>
      </c>
      <c r="P16" s="99">
        <v>9</v>
      </c>
      <c r="Q16" s="99">
        <v>3067.2000000000003</v>
      </c>
      <c r="R16" s="99">
        <v>9</v>
      </c>
      <c r="S16" s="99">
        <v>3067.2000000000003</v>
      </c>
      <c r="T16" s="99">
        <v>6</v>
      </c>
      <c r="U16" s="99">
        <v>2044.8000000000002</v>
      </c>
      <c r="V16" s="99">
        <v>6</v>
      </c>
      <c r="W16" s="99">
        <v>2044.8000000000002</v>
      </c>
      <c r="X16" s="99">
        <v>6</v>
      </c>
      <c r="Y16" s="99">
        <v>2044.8000000000002</v>
      </c>
      <c r="Z16" s="99">
        <v>8</v>
      </c>
      <c r="AA16" s="99">
        <v>2726.4</v>
      </c>
      <c r="AB16" s="99">
        <v>8</v>
      </c>
      <c r="AC16" s="99">
        <v>2726.4</v>
      </c>
      <c r="AD16" s="99">
        <v>6</v>
      </c>
      <c r="AE16" s="99">
        <v>2044.8000000000002</v>
      </c>
      <c r="AF16" s="99">
        <v>8</v>
      </c>
      <c r="AG16" s="99">
        <v>2726.4</v>
      </c>
      <c r="AH16" s="99">
        <v>6</v>
      </c>
      <c r="AI16" s="99">
        <v>2044.8000000000002</v>
      </c>
      <c r="AJ16" s="99">
        <v>8</v>
      </c>
      <c r="AK16" s="99">
        <v>2726.4</v>
      </c>
      <c r="AL16" s="99">
        <v>7</v>
      </c>
      <c r="AM16" s="99">
        <v>2385.6</v>
      </c>
      <c r="AN16" s="99">
        <v>6</v>
      </c>
      <c r="AO16" s="99">
        <v>2044.8000000000002</v>
      </c>
      <c r="AP16" s="99">
        <v>10</v>
      </c>
      <c r="AQ16" s="99">
        <v>3408</v>
      </c>
      <c r="AR16" s="99">
        <v>8</v>
      </c>
      <c r="AS16" s="99">
        <v>2726.4</v>
      </c>
      <c r="AT16" s="99">
        <v>8.0999583854288684</v>
      </c>
      <c r="AU16" s="99">
        <v>2760.4658177541583</v>
      </c>
      <c r="AV16" s="99">
        <v>5</v>
      </c>
      <c r="AW16" s="99">
        <v>1704</v>
      </c>
      <c r="AX16" s="99">
        <v>7</v>
      </c>
      <c r="AY16" s="99">
        <v>2385.6</v>
      </c>
      <c r="AZ16" s="99">
        <v>7</v>
      </c>
      <c r="BA16" s="99">
        <v>2385.6</v>
      </c>
      <c r="BB16" s="99">
        <v>7</v>
      </c>
      <c r="BC16" s="99">
        <v>2385.6</v>
      </c>
      <c r="BD16" s="99">
        <v>9</v>
      </c>
      <c r="BE16" s="99">
        <v>3067.2000000000003</v>
      </c>
      <c r="BF16" s="99">
        <v>10</v>
      </c>
      <c r="BG16" s="99">
        <v>3408</v>
      </c>
      <c r="BH16" s="99">
        <v>8</v>
      </c>
      <c r="BI16" s="99">
        <v>2726.4</v>
      </c>
      <c r="BJ16" s="99">
        <v>8</v>
      </c>
      <c r="BK16" s="99">
        <v>2726.4</v>
      </c>
      <c r="BL16" s="99">
        <v>8</v>
      </c>
      <c r="BM16" s="99">
        <v>2726.4</v>
      </c>
      <c r="BN16" s="99">
        <v>10.39233657998523</v>
      </c>
      <c r="BO16" s="99">
        <v>3541.7083064589665</v>
      </c>
      <c r="BP16" s="99">
        <v>9</v>
      </c>
      <c r="BQ16" s="99">
        <v>3067.2000000000003</v>
      </c>
      <c r="BR16" s="99">
        <v>11</v>
      </c>
      <c r="BS16" s="99">
        <v>3748.8</v>
      </c>
      <c r="BT16" s="99">
        <v>11</v>
      </c>
      <c r="BU16" s="99">
        <v>3748.8</v>
      </c>
      <c r="BV16" s="99">
        <v>10</v>
      </c>
      <c r="BW16" s="99">
        <v>3408</v>
      </c>
      <c r="BX16" s="99">
        <v>7.7853497055518543</v>
      </c>
      <c r="BY16" s="99">
        <v>2653.2471796520722</v>
      </c>
      <c r="BZ16" s="99">
        <v>7</v>
      </c>
      <c r="CA16" s="99">
        <v>2385.6</v>
      </c>
      <c r="CB16" s="99">
        <v>9</v>
      </c>
      <c r="CC16" s="99">
        <v>3067.2000000000003</v>
      </c>
      <c r="CD16" s="99">
        <v>6</v>
      </c>
      <c r="CE16" s="99">
        <v>2044.8000000000002</v>
      </c>
      <c r="CF16" s="99">
        <v>9</v>
      </c>
      <c r="CG16" s="99">
        <v>3067.2000000000003</v>
      </c>
      <c r="CH16" s="99">
        <v>8</v>
      </c>
      <c r="CI16" s="99">
        <v>2726.4</v>
      </c>
      <c r="CJ16" s="99">
        <v>8</v>
      </c>
      <c r="CK16" s="99">
        <v>2726.4</v>
      </c>
      <c r="CL16" s="99">
        <v>11</v>
      </c>
      <c r="CM16" s="99">
        <v>3748.8</v>
      </c>
      <c r="CN16" s="99">
        <v>10</v>
      </c>
      <c r="CO16" s="99">
        <v>3408</v>
      </c>
      <c r="CP16" s="99">
        <v>11</v>
      </c>
      <c r="CQ16" s="99">
        <v>3748.8</v>
      </c>
      <c r="CR16" s="99">
        <v>9</v>
      </c>
      <c r="CS16" s="99">
        <v>3067.2000000000003</v>
      </c>
      <c r="CT16" s="99">
        <v>8.3725133594179724</v>
      </c>
      <c r="CU16" s="99">
        <v>2853.3525528896453</v>
      </c>
    </row>
    <row r="17" spans="2:99">
      <c r="C17" s="98" t="s">
        <v>182</v>
      </c>
      <c r="D17" s="99">
        <v>0</v>
      </c>
      <c r="E17" s="99">
        <v>0</v>
      </c>
      <c r="F17" s="99">
        <v>0</v>
      </c>
      <c r="G17" s="99">
        <v>0</v>
      </c>
      <c r="H17" s="99">
        <v>0</v>
      </c>
      <c r="I17" s="99">
        <v>0</v>
      </c>
      <c r="J17" s="99">
        <v>5.0862284995360838</v>
      </c>
      <c r="K17" s="99">
        <v>2148.4229182040417</v>
      </c>
      <c r="L17" s="99">
        <v>2.584764184765993</v>
      </c>
      <c r="M17" s="99">
        <v>1091.8043916451554</v>
      </c>
      <c r="N17" s="99">
        <v>8</v>
      </c>
      <c r="O17" s="99">
        <v>3379.2</v>
      </c>
      <c r="P17" s="99">
        <v>8</v>
      </c>
      <c r="Q17" s="99">
        <v>3379.2</v>
      </c>
      <c r="R17" s="99">
        <v>9.3785300519083101</v>
      </c>
      <c r="S17" s="99">
        <v>3961.4910939260699</v>
      </c>
      <c r="T17" s="99">
        <v>6</v>
      </c>
      <c r="U17" s="99">
        <v>2534.3999999999996</v>
      </c>
      <c r="V17" s="99">
        <v>5</v>
      </c>
      <c r="W17" s="99">
        <v>2112</v>
      </c>
      <c r="X17" s="99">
        <v>5</v>
      </c>
      <c r="Y17" s="99">
        <v>2112</v>
      </c>
      <c r="Z17" s="99">
        <v>9</v>
      </c>
      <c r="AA17" s="99">
        <v>3801.6</v>
      </c>
      <c r="AB17" s="99">
        <v>6</v>
      </c>
      <c r="AC17" s="99">
        <v>2534.3999999999996</v>
      </c>
      <c r="AD17" s="99">
        <v>6</v>
      </c>
      <c r="AE17" s="99">
        <v>2534.3999999999996</v>
      </c>
      <c r="AF17" s="99">
        <v>8</v>
      </c>
      <c r="AG17" s="99">
        <v>3379.2</v>
      </c>
      <c r="AH17" s="99">
        <v>6</v>
      </c>
      <c r="AI17" s="99">
        <v>2534.3999999999996</v>
      </c>
      <c r="AJ17" s="99">
        <v>8</v>
      </c>
      <c r="AK17" s="99">
        <v>3379.2</v>
      </c>
      <c r="AL17" s="99">
        <v>8</v>
      </c>
      <c r="AM17" s="99">
        <v>3379.2</v>
      </c>
      <c r="AN17" s="99">
        <v>6</v>
      </c>
      <c r="AO17" s="99">
        <v>2534.3999999999996</v>
      </c>
      <c r="AP17" s="99">
        <v>8</v>
      </c>
      <c r="AQ17" s="99">
        <v>3379.2</v>
      </c>
      <c r="AR17" s="99">
        <v>7</v>
      </c>
      <c r="AS17" s="99">
        <v>2956.7999999999997</v>
      </c>
      <c r="AT17" s="99">
        <v>7.1999546022860388</v>
      </c>
      <c r="AU17" s="99">
        <v>3041.2608240056225</v>
      </c>
      <c r="AV17" s="99">
        <v>5</v>
      </c>
      <c r="AW17" s="99">
        <v>2112</v>
      </c>
      <c r="AX17" s="99">
        <v>6</v>
      </c>
      <c r="AY17" s="99">
        <v>2534.3999999999996</v>
      </c>
      <c r="AZ17" s="99">
        <v>7</v>
      </c>
      <c r="BA17" s="99">
        <v>2956.7999999999997</v>
      </c>
      <c r="BB17" s="99">
        <v>7</v>
      </c>
      <c r="BC17" s="99">
        <v>2956.7999999999997</v>
      </c>
      <c r="BD17" s="99">
        <v>9</v>
      </c>
      <c r="BE17" s="99">
        <v>3801.6</v>
      </c>
      <c r="BF17" s="99">
        <v>10</v>
      </c>
      <c r="BG17" s="99">
        <v>4224</v>
      </c>
      <c r="BH17" s="99">
        <v>8</v>
      </c>
      <c r="BI17" s="99">
        <v>3379.2</v>
      </c>
      <c r="BJ17" s="99">
        <v>8</v>
      </c>
      <c r="BK17" s="99">
        <v>3379.2</v>
      </c>
      <c r="BL17" s="99">
        <v>8</v>
      </c>
      <c r="BM17" s="99">
        <v>3379.2</v>
      </c>
      <c r="BN17" s="99">
        <v>10</v>
      </c>
      <c r="BO17" s="99">
        <v>4224</v>
      </c>
      <c r="BP17" s="99">
        <v>9</v>
      </c>
      <c r="BQ17" s="99">
        <v>3801.6</v>
      </c>
      <c r="BR17" s="99">
        <v>11</v>
      </c>
      <c r="BS17" s="99">
        <v>4646.3999999999996</v>
      </c>
      <c r="BT17" s="99">
        <v>10</v>
      </c>
      <c r="BU17" s="99">
        <v>4224</v>
      </c>
      <c r="BV17" s="99">
        <v>9</v>
      </c>
      <c r="BW17" s="99">
        <v>3801.6</v>
      </c>
      <c r="BX17" s="99">
        <v>7.5869775160460931</v>
      </c>
      <c r="BY17" s="99">
        <v>3204.7393027778694</v>
      </c>
      <c r="BZ17" s="99">
        <v>7</v>
      </c>
      <c r="CA17" s="99">
        <v>2956.7999999999997</v>
      </c>
      <c r="CB17" s="99">
        <v>10</v>
      </c>
      <c r="CC17" s="99">
        <v>4224</v>
      </c>
      <c r="CD17" s="99">
        <v>6</v>
      </c>
      <c r="CE17" s="99">
        <v>2534.3999999999996</v>
      </c>
      <c r="CF17" s="99">
        <v>10</v>
      </c>
      <c r="CG17" s="99">
        <v>4224</v>
      </c>
      <c r="CH17" s="99">
        <v>8</v>
      </c>
      <c r="CI17" s="99">
        <v>3379.2</v>
      </c>
      <c r="CJ17" s="99">
        <v>7</v>
      </c>
      <c r="CK17" s="99">
        <v>2956.7999999999997</v>
      </c>
      <c r="CL17" s="99">
        <v>11</v>
      </c>
      <c r="CM17" s="99">
        <v>4646.3999999999996</v>
      </c>
      <c r="CN17" s="99">
        <v>10</v>
      </c>
      <c r="CO17" s="99">
        <v>4224</v>
      </c>
      <c r="CP17" s="99">
        <v>10</v>
      </c>
      <c r="CQ17" s="99">
        <v>4224</v>
      </c>
      <c r="CR17" s="99">
        <v>9</v>
      </c>
      <c r="CS17" s="99">
        <v>3801.6</v>
      </c>
      <c r="CT17" s="99">
        <v>8.3725133594179724</v>
      </c>
      <c r="CU17" s="99">
        <v>3536.5496430181515</v>
      </c>
    </row>
    <row r="18" spans="2:99">
      <c r="C18" s="98" t="s">
        <v>183</v>
      </c>
      <c r="D18" s="99">
        <v>0</v>
      </c>
      <c r="E18" s="99">
        <v>0</v>
      </c>
      <c r="F18" s="99">
        <v>0</v>
      </c>
      <c r="G18" s="99">
        <v>0</v>
      </c>
      <c r="H18" s="99">
        <v>0</v>
      </c>
      <c r="I18" s="99">
        <v>0</v>
      </c>
      <c r="J18" s="99">
        <v>5.7908137747988517</v>
      </c>
      <c r="K18" s="99">
        <v>3780.2432321886899</v>
      </c>
      <c r="L18" s="99">
        <v>2.584764184765993</v>
      </c>
      <c r="M18" s="99">
        <v>1687.3340598152402</v>
      </c>
      <c r="N18" s="99">
        <v>8</v>
      </c>
      <c r="O18" s="99">
        <v>5222.3999999999996</v>
      </c>
      <c r="P18" s="99">
        <v>9</v>
      </c>
      <c r="Q18" s="99">
        <v>5875.2</v>
      </c>
      <c r="R18" s="99">
        <v>7</v>
      </c>
      <c r="S18" s="99">
        <v>4569.5999999999995</v>
      </c>
      <c r="T18" s="99">
        <v>5</v>
      </c>
      <c r="U18" s="99">
        <v>3264</v>
      </c>
      <c r="V18" s="99">
        <v>6</v>
      </c>
      <c r="W18" s="99">
        <v>3916.7999999999997</v>
      </c>
      <c r="X18" s="99">
        <v>6</v>
      </c>
      <c r="Y18" s="99">
        <v>3916.7999999999997</v>
      </c>
      <c r="Z18" s="99">
        <v>8</v>
      </c>
      <c r="AA18" s="99">
        <v>5222.3999999999996</v>
      </c>
      <c r="AB18" s="99">
        <v>7</v>
      </c>
      <c r="AC18" s="99">
        <v>4569.5999999999995</v>
      </c>
      <c r="AD18" s="99">
        <v>6</v>
      </c>
      <c r="AE18" s="99">
        <v>3916.7999999999997</v>
      </c>
      <c r="AF18" s="99">
        <v>7</v>
      </c>
      <c r="AG18" s="99">
        <v>4569.5999999999995</v>
      </c>
      <c r="AH18" s="99">
        <v>6</v>
      </c>
      <c r="AI18" s="99">
        <v>3916.7999999999997</v>
      </c>
      <c r="AJ18" s="99">
        <v>9</v>
      </c>
      <c r="AK18" s="99">
        <v>5875.2</v>
      </c>
      <c r="AL18" s="99">
        <v>8</v>
      </c>
      <c r="AM18" s="99">
        <v>5222.3999999999996</v>
      </c>
      <c r="AN18" s="99">
        <v>5</v>
      </c>
      <c r="AO18" s="99">
        <v>3264</v>
      </c>
      <c r="AP18" s="99">
        <v>9</v>
      </c>
      <c r="AQ18" s="99">
        <v>5875.2</v>
      </c>
      <c r="AR18" s="99">
        <v>8</v>
      </c>
      <c r="AS18" s="99">
        <v>5222.3999999999996</v>
      </c>
      <c r="AT18" s="99">
        <v>7.2499527107146235</v>
      </c>
      <c r="AU18" s="99">
        <v>4732.7691295545055</v>
      </c>
      <c r="AV18" s="99">
        <v>5</v>
      </c>
      <c r="AW18" s="99">
        <v>3264</v>
      </c>
      <c r="AX18" s="99">
        <v>7</v>
      </c>
      <c r="AY18" s="99">
        <v>4569.5999999999995</v>
      </c>
      <c r="AZ18" s="99">
        <v>8</v>
      </c>
      <c r="BA18" s="99">
        <v>5222.3999999999996</v>
      </c>
      <c r="BB18" s="99">
        <v>7</v>
      </c>
      <c r="BC18" s="99">
        <v>4569.5999999999995</v>
      </c>
      <c r="BD18" s="99">
        <v>8</v>
      </c>
      <c r="BE18" s="99">
        <v>5222.3999999999996</v>
      </c>
      <c r="BF18" s="99">
        <v>10</v>
      </c>
      <c r="BG18" s="99">
        <v>6528</v>
      </c>
      <c r="BH18" s="99">
        <v>8</v>
      </c>
      <c r="BI18" s="99">
        <v>5222.3999999999996</v>
      </c>
      <c r="BJ18" s="99">
        <v>8</v>
      </c>
      <c r="BK18" s="99">
        <v>5222.3999999999996</v>
      </c>
      <c r="BL18" s="99">
        <v>8</v>
      </c>
      <c r="BM18" s="99">
        <v>5222.3999999999996</v>
      </c>
      <c r="BN18" s="99">
        <v>10.30250841353457</v>
      </c>
      <c r="BO18" s="99">
        <v>6725.4774923553668</v>
      </c>
      <c r="BP18" s="99">
        <v>8</v>
      </c>
      <c r="BQ18" s="99">
        <v>5222.3999999999996</v>
      </c>
      <c r="BR18" s="99">
        <v>10</v>
      </c>
      <c r="BS18" s="99">
        <v>6528</v>
      </c>
      <c r="BT18" s="99">
        <v>9</v>
      </c>
      <c r="BU18" s="99">
        <v>5875.2</v>
      </c>
      <c r="BV18" s="99">
        <v>10</v>
      </c>
      <c r="BW18" s="99">
        <v>6528</v>
      </c>
      <c r="BX18" s="99">
        <v>8.8349427529282956</v>
      </c>
      <c r="BY18" s="99">
        <v>5767.4506291115913</v>
      </c>
      <c r="BZ18" s="99">
        <v>6</v>
      </c>
      <c r="CA18" s="99">
        <v>3916.7999999999997</v>
      </c>
      <c r="CB18" s="99">
        <v>8</v>
      </c>
      <c r="CC18" s="99">
        <v>5222.3999999999996</v>
      </c>
      <c r="CD18" s="99">
        <v>6</v>
      </c>
      <c r="CE18" s="99">
        <v>3916.7999999999997</v>
      </c>
      <c r="CF18" s="99">
        <v>9</v>
      </c>
      <c r="CG18" s="99">
        <v>5875.2</v>
      </c>
      <c r="CH18" s="99">
        <v>9</v>
      </c>
      <c r="CI18" s="99">
        <v>5875.2</v>
      </c>
      <c r="CJ18" s="99">
        <v>9</v>
      </c>
      <c r="CK18" s="99">
        <v>5875.2</v>
      </c>
      <c r="CL18" s="99">
        <v>10</v>
      </c>
      <c r="CM18" s="99">
        <v>6528</v>
      </c>
      <c r="CN18" s="99">
        <v>9</v>
      </c>
      <c r="CO18" s="99">
        <v>5875.2</v>
      </c>
      <c r="CP18" s="99">
        <v>9</v>
      </c>
      <c r="CQ18" s="99">
        <v>5875.2</v>
      </c>
      <c r="CR18" s="99">
        <v>10.151314402602784</v>
      </c>
      <c r="CS18" s="99">
        <v>6626.7780420190975</v>
      </c>
      <c r="CT18" s="99">
        <v>7.3282387349206184</v>
      </c>
      <c r="CU18" s="99">
        <v>4783.8742461561797</v>
      </c>
    </row>
    <row r="19" spans="2:99">
      <c r="C19" s="98" t="s">
        <v>184</v>
      </c>
      <c r="D19" s="99">
        <v>0</v>
      </c>
      <c r="E19" s="99">
        <v>0</v>
      </c>
      <c r="F19" s="99">
        <v>0</v>
      </c>
      <c r="G19" s="99">
        <v>0</v>
      </c>
      <c r="H19" s="99">
        <v>0</v>
      </c>
      <c r="I19" s="99">
        <v>0</v>
      </c>
      <c r="J19" s="99">
        <v>5.014668762206127</v>
      </c>
      <c r="K19" s="99">
        <v>1654.8406915280218</v>
      </c>
      <c r="L19" s="99">
        <v>3.1017170217191916</v>
      </c>
      <c r="M19" s="99">
        <v>1023.5666171673332</v>
      </c>
      <c r="N19" s="99">
        <v>8</v>
      </c>
      <c r="O19" s="99">
        <v>2640</v>
      </c>
      <c r="P19" s="99">
        <v>7</v>
      </c>
      <c r="Q19" s="99">
        <v>2310</v>
      </c>
      <c r="R19" s="99">
        <v>8</v>
      </c>
      <c r="S19" s="99">
        <v>2640</v>
      </c>
      <c r="T19" s="99">
        <v>6</v>
      </c>
      <c r="U19" s="99">
        <v>1980</v>
      </c>
      <c r="V19" s="99">
        <v>5</v>
      </c>
      <c r="W19" s="99">
        <v>1650</v>
      </c>
      <c r="X19" s="99">
        <v>6</v>
      </c>
      <c r="Y19" s="99">
        <v>1980</v>
      </c>
      <c r="Z19" s="99">
        <v>9</v>
      </c>
      <c r="AA19" s="99">
        <v>2970</v>
      </c>
      <c r="AB19" s="99">
        <v>8</v>
      </c>
      <c r="AC19" s="99">
        <v>2640</v>
      </c>
      <c r="AD19" s="99">
        <v>7</v>
      </c>
      <c r="AE19" s="99">
        <v>2310</v>
      </c>
      <c r="AF19" s="99">
        <v>7</v>
      </c>
      <c r="AG19" s="99">
        <v>2310</v>
      </c>
      <c r="AH19" s="99">
        <v>6</v>
      </c>
      <c r="AI19" s="99">
        <v>1980</v>
      </c>
      <c r="AJ19" s="99">
        <v>8</v>
      </c>
      <c r="AK19" s="99">
        <v>2640</v>
      </c>
      <c r="AL19" s="99">
        <v>7</v>
      </c>
      <c r="AM19" s="99">
        <v>2310</v>
      </c>
      <c r="AN19" s="99">
        <v>6</v>
      </c>
      <c r="AO19" s="99">
        <v>1980</v>
      </c>
      <c r="AP19" s="99">
        <v>8</v>
      </c>
      <c r="AQ19" s="99">
        <v>2640</v>
      </c>
      <c r="AR19" s="99">
        <v>8</v>
      </c>
      <c r="AS19" s="99">
        <v>2640</v>
      </c>
      <c r="AT19" s="99">
        <v>8.0999583854288684</v>
      </c>
      <c r="AU19" s="99">
        <v>2672.9862671915266</v>
      </c>
      <c r="AV19" s="99">
        <v>6</v>
      </c>
      <c r="AW19" s="99">
        <v>1980</v>
      </c>
      <c r="AX19" s="99">
        <v>7</v>
      </c>
      <c r="AY19" s="99">
        <v>2310</v>
      </c>
      <c r="AZ19" s="99">
        <v>8</v>
      </c>
      <c r="BA19" s="99">
        <v>2640</v>
      </c>
      <c r="BB19" s="99">
        <v>7</v>
      </c>
      <c r="BC19" s="99">
        <v>2310</v>
      </c>
      <c r="BD19" s="99">
        <v>8</v>
      </c>
      <c r="BE19" s="99">
        <v>2640</v>
      </c>
      <c r="BF19" s="99">
        <v>11</v>
      </c>
      <c r="BG19" s="99">
        <v>3630</v>
      </c>
      <c r="BH19" s="99">
        <v>8</v>
      </c>
      <c r="BI19" s="99">
        <v>2640</v>
      </c>
      <c r="BJ19" s="99">
        <v>8</v>
      </c>
      <c r="BK19" s="99">
        <v>2640</v>
      </c>
      <c r="BL19" s="99">
        <v>8</v>
      </c>
      <c r="BM19" s="99">
        <v>2640</v>
      </c>
      <c r="BN19" s="99">
        <v>10</v>
      </c>
      <c r="BO19" s="99">
        <v>3300</v>
      </c>
      <c r="BP19" s="99">
        <v>9</v>
      </c>
      <c r="BQ19" s="99">
        <v>2970</v>
      </c>
      <c r="BR19" s="99">
        <v>11</v>
      </c>
      <c r="BS19" s="99">
        <v>3630</v>
      </c>
      <c r="BT19" s="99">
        <v>10</v>
      </c>
      <c r="BU19" s="99">
        <v>3300</v>
      </c>
      <c r="BV19" s="99">
        <v>10</v>
      </c>
      <c r="BW19" s="99">
        <v>3300</v>
      </c>
      <c r="BX19" s="99">
        <v>7.735756658175414</v>
      </c>
      <c r="BY19" s="99">
        <v>2552.7996971978864</v>
      </c>
      <c r="BZ19" s="99">
        <v>6</v>
      </c>
      <c r="CA19" s="99">
        <v>1980</v>
      </c>
      <c r="CB19" s="99">
        <v>9</v>
      </c>
      <c r="CC19" s="99">
        <v>2970</v>
      </c>
      <c r="CD19" s="99">
        <v>6</v>
      </c>
      <c r="CE19" s="99">
        <v>1980</v>
      </c>
      <c r="CF19" s="99">
        <v>9</v>
      </c>
      <c r="CG19" s="99">
        <v>2970</v>
      </c>
      <c r="CH19" s="99">
        <v>8</v>
      </c>
      <c r="CI19" s="99">
        <v>2640</v>
      </c>
      <c r="CJ19" s="99">
        <v>9</v>
      </c>
      <c r="CK19" s="99">
        <v>2970</v>
      </c>
      <c r="CL19" s="99">
        <v>11</v>
      </c>
      <c r="CM19" s="99">
        <v>3630</v>
      </c>
      <c r="CN19" s="99">
        <v>10</v>
      </c>
      <c r="CO19" s="99">
        <v>3300</v>
      </c>
      <c r="CP19" s="99">
        <v>10</v>
      </c>
      <c r="CQ19" s="99">
        <v>3300</v>
      </c>
      <c r="CR19" s="99">
        <v>9.2434195548110072</v>
      </c>
      <c r="CS19" s="99">
        <v>3050.3284530876322</v>
      </c>
      <c r="CT19" s="99">
        <v>8.2396894859259113</v>
      </c>
      <c r="CU19" s="99">
        <v>2719.0975303555506</v>
      </c>
    </row>
    <row r="20" spans="2:99">
      <c r="B20" s="98" t="s">
        <v>127</v>
      </c>
      <c r="C20" s="98" t="s">
        <v>185</v>
      </c>
      <c r="D20" s="99">
        <v>0</v>
      </c>
      <c r="E20" s="99">
        <v>0</v>
      </c>
      <c r="F20" s="99">
        <v>0</v>
      </c>
      <c r="G20" s="99">
        <v>0</v>
      </c>
      <c r="H20" s="99">
        <v>0</v>
      </c>
      <c r="I20" s="99">
        <v>0</v>
      </c>
      <c r="J20" s="99">
        <v>8.1440165832052003</v>
      </c>
      <c r="K20" s="99">
        <v>2335.7039560632516</v>
      </c>
      <c r="L20" s="99">
        <v>5.6864812064851842</v>
      </c>
      <c r="M20" s="99">
        <v>1630.882810019951</v>
      </c>
      <c r="N20" s="99">
        <v>14</v>
      </c>
      <c r="O20" s="99">
        <v>4015.2000000000003</v>
      </c>
      <c r="P20" s="99">
        <v>13</v>
      </c>
      <c r="Q20" s="99">
        <v>3728.4</v>
      </c>
      <c r="R20" s="99">
        <v>11</v>
      </c>
      <c r="S20" s="99">
        <v>3154.8</v>
      </c>
      <c r="T20" s="99">
        <v>11</v>
      </c>
      <c r="U20" s="99">
        <v>3154.8</v>
      </c>
      <c r="V20" s="99">
        <v>9</v>
      </c>
      <c r="W20" s="99">
        <v>2581.2000000000003</v>
      </c>
      <c r="X20" s="99">
        <v>14</v>
      </c>
      <c r="Y20" s="99">
        <v>4015.2000000000003</v>
      </c>
      <c r="Z20" s="99">
        <v>14</v>
      </c>
      <c r="AA20" s="99">
        <v>4015.2000000000003</v>
      </c>
      <c r="AB20" s="99">
        <v>16</v>
      </c>
      <c r="AC20" s="99">
        <v>4588.8</v>
      </c>
      <c r="AD20" s="99">
        <v>11</v>
      </c>
      <c r="AE20" s="99">
        <v>3154.8</v>
      </c>
      <c r="AF20" s="99">
        <v>11</v>
      </c>
      <c r="AG20" s="99">
        <v>3154.8</v>
      </c>
      <c r="AH20" s="99">
        <v>13</v>
      </c>
      <c r="AI20" s="99">
        <v>3728.4</v>
      </c>
      <c r="AJ20" s="99">
        <v>12</v>
      </c>
      <c r="AK20" s="99">
        <v>3441.6000000000004</v>
      </c>
      <c r="AL20" s="99">
        <v>13</v>
      </c>
      <c r="AM20" s="99">
        <v>3728.4</v>
      </c>
      <c r="AN20" s="99">
        <v>10</v>
      </c>
      <c r="AO20" s="99">
        <v>2868</v>
      </c>
      <c r="AP20" s="99">
        <v>10</v>
      </c>
      <c r="AQ20" s="99">
        <v>2868</v>
      </c>
      <c r="AR20" s="99">
        <v>13</v>
      </c>
      <c r="AS20" s="99">
        <v>3728.4</v>
      </c>
      <c r="AT20" s="99">
        <v>13</v>
      </c>
      <c r="AU20" s="99">
        <v>3728.4</v>
      </c>
      <c r="AV20" s="99">
        <v>8</v>
      </c>
      <c r="AW20" s="99">
        <v>2294.4</v>
      </c>
      <c r="AX20" s="99">
        <v>8</v>
      </c>
      <c r="AY20" s="99">
        <v>2294.4</v>
      </c>
      <c r="AZ20" s="99">
        <v>13</v>
      </c>
      <c r="BA20" s="99">
        <v>3728.4</v>
      </c>
      <c r="BB20" s="99">
        <v>9</v>
      </c>
      <c r="BC20" s="99">
        <v>2581.2000000000003</v>
      </c>
      <c r="BD20" s="99">
        <v>14</v>
      </c>
      <c r="BE20" s="99">
        <v>4015.2000000000003</v>
      </c>
      <c r="BF20" s="99">
        <v>11</v>
      </c>
      <c r="BG20" s="99">
        <v>3154.8</v>
      </c>
      <c r="BH20" s="99">
        <v>11</v>
      </c>
      <c r="BI20" s="99">
        <v>3154.8</v>
      </c>
      <c r="BJ20" s="99">
        <v>10</v>
      </c>
      <c r="BK20" s="99">
        <v>2868</v>
      </c>
      <c r="BL20" s="99">
        <v>16</v>
      </c>
      <c r="BM20" s="99">
        <v>4588.8</v>
      </c>
      <c r="BN20" s="99">
        <v>10</v>
      </c>
      <c r="BO20" s="99">
        <v>2868</v>
      </c>
      <c r="BP20" s="99">
        <v>13</v>
      </c>
      <c r="BQ20" s="99">
        <v>3728.4</v>
      </c>
      <c r="BR20" s="99">
        <v>11</v>
      </c>
      <c r="BS20" s="99">
        <v>3154.8</v>
      </c>
      <c r="BT20" s="99">
        <v>11</v>
      </c>
      <c r="BU20" s="99">
        <v>3154.8</v>
      </c>
      <c r="BV20" s="99">
        <v>14</v>
      </c>
      <c r="BW20" s="99">
        <v>4015.2000000000003</v>
      </c>
      <c r="BX20" s="99">
        <v>10</v>
      </c>
      <c r="BY20" s="99">
        <v>2868</v>
      </c>
      <c r="BZ20" s="99">
        <v>8</v>
      </c>
      <c r="CA20" s="99">
        <v>2294.4</v>
      </c>
      <c r="CB20" s="99">
        <v>12</v>
      </c>
      <c r="CC20" s="99">
        <v>3441.6000000000004</v>
      </c>
      <c r="CD20" s="99">
        <v>8</v>
      </c>
      <c r="CE20" s="99">
        <v>2294.4</v>
      </c>
      <c r="CF20" s="99">
        <v>11</v>
      </c>
      <c r="CG20" s="99">
        <v>3154.8</v>
      </c>
      <c r="CH20" s="99">
        <v>17</v>
      </c>
      <c r="CI20" s="99">
        <v>4875.6000000000004</v>
      </c>
      <c r="CJ20" s="99">
        <v>11</v>
      </c>
      <c r="CK20" s="99">
        <v>3154.8</v>
      </c>
      <c r="CL20" s="99">
        <v>16</v>
      </c>
      <c r="CM20" s="99">
        <v>4588.8</v>
      </c>
      <c r="CN20" s="99">
        <v>14</v>
      </c>
      <c r="CO20" s="99">
        <v>4015.2000000000003</v>
      </c>
      <c r="CP20" s="99">
        <v>14</v>
      </c>
      <c r="CQ20" s="99">
        <v>4015.2000000000003</v>
      </c>
      <c r="CR20" s="99">
        <v>12</v>
      </c>
      <c r="CS20" s="99">
        <v>3441.6000000000004</v>
      </c>
      <c r="CT20" s="99">
        <v>10</v>
      </c>
      <c r="CU20" s="99">
        <v>2868</v>
      </c>
    </row>
    <row r="21" spans="2:99">
      <c r="C21" s="98" t="s">
        <v>186</v>
      </c>
      <c r="D21" s="99">
        <v>0</v>
      </c>
      <c r="E21" s="99">
        <v>0</v>
      </c>
      <c r="F21" s="99">
        <v>0</v>
      </c>
      <c r="G21" s="99">
        <v>0</v>
      </c>
      <c r="H21" s="99">
        <v>0</v>
      </c>
      <c r="I21" s="99">
        <v>0</v>
      </c>
      <c r="J21" s="99">
        <v>8.1440165832052003</v>
      </c>
      <c r="K21" s="99">
        <v>508.1866347920045</v>
      </c>
      <c r="L21" s="99">
        <v>5.6864812064851842</v>
      </c>
      <c r="M21" s="99">
        <v>354.83642728467549</v>
      </c>
      <c r="N21" s="99">
        <v>13</v>
      </c>
      <c r="O21" s="99">
        <v>811.19999999999993</v>
      </c>
      <c r="P21" s="99">
        <v>13</v>
      </c>
      <c r="Q21" s="99">
        <v>811.19999999999993</v>
      </c>
      <c r="R21" s="99">
        <v>12</v>
      </c>
      <c r="S21" s="99">
        <v>748.8</v>
      </c>
      <c r="T21" s="99">
        <v>11</v>
      </c>
      <c r="U21" s="99">
        <v>686.4</v>
      </c>
      <c r="V21" s="99">
        <v>8</v>
      </c>
      <c r="W21" s="99">
        <v>499.2</v>
      </c>
      <c r="X21" s="99">
        <v>14</v>
      </c>
      <c r="Y21" s="99">
        <v>873.6</v>
      </c>
      <c r="Z21" s="99">
        <v>16</v>
      </c>
      <c r="AA21" s="99">
        <v>998.4</v>
      </c>
      <c r="AB21" s="99">
        <v>14</v>
      </c>
      <c r="AC21" s="99">
        <v>873.6</v>
      </c>
      <c r="AD21" s="99">
        <v>9</v>
      </c>
      <c r="AE21" s="99">
        <v>561.6</v>
      </c>
      <c r="AF21" s="99">
        <v>13</v>
      </c>
      <c r="AG21" s="99">
        <v>811.19999999999993</v>
      </c>
      <c r="AH21" s="99">
        <v>12</v>
      </c>
      <c r="AI21" s="99">
        <v>748.8</v>
      </c>
      <c r="AJ21" s="99">
        <v>13</v>
      </c>
      <c r="AK21" s="99">
        <v>811.19999999999993</v>
      </c>
      <c r="AL21" s="99">
        <v>13</v>
      </c>
      <c r="AM21" s="99">
        <v>811.19999999999993</v>
      </c>
      <c r="AN21" s="99">
        <v>11</v>
      </c>
      <c r="AO21" s="99">
        <v>686.4</v>
      </c>
      <c r="AP21" s="99">
        <v>11</v>
      </c>
      <c r="AQ21" s="99">
        <v>686.4</v>
      </c>
      <c r="AR21" s="99">
        <v>12</v>
      </c>
      <c r="AS21" s="99">
        <v>748.8</v>
      </c>
      <c r="AT21" s="99">
        <v>13</v>
      </c>
      <c r="AU21" s="99">
        <v>811.19999999999993</v>
      </c>
      <c r="AV21" s="99">
        <v>9</v>
      </c>
      <c r="AW21" s="99">
        <v>561.6</v>
      </c>
      <c r="AX21" s="99">
        <v>8</v>
      </c>
      <c r="AY21" s="99">
        <v>499.2</v>
      </c>
      <c r="AZ21" s="99">
        <v>14</v>
      </c>
      <c r="BA21" s="99">
        <v>873.6</v>
      </c>
      <c r="BB21" s="99">
        <v>9</v>
      </c>
      <c r="BC21" s="99">
        <v>561.6</v>
      </c>
      <c r="BD21" s="99">
        <v>11</v>
      </c>
      <c r="BE21" s="99">
        <v>686.4</v>
      </c>
      <c r="BF21" s="99">
        <v>10</v>
      </c>
      <c r="BG21" s="99">
        <v>624</v>
      </c>
      <c r="BH21" s="99">
        <v>11</v>
      </c>
      <c r="BI21" s="99">
        <v>686.4</v>
      </c>
      <c r="BJ21" s="99">
        <v>10</v>
      </c>
      <c r="BK21" s="99">
        <v>624</v>
      </c>
      <c r="BL21" s="99">
        <v>15</v>
      </c>
      <c r="BM21" s="99">
        <v>936</v>
      </c>
      <c r="BN21" s="99">
        <v>10</v>
      </c>
      <c r="BO21" s="99">
        <v>624</v>
      </c>
      <c r="BP21" s="99">
        <v>13</v>
      </c>
      <c r="BQ21" s="99">
        <v>811.19999999999993</v>
      </c>
      <c r="BR21" s="99">
        <v>11</v>
      </c>
      <c r="BS21" s="99">
        <v>686.4</v>
      </c>
      <c r="BT21" s="99">
        <v>9</v>
      </c>
      <c r="BU21" s="99">
        <v>561.6</v>
      </c>
      <c r="BV21" s="99">
        <v>15</v>
      </c>
      <c r="BW21" s="99">
        <v>936</v>
      </c>
      <c r="BX21" s="99">
        <v>10</v>
      </c>
      <c r="BY21" s="99">
        <v>624</v>
      </c>
      <c r="BZ21" s="99">
        <v>9</v>
      </c>
      <c r="CA21" s="99">
        <v>561.6</v>
      </c>
      <c r="CB21" s="99">
        <v>13</v>
      </c>
      <c r="CC21" s="99">
        <v>811.19999999999993</v>
      </c>
      <c r="CD21" s="99">
        <v>8</v>
      </c>
      <c r="CE21" s="99">
        <v>499.2</v>
      </c>
      <c r="CF21" s="99">
        <v>10</v>
      </c>
      <c r="CG21" s="99">
        <v>624</v>
      </c>
      <c r="CH21" s="99">
        <v>15</v>
      </c>
      <c r="CI21" s="99">
        <v>936</v>
      </c>
      <c r="CJ21" s="99">
        <v>13</v>
      </c>
      <c r="CK21" s="99">
        <v>811.19999999999993</v>
      </c>
      <c r="CL21" s="99">
        <v>17</v>
      </c>
      <c r="CM21" s="99">
        <v>1060.8</v>
      </c>
      <c r="CN21" s="99">
        <v>13</v>
      </c>
      <c r="CO21" s="99">
        <v>811.19999999999993</v>
      </c>
      <c r="CP21" s="99">
        <v>15</v>
      </c>
      <c r="CQ21" s="99">
        <v>936</v>
      </c>
      <c r="CR21" s="99">
        <v>11</v>
      </c>
      <c r="CS21" s="99">
        <v>686.4</v>
      </c>
      <c r="CT21" s="99">
        <v>10</v>
      </c>
      <c r="CU21" s="99">
        <v>624</v>
      </c>
    </row>
    <row r="22" spans="2:99">
      <c r="C22" s="98" t="s">
        <v>187</v>
      </c>
      <c r="D22" s="99">
        <v>0</v>
      </c>
      <c r="E22" s="99">
        <v>0</v>
      </c>
      <c r="F22" s="99">
        <v>0</v>
      </c>
      <c r="G22" s="99">
        <v>0</v>
      </c>
      <c r="H22" s="99">
        <v>0</v>
      </c>
      <c r="I22" s="99">
        <v>0</v>
      </c>
      <c r="J22" s="99">
        <v>8.8843817271329453</v>
      </c>
      <c r="K22" s="99">
        <v>1663.1562593192873</v>
      </c>
      <c r="L22" s="99">
        <v>6.2034340434383832</v>
      </c>
      <c r="M22" s="99">
        <v>1161.2828529316653</v>
      </c>
      <c r="N22" s="99">
        <v>13</v>
      </c>
      <c r="O22" s="99">
        <v>2433.6</v>
      </c>
      <c r="P22" s="99">
        <v>13</v>
      </c>
      <c r="Q22" s="99">
        <v>2433.6</v>
      </c>
      <c r="R22" s="99">
        <v>12</v>
      </c>
      <c r="S22" s="99">
        <v>2246.3999999999996</v>
      </c>
      <c r="T22" s="99">
        <v>13</v>
      </c>
      <c r="U22" s="99">
        <v>2433.6</v>
      </c>
      <c r="V22" s="99">
        <v>9</v>
      </c>
      <c r="W22" s="99">
        <v>1684.8</v>
      </c>
      <c r="X22" s="99">
        <v>13</v>
      </c>
      <c r="Y22" s="99">
        <v>2433.6</v>
      </c>
      <c r="Z22" s="99">
        <v>14</v>
      </c>
      <c r="AA22" s="99">
        <v>2620.7999999999997</v>
      </c>
      <c r="AB22" s="99">
        <v>14</v>
      </c>
      <c r="AC22" s="99">
        <v>2620.7999999999997</v>
      </c>
      <c r="AD22" s="99">
        <v>11</v>
      </c>
      <c r="AE22" s="99">
        <v>2059.1999999999998</v>
      </c>
      <c r="AF22" s="99">
        <v>11</v>
      </c>
      <c r="AG22" s="99">
        <v>2059.1999999999998</v>
      </c>
      <c r="AH22" s="99">
        <v>12</v>
      </c>
      <c r="AI22" s="99">
        <v>2246.3999999999996</v>
      </c>
      <c r="AJ22" s="99">
        <v>13</v>
      </c>
      <c r="AK22" s="99">
        <v>2433.6</v>
      </c>
      <c r="AL22" s="99">
        <v>13</v>
      </c>
      <c r="AM22" s="99">
        <v>2433.6</v>
      </c>
      <c r="AN22" s="99">
        <v>12</v>
      </c>
      <c r="AO22" s="99">
        <v>2246.3999999999996</v>
      </c>
      <c r="AP22" s="99">
        <v>10</v>
      </c>
      <c r="AQ22" s="99">
        <v>1872</v>
      </c>
      <c r="AR22" s="99">
        <v>14</v>
      </c>
      <c r="AS22" s="99">
        <v>2620.7999999999997</v>
      </c>
      <c r="AT22" s="99">
        <v>13</v>
      </c>
      <c r="AU22" s="99">
        <v>2433.6</v>
      </c>
      <c r="AV22" s="99">
        <v>8</v>
      </c>
      <c r="AW22" s="99">
        <v>1497.6</v>
      </c>
      <c r="AX22" s="99">
        <v>8</v>
      </c>
      <c r="AY22" s="99">
        <v>1497.6</v>
      </c>
      <c r="AZ22" s="99">
        <v>13</v>
      </c>
      <c r="BA22" s="99">
        <v>2433.6</v>
      </c>
      <c r="BB22" s="99">
        <v>8</v>
      </c>
      <c r="BC22" s="99">
        <v>1497.6</v>
      </c>
      <c r="BD22" s="99">
        <v>13</v>
      </c>
      <c r="BE22" s="99">
        <v>2433.6</v>
      </c>
      <c r="BF22" s="99">
        <v>11</v>
      </c>
      <c r="BG22" s="99">
        <v>2059.1999999999998</v>
      </c>
      <c r="BH22" s="99">
        <v>11</v>
      </c>
      <c r="BI22" s="99">
        <v>2059.1999999999998</v>
      </c>
      <c r="BJ22" s="99">
        <v>9</v>
      </c>
      <c r="BK22" s="99">
        <v>1684.8</v>
      </c>
      <c r="BL22" s="99">
        <v>15</v>
      </c>
      <c r="BM22" s="99">
        <v>2808</v>
      </c>
      <c r="BN22" s="99">
        <v>11</v>
      </c>
      <c r="BO22" s="99">
        <v>2059.1999999999998</v>
      </c>
      <c r="BP22" s="99">
        <v>13</v>
      </c>
      <c r="BQ22" s="99">
        <v>2433.6</v>
      </c>
      <c r="BR22" s="99">
        <v>9</v>
      </c>
      <c r="BS22" s="99">
        <v>1684.8</v>
      </c>
      <c r="BT22" s="99">
        <v>10</v>
      </c>
      <c r="BU22" s="99">
        <v>1872</v>
      </c>
      <c r="BV22" s="99">
        <v>13</v>
      </c>
      <c r="BW22" s="99">
        <v>2433.6</v>
      </c>
      <c r="BX22" s="99">
        <v>9</v>
      </c>
      <c r="BY22" s="99">
        <v>1684.8</v>
      </c>
      <c r="BZ22" s="99">
        <v>8</v>
      </c>
      <c r="CA22" s="99">
        <v>1497.6</v>
      </c>
      <c r="CB22" s="99">
        <v>12</v>
      </c>
      <c r="CC22" s="99">
        <v>2246.3999999999996</v>
      </c>
      <c r="CD22" s="99">
        <v>8</v>
      </c>
      <c r="CE22" s="99">
        <v>1497.6</v>
      </c>
      <c r="CF22" s="99">
        <v>11</v>
      </c>
      <c r="CG22" s="99">
        <v>2059.1999999999998</v>
      </c>
      <c r="CH22" s="99">
        <v>17</v>
      </c>
      <c r="CI22" s="99">
        <v>3182.3999999999996</v>
      </c>
      <c r="CJ22" s="99">
        <v>12</v>
      </c>
      <c r="CK22" s="99">
        <v>2246.3999999999996</v>
      </c>
      <c r="CL22" s="99">
        <v>18</v>
      </c>
      <c r="CM22" s="99">
        <v>3369.6</v>
      </c>
      <c r="CN22" s="99">
        <v>13</v>
      </c>
      <c r="CO22" s="99">
        <v>2433.6</v>
      </c>
      <c r="CP22" s="99">
        <v>17</v>
      </c>
      <c r="CQ22" s="99">
        <v>3182.3999999999996</v>
      </c>
      <c r="CR22" s="99">
        <v>11</v>
      </c>
      <c r="CS22" s="99">
        <v>2059.1999999999998</v>
      </c>
      <c r="CT22" s="99">
        <v>10</v>
      </c>
      <c r="CU22" s="99">
        <v>1872</v>
      </c>
    </row>
    <row r="23" spans="2:99">
      <c r="C23" s="98" t="s">
        <v>188</v>
      </c>
      <c r="D23" s="99">
        <v>0</v>
      </c>
      <c r="E23" s="99">
        <v>0</v>
      </c>
      <c r="F23" s="99">
        <v>0</v>
      </c>
      <c r="G23" s="99">
        <v>0</v>
      </c>
      <c r="H23" s="99">
        <v>0</v>
      </c>
      <c r="I23" s="99">
        <v>0</v>
      </c>
      <c r="J23" s="99">
        <v>8.8843817271329453</v>
      </c>
      <c r="K23" s="99">
        <v>2612.0082277770857</v>
      </c>
      <c r="L23" s="99">
        <v>5.169528369531986</v>
      </c>
      <c r="M23" s="99">
        <v>1519.8413406424038</v>
      </c>
      <c r="N23" s="99">
        <v>13</v>
      </c>
      <c r="O23" s="99">
        <v>3822</v>
      </c>
      <c r="P23" s="99">
        <v>13</v>
      </c>
      <c r="Q23" s="99">
        <v>3822</v>
      </c>
      <c r="R23" s="99">
        <v>12</v>
      </c>
      <c r="S23" s="99">
        <v>3528</v>
      </c>
      <c r="T23" s="99">
        <v>13</v>
      </c>
      <c r="U23" s="99">
        <v>3822</v>
      </c>
      <c r="V23" s="99">
        <v>9</v>
      </c>
      <c r="W23" s="99">
        <v>2646</v>
      </c>
      <c r="X23" s="99">
        <v>13</v>
      </c>
      <c r="Y23" s="99">
        <v>3822</v>
      </c>
      <c r="Z23" s="99">
        <v>14</v>
      </c>
      <c r="AA23" s="99">
        <v>4116</v>
      </c>
      <c r="AB23" s="99">
        <v>13</v>
      </c>
      <c r="AC23" s="99">
        <v>3822</v>
      </c>
      <c r="AD23" s="99">
        <v>9</v>
      </c>
      <c r="AE23" s="99">
        <v>2646</v>
      </c>
      <c r="AF23" s="99">
        <v>11</v>
      </c>
      <c r="AG23" s="99">
        <v>3234</v>
      </c>
      <c r="AH23" s="99">
        <v>12</v>
      </c>
      <c r="AI23" s="99">
        <v>3528</v>
      </c>
      <c r="AJ23" s="99">
        <v>11</v>
      </c>
      <c r="AK23" s="99">
        <v>3234</v>
      </c>
      <c r="AL23" s="99">
        <v>14</v>
      </c>
      <c r="AM23" s="99">
        <v>4116</v>
      </c>
      <c r="AN23" s="99">
        <v>12</v>
      </c>
      <c r="AO23" s="99">
        <v>3528</v>
      </c>
      <c r="AP23" s="99">
        <v>10</v>
      </c>
      <c r="AQ23" s="99">
        <v>2940</v>
      </c>
      <c r="AR23" s="99">
        <v>13</v>
      </c>
      <c r="AS23" s="99">
        <v>3822</v>
      </c>
      <c r="AT23" s="99">
        <v>14</v>
      </c>
      <c r="AU23" s="99">
        <v>4116</v>
      </c>
      <c r="AV23" s="99">
        <v>8</v>
      </c>
      <c r="AW23" s="99">
        <v>2352</v>
      </c>
      <c r="AX23" s="99">
        <v>7</v>
      </c>
      <c r="AY23" s="99">
        <v>2058</v>
      </c>
      <c r="AZ23" s="99">
        <v>13</v>
      </c>
      <c r="BA23" s="99">
        <v>3822</v>
      </c>
      <c r="BB23" s="99">
        <v>8</v>
      </c>
      <c r="BC23" s="99">
        <v>2352</v>
      </c>
      <c r="BD23" s="99">
        <v>12</v>
      </c>
      <c r="BE23" s="99">
        <v>3528</v>
      </c>
      <c r="BF23" s="99">
        <v>12</v>
      </c>
      <c r="BG23" s="99">
        <v>3528</v>
      </c>
      <c r="BH23" s="99">
        <v>10</v>
      </c>
      <c r="BI23" s="99">
        <v>2940</v>
      </c>
      <c r="BJ23" s="99">
        <v>10</v>
      </c>
      <c r="BK23" s="99">
        <v>2940</v>
      </c>
      <c r="BL23" s="99">
        <v>15</v>
      </c>
      <c r="BM23" s="99">
        <v>4410</v>
      </c>
      <c r="BN23" s="99">
        <v>10</v>
      </c>
      <c r="BO23" s="99">
        <v>2940</v>
      </c>
      <c r="BP23" s="99">
        <v>13</v>
      </c>
      <c r="BQ23" s="99">
        <v>3822</v>
      </c>
      <c r="BR23" s="99">
        <v>10</v>
      </c>
      <c r="BS23" s="99">
        <v>2940</v>
      </c>
      <c r="BT23" s="99">
        <v>10</v>
      </c>
      <c r="BU23" s="99">
        <v>2940</v>
      </c>
      <c r="BV23" s="99">
        <v>14</v>
      </c>
      <c r="BW23" s="99">
        <v>4116</v>
      </c>
      <c r="BX23" s="99">
        <v>10</v>
      </c>
      <c r="BY23" s="99">
        <v>2940</v>
      </c>
      <c r="BZ23" s="99">
        <v>9</v>
      </c>
      <c r="CA23" s="99">
        <v>2646</v>
      </c>
      <c r="CB23" s="99">
        <v>13</v>
      </c>
      <c r="CC23" s="99">
        <v>3822</v>
      </c>
      <c r="CD23" s="99">
        <v>9</v>
      </c>
      <c r="CE23" s="99">
        <v>2646</v>
      </c>
      <c r="CF23" s="99">
        <v>9</v>
      </c>
      <c r="CG23" s="99">
        <v>2646</v>
      </c>
      <c r="CH23" s="99">
        <v>16</v>
      </c>
      <c r="CI23" s="99">
        <v>4704</v>
      </c>
      <c r="CJ23" s="99">
        <v>11</v>
      </c>
      <c r="CK23" s="99">
        <v>3234</v>
      </c>
      <c r="CL23" s="99">
        <v>16</v>
      </c>
      <c r="CM23" s="99">
        <v>4704</v>
      </c>
      <c r="CN23" s="99">
        <v>13</v>
      </c>
      <c r="CO23" s="99">
        <v>3822</v>
      </c>
      <c r="CP23" s="99">
        <v>17</v>
      </c>
      <c r="CQ23" s="99">
        <v>4998</v>
      </c>
      <c r="CR23" s="99">
        <v>12</v>
      </c>
      <c r="CS23" s="99">
        <v>3528</v>
      </c>
      <c r="CT23" s="99">
        <v>9</v>
      </c>
      <c r="CU23" s="99">
        <v>2646</v>
      </c>
    </row>
    <row r="24" spans="2:99">
      <c r="C24" s="98" t="s">
        <v>189</v>
      </c>
      <c r="D24" s="99">
        <v>0</v>
      </c>
      <c r="E24" s="99">
        <v>0</v>
      </c>
      <c r="F24" s="99">
        <v>0</v>
      </c>
      <c r="G24" s="99">
        <v>0</v>
      </c>
      <c r="H24" s="99">
        <v>0</v>
      </c>
      <c r="I24" s="99">
        <v>0</v>
      </c>
      <c r="J24" s="99">
        <v>9.6247468710606903</v>
      </c>
      <c r="K24" s="99">
        <v>3534.2070510534854</v>
      </c>
      <c r="L24" s="99">
        <v>5.169528369531986</v>
      </c>
      <c r="M24" s="99">
        <v>1898.2508172921453</v>
      </c>
      <c r="N24" s="99">
        <v>13</v>
      </c>
      <c r="O24" s="99">
        <v>4773.5999999999995</v>
      </c>
      <c r="P24" s="99">
        <v>13</v>
      </c>
      <c r="Q24" s="99">
        <v>4773.5999999999995</v>
      </c>
      <c r="R24" s="99">
        <v>11</v>
      </c>
      <c r="S24" s="99">
        <v>4039.2</v>
      </c>
      <c r="T24" s="99">
        <v>11</v>
      </c>
      <c r="U24" s="99">
        <v>4039.2</v>
      </c>
      <c r="V24" s="99">
        <v>9</v>
      </c>
      <c r="W24" s="99">
        <v>3304.7999999999997</v>
      </c>
      <c r="X24" s="99">
        <v>14</v>
      </c>
      <c r="Y24" s="99">
        <v>5140.8</v>
      </c>
      <c r="Z24" s="99">
        <v>15</v>
      </c>
      <c r="AA24" s="99">
        <v>5508</v>
      </c>
      <c r="AB24" s="99">
        <v>14</v>
      </c>
      <c r="AC24" s="99">
        <v>5140.8</v>
      </c>
      <c r="AD24" s="99">
        <v>10</v>
      </c>
      <c r="AE24" s="99">
        <v>3672</v>
      </c>
      <c r="AF24" s="99">
        <v>12</v>
      </c>
      <c r="AG24" s="99">
        <v>4406.3999999999996</v>
      </c>
      <c r="AH24" s="99">
        <v>12</v>
      </c>
      <c r="AI24" s="99">
        <v>4406.3999999999996</v>
      </c>
      <c r="AJ24" s="99">
        <v>13</v>
      </c>
      <c r="AK24" s="99">
        <v>4773.5999999999995</v>
      </c>
      <c r="AL24" s="99">
        <v>13</v>
      </c>
      <c r="AM24" s="99">
        <v>4773.5999999999995</v>
      </c>
      <c r="AN24" s="99">
        <v>10</v>
      </c>
      <c r="AO24" s="99">
        <v>3672</v>
      </c>
      <c r="AP24" s="99">
        <v>9</v>
      </c>
      <c r="AQ24" s="99">
        <v>3304.7999999999997</v>
      </c>
      <c r="AR24" s="99">
        <v>13</v>
      </c>
      <c r="AS24" s="99">
        <v>4773.5999999999995</v>
      </c>
      <c r="AT24" s="99">
        <v>12</v>
      </c>
      <c r="AU24" s="99">
        <v>4406.3999999999996</v>
      </c>
      <c r="AV24" s="99">
        <v>7</v>
      </c>
      <c r="AW24" s="99">
        <v>2570.4</v>
      </c>
      <c r="AX24" s="99">
        <v>8</v>
      </c>
      <c r="AY24" s="99">
        <v>2937.6</v>
      </c>
      <c r="AZ24" s="99">
        <v>14</v>
      </c>
      <c r="BA24" s="99">
        <v>5140.8</v>
      </c>
      <c r="BB24" s="99">
        <v>8</v>
      </c>
      <c r="BC24" s="99">
        <v>2937.6</v>
      </c>
      <c r="BD24" s="99">
        <v>12</v>
      </c>
      <c r="BE24" s="99">
        <v>4406.3999999999996</v>
      </c>
      <c r="BF24" s="99">
        <v>12</v>
      </c>
      <c r="BG24" s="99">
        <v>4406.3999999999996</v>
      </c>
      <c r="BH24" s="99">
        <v>10</v>
      </c>
      <c r="BI24" s="99">
        <v>3672</v>
      </c>
      <c r="BJ24" s="99">
        <v>10</v>
      </c>
      <c r="BK24" s="99">
        <v>3672</v>
      </c>
      <c r="BL24" s="99">
        <v>16</v>
      </c>
      <c r="BM24" s="99">
        <v>5875.2</v>
      </c>
      <c r="BN24" s="99">
        <v>10</v>
      </c>
      <c r="BO24" s="99">
        <v>3672</v>
      </c>
      <c r="BP24" s="99">
        <v>11</v>
      </c>
      <c r="BQ24" s="99">
        <v>4039.2</v>
      </c>
      <c r="BR24" s="99">
        <v>10</v>
      </c>
      <c r="BS24" s="99">
        <v>3672</v>
      </c>
      <c r="BT24" s="99">
        <v>10</v>
      </c>
      <c r="BU24" s="99">
        <v>3672</v>
      </c>
      <c r="BV24" s="99">
        <v>13</v>
      </c>
      <c r="BW24" s="99">
        <v>4773.5999999999995</v>
      </c>
      <c r="BX24" s="99">
        <v>9</v>
      </c>
      <c r="BY24" s="99">
        <v>3304.7999999999997</v>
      </c>
      <c r="BZ24" s="99">
        <v>8</v>
      </c>
      <c r="CA24" s="99">
        <v>2937.6</v>
      </c>
      <c r="CB24" s="99">
        <v>12</v>
      </c>
      <c r="CC24" s="99">
        <v>4406.3999999999996</v>
      </c>
      <c r="CD24" s="99">
        <v>9</v>
      </c>
      <c r="CE24" s="99">
        <v>3304.7999999999997</v>
      </c>
      <c r="CF24" s="99">
        <v>10</v>
      </c>
      <c r="CG24" s="99">
        <v>3672</v>
      </c>
      <c r="CH24" s="99">
        <v>16</v>
      </c>
      <c r="CI24" s="99">
        <v>5875.2</v>
      </c>
      <c r="CJ24" s="99">
        <v>12</v>
      </c>
      <c r="CK24" s="99">
        <v>4406.3999999999996</v>
      </c>
      <c r="CL24" s="99">
        <v>17</v>
      </c>
      <c r="CM24" s="99">
        <v>6242.4</v>
      </c>
      <c r="CN24" s="99">
        <v>14</v>
      </c>
      <c r="CO24" s="99">
        <v>5140.8</v>
      </c>
      <c r="CP24" s="99">
        <v>15</v>
      </c>
      <c r="CQ24" s="99">
        <v>5508</v>
      </c>
      <c r="CR24" s="99">
        <v>11</v>
      </c>
      <c r="CS24" s="99">
        <v>4039.2</v>
      </c>
      <c r="CT24" s="99">
        <v>10</v>
      </c>
      <c r="CU24" s="99">
        <v>3672</v>
      </c>
    </row>
    <row r="25" spans="2:99">
      <c r="C25" s="98" t="s">
        <v>190</v>
      </c>
      <c r="D25" s="99">
        <v>0</v>
      </c>
      <c r="E25" s="99">
        <v>0</v>
      </c>
      <c r="F25" s="99">
        <v>0</v>
      </c>
      <c r="G25" s="99">
        <v>0</v>
      </c>
      <c r="H25" s="99">
        <v>0</v>
      </c>
      <c r="I25" s="99">
        <v>0</v>
      </c>
      <c r="J25" s="99">
        <v>8.8843817271329453</v>
      </c>
      <c r="K25" s="99">
        <v>4712.2760680713136</v>
      </c>
      <c r="L25" s="99">
        <v>5.169528369531986</v>
      </c>
      <c r="M25" s="99">
        <v>2741.9178471997652</v>
      </c>
      <c r="N25" s="99">
        <v>12</v>
      </c>
      <c r="O25" s="99">
        <v>6364.7999999999993</v>
      </c>
      <c r="P25" s="99">
        <v>14</v>
      </c>
      <c r="Q25" s="99">
        <v>7425.5999999999995</v>
      </c>
      <c r="R25" s="99">
        <v>11</v>
      </c>
      <c r="S25" s="99">
        <v>5834.4</v>
      </c>
      <c r="T25" s="99">
        <v>12</v>
      </c>
      <c r="U25" s="99">
        <v>6364.7999999999993</v>
      </c>
      <c r="V25" s="99">
        <v>9</v>
      </c>
      <c r="W25" s="99">
        <v>4773.5999999999995</v>
      </c>
      <c r="X25" s="99">
        <v>14</v>
      </c>
      <c r="Y25" s="99">
        <v>7425.5999999999995</v>
      </c>
      <c r="Z25" s="99">
        <v>14</v>
      </c>
      <c r="AA25" s="99">
        <v>7425.5999999999995</v>
      </c>
      <c r="AB25" s="99">
        <v>15</v>
      </c>
      <c r="AC25" s="99">
        <v>7956</v>
      </c>
      <c r="AD25" s="99">
        <v>10</v>
      </c>
      <c r="AE25" s="99">
        <v>5304</v>
      </c>
      <c r="AF25" s="99">
        <v>11</v>
      </c>
      <c r="AG25" s="99">
        <v>5834.4</v>
      </c>
      <c r="AH25" s="99">
        <v>13</v>
      </c>
      <c r="AI25" s="99">
        <v>6895.2</v>
      </c>
      <c r="AJ25" s="99">
        <v>14</v>
      </c>
      <c r="AK25" s="99">
        <v>7425.5999999999995</v>
      </c>
      <c r="AL25" s="99">
        <v>13</v>
      </c>
      <c r="AM25" s="99">
        <v>6895.2</v>
      </c>
      <c r="AN25" s="99">
        <v>10</v>
      </c>
      <c r="AO25" s="99">
        <v>5304</v>
      </c>
      <c r="AP25" s="99">
        <v>9</v>
      </c>
      <c r="AQ25" s="99">
        <v>4773.5999999999995</v>
      </c>
      <c r="AR25" s="99">
        <v>13</v>
      </c>
      <c r="AS25" s="99">
        <v>6895.2</v>
      </c>
      <c r="AT25" s="99">
        <v>13</v>
      </c>
      <c r="AU25" s="99">
        <v>6895.2</v>
      </c>
      <c r="AV25" s="99">
        <v>7</v>
      </c>
      <c r="AW25" s="99">
        <v>3712.7999999999997</v>
      </c>
      <c r="AX25" s="99">
        <v>7</v>
      </c>
      <c r="AY25" s="99">
        <v>3712.7999999999997</v>
      </c>
      <c r="AZ25" s="99">
        <v>13</v>
      </c>
      <c r="BA25" s="99">
        <v>6895.2</v>
      </c>
      <c r="BB25" s="99">
        <v>8</v>
      </c>
      <c r="BC25" s="99">
        <v>4243.2</v>
      </c>
      <c r="BD25" s="99">
        <v>11</v>
      </c>
      <c r="BE25" s="99">
        <v>5834.4</v>
      </c>
      <c r="BF25" s="99">
        <v>12</v>
      </c>
      <c r="BG25" s="99">
        <v>6364.7999999999993</v>
      </c>
      <c r="BH25" s="99">
        <v>10</v>
      </c>
      <c r="BI25" s="99">
        <v>5304</v>
      </c>
      <c r="BJ25" s="99">
        <v>10</v>
      </c>
      <c r="BK25" s="99">
        <v>5304</v>
      </c>
      <c r="BL25" s="99">
        <v>15</v>
      </c>
      <c r="BM25" s="99">
        <v>7956</v>
      </c>
      <c r="BN25" s="99">
        <v>11</v>
      </c>
      <c r="BO25" s="99">
        <v>5834.4</v>
      </c>
      <c r="BP25" s="99">
        <v>12</v>
      </c>
      <c r="BQ25" s="99">
        <v>6364.7999999999993</v>
      </c>
      <c r="BR25" s="99">
        <v>9</v>
      </c>
      <c r="BS25" s="99">
        <v>4773.5999999999995</v>
      </c>
      <c r="BT25" s="99">
        <v>10</v>
      </c>
      <c r="BU25" s="99">
        <v>5304</v>
      </c>
      <c r="BV25" s="99">
        <v>14</v>
      </c>
      <c r="BW25" s="99">
        <v>7425.5999999999995</v>
      </c>
      <c r="BX25" s="99">
        <v>9</v>
      </c>
      <c r="BY25" s="99">
        <v>4773.5999999999995</v>
      </c>
      <c r="BZ25" s="99">
        <v>9</v>
      </c>
      <c r="CA25" s="99">
        <v>4773.5999999999995</v>
      </c>
      <c r="CB25" s="99">
        <v>13</v>
      </c>
      <c r="CC25" s="99">
        <v>6895.2</v>
      </c>
      <c r="CD25" s="99">
        <v>7</v>
      </c>
      <c r="CE25" s="99">
        <v>3712.7999999999997</v>
      </c>
      <c r="CF25" s="99">
        <v>11</v>
      </c>
      <c r="CG25" s="99">
        <v>5834.4</v>
      </c>
      <c r="CH25" s="99">
        <v>17</v>
      </c>
      <c r="CI25" s="99">
        <v>9016.7999999999993</v>
      </c>
      <c r="CJ25" s="99">
        <v>11</v>
      </c>
      <c r="CK25" s="99">
        <v>5834.4</v>
      </c>
      <c r="CL25" s="99">
        <v>17</v>
      </c>
      <c r="CM25" s="99">
        <v>9016.7999999999993</v>
      </c>
      <c r="CN25" s="99">
        <v>14</v>
      </c>
      <c r="CO25" s="99">
        <v>7425.5999999999995</v>
      </c>
      <c r="CP25" s="99">
        <v>14</v>
      </c>
      <c r="CQ25" s="99">
        <v>7425.5999999999995</v>
      </c>
      <c r="CR25" s="99">
        <v>12</v>
      </c>
      <c r="CS25" s="99">
        <v>6364.7999999999993</v>
      </c>
      <c r="CT25" s="99">
        <v>9</v>
      </c>
      <c r="CU25" s="99">
        <v>4773.5999999999995</v>
      </c>
    </row>
    <row r="26" spans="2:99">
      <c r="C26" s="98" t="s">
        <v>191</v>
      </c>
      <c r="D26" s="99">
        <v>0</v>
      </c>
      <c r="E26" s="99">
        <v>0</v>
      </c>
      <c r="F26" s="99">
        <v>0</v>
      </c>
      <c r="G26" s="99">
        <v>0</v>
      </c>
      <c r="H26" s="99">
        <v>0</v>
      </c>
      <c r="I26" s="99">
        <v>0</v>
      </c>
      <c r="J26" s="99">
        <v>8.1440165832052003</v>
      </c>
      <c r="K26" s="99">
        <v>3957.9920594377272</v>
      </c>
      <c r="L26" s="99">
        <v>5.6864812064851842</v>
      </c>
      <c r="M26" s="99">
        <v>2763.6298663517996</v>
      </c>
      <c r="N26" s="99">
        <v>12</v>
      </c>
      <c r="O26" s="99">
        <v>5832</v>
      </c>
      <c r="P26" s="99">
        <v>14</v>
      </c>
      <c r="Q26" s="99">
        <v>6804</v>
      </c>
      <c r="R26" s="99">
        <v>12</v>
      </c>
      <c r="S26" s="99">
        <v>5832</v>
      </c>
      <c r="T26" s="99">
        <v>12</v>
      </c>
      <c r="U26" s="99">
        <v>5832</v>
      </c>
      <c r="V26" s="99">
        <v>9</v>
      </c>
      <c r="W26" s="99">
        <v>4374</v>
      </c>
      <c r="X26" s="99">
        <v>15</v>
      </c>
      <c r="Y26" s="99">
        <v>7290</v>
      </c>
      <c r="Z26" s="99">
        <v>16</v>
      </c>
      <c r="AA26" s="99">
        <v>7776</v>
      </c>
      <c r="AB26" s="99">
        <v>15</v>
      </c>
      <c r="AC26" s="99">
        <v>7290</v>
      </c>
      <c r="AD26" s="99">
        <v>9</v>
      </c>
      <c r="AE26" s="99">
        <v>4374</v>
      </c>
      <c r="AF26" s="99">
        <v>13</v>
      </c>
      <c r="AG26" s="99">
        <v>6318</v>
      </c>
      <c r="AH26" s="99">
        <v>12</v>
      </c>
      <c r="AI26" s="99">
        <v>5832</v>
      </c>
      <c r="AJ26" s="99">
        <v>14</v>
      </c>
      <c r="AK26" s="99">
        <v>6804</v>
      </c>
      <c r="AL26" s="99">
        <v>13</v>
      </c>
      <c r="AM26" s="99">
        <v>6318</v>
      </c>
      <c r="AN26" s="99">
        <v>11</v>
      </c>
      <c r="AO26" s="99">
        <v>5346</v>
      </c>
      <c r="AP26" s="99">
        <v>10</v>
      </c>
      <c r="AQ26" s="99">
        <v>4860</v>
      </c>
      <c r="AR26" s="99">
        <v>13</v>
      </c>
      <c r="AS26" s="99">
        <v>6318</v>
      </c>
      <c r="AT26" s="99">
        <v>12</v>
      </c>
      <c r="AU26" s="99">
        <v>5832</v>
      </c>
      <c r="AV26" s="99">
        <v>8</v>
      </c>
      <c r="AW26" s="99">
        <v>3888</v>
      </c>
      <c r="AX26" s="99">
        <v>7</v>
      </c>
      <c r="AY26" s="99">
        <v>3402</v>
      </c>
      <c r="AZ26" s="99">
        <v>14</v>
      </c>
      <c r="BA26" s="99">
        <v>6804</v>
      </c>
      <c r="BB26" s="99">
        <v>8</v>
      </c>
      <c r="BC26" s="99">
        <v>3888</v>
      </c>
      <c r="BD26" s="99">
        <v>12</v>
      </c>
      <c r="BE26" s="99">
        <v>5832</v>
      </c>
      <c r="BF26" s="99">
        <v>10</v>
      </c>
      <c r="BG26" s="99">
        <v>4860</v>
      </c>
      <c r="BH26" s="99">
        <v>10</v>
      </c>
      <c r="BI26" s="99">
        <v>4860</v>
      </c>
      <c r="BJ26" s="99">
        <v>9</v>
      </c>
      <c r="BK26" s="99">
        <v>4374</v>
      </c>
      <c r="BL26" s="99">
        <v>15</v>
      </c>
      <c r="BM26" s="99">
        <v>7290</v>
      </c>
      <c r="BN26" s="99">
        <v>10</v>
      </c>
      <c r="BO26" s="99">
        <v>4860</v>
      </c>
      <c r="BP26" s="99">
        <v>13</v>
      </c>
      <c r="BQ26" s="99">
        <v>6318</v>
      </c>
      <c r="BR26" s="99">
        <v>11</v>
      </c>
      <c r="BS26" s="99">
        <v>5346</v>
      </c>
      <c r="BT26" s="99">
        <v>10</v>
      </c>
      <c r="BU26" s="99">
        <v>4860</v>
      </c>
      <c r="BV26" s="99">
        <v>14</v>
      </c>
      <c r="BW26" s="99">
        <v>6804</v>
      </c>
      <c r="BX26" s="99">
        <v>9</v>
      </c>
      <c r="BY26" s="99">
        <v>4374</v>
      </c>
      <c r="BZ26" s="99">
        <v>8</v>
      </c>
      <c r="CA26" s="99">
        <v>3888</v>
      </c>
      <c r="CB26" s="99">
        <v>14</v>
      </c>
      <c r="CC26" s="99">
        <v>6804</v>
      </c>
      <c r="CD26" s="99">
        <v>8</v>
      </c>
      <c r="CE26" s="99">
        <v>3888</v>
      </c>
      <c r="CF26" s="99">
        <v>9</v>
      </c>
      <c r="CG26" s="99">
        <v>4374</v>
      </c>
      <c r="CH26" s="99">
        <v>17</v>
      </c>
      <c r="CI26" s="99">
        <v>8262</v>
      </c>
      <c r="CJ26" s="99">
        <v>12</v>
      </c>
      <c r="CK26" s="99">
        <v>5832</v>
      </c>
      <c r="CL26" s="99">
        <v>17</v>
      </c>
      <c r="CM26" s="99">
        <v>8262</v>
      </c>
      <c r="CN26" s="99">
        <v>14</v>
      </c>
      <c r="CO26" s="99">
        <v>6804</v>
      </c>
      <c r="CP26" s="99">
        <v>17</v>
      </c>
      <c r="CQ26" s="99">
        <v>8262</v>
      </c>
      <c r="CR26" s="99">
        <v>10</v>
      </c>
      <c r="CS26" s="99">
        <v>4860</v>
      </c>
      <c r="CT26" s="99">
        <v>10</v>
      </c>
      <c r="CU26" s="99">
        <v>4860</v>
      </c>
    </row>
    <row r="27" spans="2:99">
      <c r="C27" s="98" t="s">
        <v>192</v>
      </c>
      <c r="D27" s="99">
        <v>0</v>
      </c>
      <c r="E27" s="99">
        <v>0</v>
      </c>
      <c r="F27" s="99">
        <v>0</v>
      </c>
      <c r="G27" s="99">
        <v>0</v>
      </c>
      <c r="H27" s="99">
        <v>0</v>
      </c>
      <c r="I27" s="99">
        <v>0</v>
      </c>
      <c r="J27" s="99">
        <v>8.1440165832052003</v>
      </c>
      <c r="K27" s="99">
        <v>3479.1238843452616</v>
      </c>
      <c r="L27" s="99">
        <v>5.6864812064851842</v>
      </c>
      <c r="M27" s="99">
        <v>2429.2647714104705</v>
      </c>
      <c r="N27" s="99">
        <v>14</v>
      </c>
      <c r="O27" s="99">
        <v>5980.8</v>
      </c>
      <c r="P27" s="99">
        <v>13</v>
      </c>
      <c r="Q27" s="99">
        <v>5553.5999999999995</v>
      </c>
      <c r="R27" s="99">
        <v>11</v>
      </c>
      <c r="S27" s="99">
        <v>4699.2</v>
      </c>
      <c r="T27" s="99">
        <v>11</v>
      </c>
      <c r="U27" s="99">
        <v>4699.2</v>
      </c>
      <c r="V27" s="99">
        <v>9</v>
      </c>
      <c r="W27" s="99">
        <v>3844.7999999999997</v>
      </c>
      <c r="X27" s="99">
        <v>15</v>
      </c>
      <c r="Y27" s="99">
        <v>6408</v>
      </c>
      <c r="Z27" s="99">
        <v>14</v>
      </c>
      <c r="AA27" s="99">
        <v>5980.8</v>
      </c>
      <c r="AB27" s="99">
        <v>15</v>
      </c>
      <c r="AC27" s="99">
        <v>6408</v>
      </c>
      <c r="AD27" s="99">
        <v>10</v>
      </c>
      <c r="AE27" s="99">
        <v>4272</v>
      </c>
      <c r="AF27" s="99">
        <v>11</v>
      </c>
      <c r="AG27" s="99">
        <v>4699.2</v>
      </c>
      <c r="AH27" s="99">
        <v>14</v>
      </c>
      <c r="AI27" s="99">
        <v>5980.8</v>
      </c>
      <c r="AJ27" s="99">
        <v>12</v>
      </c>
      <c r="AK27" s="99">
        <v>5126.3999999999996</v>
      </c>
      <c r="AL27" s="99">
        <v>12</v>
      </c>
      <c r="AM27" s="99">
        <v>5126.3999999999996</v>
      </c>
      <c r="AN27" s="99">
        <v>10</v>
      </c>
      <c r="AO27" s="99">
        <v>4272</v>
      </c>
      <c r="AP27" s="99">
        <v>10</v>
      </c>
      <c r="AQ27" s="99">
        <v>4272</v>
      </c>
      <c r="AR27" s="99">
        <v>13</v>
      </c>
      <c r="AS27" s="99">
        <v>5553.5999999999995</v>
      </c>
      <c r="AT27" s="99">
        <v>13</v>
      </c>
      <c r="AU27" s="99">
        <v>5553.5999999999995</v>
      </c>
      <c r="AV27" s="99">
        <v>8</v>
      </c>
      <c r="AW27" s="99">
        <v>3417.6</v>
      </c>
      <c r="AX27" s="99">
        <v>8</v>
      </c>
      <c r="AY27" s="99">
        <v>3417.6</v>
      </c>
      <c r="AZ27" s="99">
        <v>15</v>
      </c>
      <c r="BA27" s="99">
        <v>6408</v>
      </c>
      <c r="BB27" s="99">
        <v>9</v>
      </c>
      <c r="BC27" s="99">
        <v>3844.7999999999997</v>
      </c>
      <c r="BD27" s="99">
        <v>12</v>
      </c>
      <c r="BE27" s="99">
        <v>5126.3999999999996</v>
      </c>
      <c r="BF27" s="99">
        <v>11</v>
      </c>
      <c r="BG27" s="99">
        <v>4699.2</v>
      </c>
      <c r="BH27" s="99">
        <v>10</v>
      </c>
      <c r="BI27" s="99">
        <v>4272</v>
      </c>
      <c r="BJ27" s="99">
        <v>11</v>
      </c>
      <c r="BK27" s="99">
        <v>4699.2</v>
      </c>
      <c r="BL27" s="99">
        <v>15</v>
      </c>
      <c r="BM27" s="99">
        <v>6408</v>
      </c>
      <c r="BN27" s="99">
        <v>10</v>
      </c>
      <c r="BO27" s="99">
        <v>4272</v>
      </c>
      <c r="BP27" s="99">
        <v>13</v>
      </c>
      <c r="BQ27" s="99">
        <v>5553.5999999999995</v>
      </c>
      <c r="BR27" s="99">
        <v>11</v>
      </c>
      <c r="BS27" s="99">
        <v>4699.2</v>
      </c>
      <c r="BT27" s="99">
        <v>10</v>
      </c>
      <c r="BU27" s="99">
        <v>4272</v>
      </c>
      <c r="BV27" s="99">
        <v>15</v>
      </c>
      <c r="BW27" s="99">
        <v>6408</v>
      </c>
      <c r="BX27" s="99">
        <v>10</v>
      </c>
      <c r="BY27" s="99">
        <v>4272</v>
      </c>
      <c r="BZ27" s="99">
        <v>8</v>
      </c>
      <c r="CA27" s="99">
        <v>3417.6</v>
      </c>
      <c r="CB27" s="99">
        <v>13</v>
      </c>
      <c r="CC27" s="99">
        <v>5553.5999999999995</v>
      </c>
      <c r="CD27" s="99">
        <v>9</v>
      </c>
      <c r="CE27" s="99">
        <v>3844.7999999999997</v>
      </c>
      <c r="CF27" s="99">
        <v>10</v>
      </c>
      <c r="CG27" s="99">
        <v>4272</v>
      </c>
      <c r="CH27" s="99">
        <v>15</v>
      </c>
      <c r="CI27" s="99">
        <v>6408</v>
      </c>
      <c r="CJ27" s="99">
        <v>11</v>
      </c>
      <c r="CK27" s="99">
        <v>4699.2</v>
      </c>
      <c r="CL27" s="99">
        <v>16</v>
      </c>
      <c r="CM27" s="99">
        <v>6835.2</v>
      </c>
      <c r="CN27" s="99">
        <v>13</v>
      </c>
      <c r="CO27" s="99">
        <v>5553.5999999999995</v>
      </c>
      <c r="CP27" s="99">
        <v>16</v>
      </c>
      <c r="CQ27" s="99">
        <v>6835.2</v>
      </c>
      <c r="CR27" s="99">
        <v>10</v>
      </c>
      <c r="CS27" s="99">
        <v>4272</v>
      </c>
      <c r="CT27" s="99">
        <v>10</v>
      </c>
      <c r="CU27" s="99">
        <v>4272</v>
      </c>
    </row>
    <row r="28" spans="2:99">
      <c r="C28" s="98" t="s">
        <v>193</v>
      </c>
      <c r="D28" s="99">
        <v>0</v>
      </c>
      <c r="E28" s="99">
        <v>0</v>
      </c>
      <c r="F28" s="99">
        <v>0</v>
      </c>
      <c r="G28" s="99">
        <v>0</v>
      </c>
      <c r="H28" s="99">
        <v>0</v>
      </c>
      <c r="I28" s="99">
        <v>0</v>
      </c>
      <c r="J28" s="99">
        <v>8.8843817271329453</v>
      </c>
      <c r="K28" s="99">
        <v>6556.6737146241139</v>
      </c>
      <c r="L28" s="99">
        <v>5.169528369531986</v>
      </c>
      <c r="M28" s="99">
        <v>3815.1119367146057</v>
      </c>
      <c r="N28" s="99">
        <v>13</v>
      </c>
      <c r="O28" s="99">
        <v>9594</v>
      </c>
      <c r="P28" s="99">
        <v>14</v>
      </c>
      <c r="Q28" s="99">
        <v>10332</v>
      </c>
      <c r="R28" s="99">
        <v>12</v>
      </c>
      <c r="S28" s="99">
        <v>8856</v>
      </c>
      <c r="T28" s="99">
        <v>12</v>
      </c>
      <c r="U28" s="99">
        <v>8856</v>
      </c>
      <c r="V28" s="99">
        <v>9</v>
      </c>
      <c r="W28" s="99">
        <v>6642</v>
      </c>
      <c r="X28" s="99">
        <v>13</v>
      </c>
      <c r="Y28" s="99">
        <v>9594</v>
      </c>
      <c r="Z28" s="99">
        <v>14</v>
      </c>
      <c r="AA28" s="99">
        <v>10332</v>
      </c>
      <c r="AB28" s="99">
        <v>15</v>
      </c>
      <c r="AC28" s="99">
        <v>11070</v>
      </c>
      <c r="AD28" s="99">
        <v>9</v>
      </c>
      <c r="AE28" s="99">
        <v>6642</v>
      </c>
      <c r="AF28" s="99">
        <v>11</v>
      </c>
      <c r="AG28" s="99">
        <v>8118</v>
      </c>
      <c r="AH28" s="99">
        <v>12</v>
      </c>
      <c r="AI28" s="99">
        <v>8856</v>
      </c>
      <c r="AJ28" s="99">
        <v>13</v>
      </c>
      <c r="AK28" s="99">
        <v>9594</v>
      </c>
      <c r="AL28" s="99">
        <v>12</v>
      </c>
      <c r="AM28" s="99">
        <v>8856</v>
      </c>
      <c r="AN28" s="99">
        <v>11</v>
      </c>
      <c r="AO28" s="99">
        <v>8118</v>
      </c>
      <c r="AP28" s="99">
        <v>9</v>
      </c>
      <c r="AQ28" s="99">
        <v>6642</v>
      </c>
      <c r="AR28" s="99">
        <v>12</v>
      </c>
      <c r="AS28" s="99">
        <v>8856</v>
      </c>
      <c r="AT28" s="99">
        <v>13</v>
      </c>
      <c r="AU28" s="99">
        <v>9594</v>
      </c>
      <c r="AV28" s="99">
        <v>8</v>
      </c>
      <c r="AW28" s="99">
        <v>5904</v>
      </c>
      <c r="AX28" s="99">
        <v>7</v>
      </c>
      <c r="AY28" s="99">
        <v>5166</v>
      </c>
      <c r="AZ28" s="99">
        <v>14</v>
      </c>
      <c r="BA28" s="99">
        <v>10332</v>
      </c>
      <c r="BB28" s="99">
        <v>9</v>
      </c>
      <c r="BC28" s="99">
        <v>6642</v>
      </c>
      <c r="BD28" s="99">
        <v>12</v>
      </c>
      <c r="BE28" s="99">
        <v>8856</v>
      </c>
      <c r="BF28" s="99">
        <v>10</v>
      </c>
      <c r="BG28" s="99">
        <v>7380</v>
      </c>
      <c r="BH28" s="99">
        <v>10</v>
      </c>
      <c r="BI28" s="99">
        <v>7380</v>
      </c>
      <c r="BJ28" s="99">
        <v>10</v>
      </c>
      <c r="BK28" s="99">
        <v>7380</v>
      </c>
      <c r="BL28" s="99">
        <v>16</v>
      </c>
      <c r="BM28" s="99">
        <v>11808</v>
      </c>
      <c r="BN28" s="99">
        <v>9</v>
      </c>
      <c r="BO28" s="99">
        <v>6642</v>
      </c>
      <c r="BP28" s="99">
        <v>11</v>
      </c>
      <c r="BQ28" s="99">
        <v>8118</v>
      </c>
      <c r="BR28" s="99">
        <v>10</v>
      </c>
      <c r="BS28" s="99">
        <v>7380</v>
      </c>
      <c r="BT28" s="99">
        <v>9</v>
      </c>
      <c r="BU28" s="99">
        <v>6642</v>
      </c>
      <c r="BV28" s="99">
        <v>13</v>
      </c>
      <c r="BW28" s="99">
        <v>9594</v>
      </c>
      <c r="BX28" s="99">
        <v>10</v>
      </c>
      <c r="BY28" s="99">
        <v>7380</v>
      </c>
      <c r="BZ28" s="99">
        <v>8</v>
      </c>
      <c r="CA28" s="99">
        <v>5904</v>
      </c>
      <c r="CB28" s="99">
        <v>11</v>
      </c>
      <c r="CC28" s="99">
        <v>8118</v>
      </c>
      <c r="CD28" s="99">
        <v>8</v>
      </c>
      <c r="CE28" s="99">
        <v>5904</v>
      </c>
      <c r="CF28" s="99">
        <v>9</v>
      </c>
      <c r="CG28" s="99">
        <v>6642</v>
      </c>
      <c r="CH28" s="99">
        <v>14</v>
      </c>
      <c r="CI28" s="99">
        <v>10332</v>
      </c>
      <c r="CJ28" s="99">
        <v>12</v>
      </c>
      <c r="CK28" s="99">
        <v>8856</v>
      </c>
      <c r="CL28" s="99">
        <v>15</v>
      </c>
      <c r="CM28" s="99">
        <v>11070</v>
      </c>
      <c r="CN28" s="99">
        <v>13</v>
      </c>
      <c r="CO28" s="99">
        <v>9594</v>
      </c>
      <c r="CP28" s="99">
        <v>16</v>
      </c>
      <c r="CQ28" s="99">
        <v>11808</v>
      </c>
      <c r="CR28" s="99">
        <v>11</v>
      </c>
      <c r="CS28" s="99">
        <v>8118</v>
      </c>
      <c r="CT28" s="99">
        <v>9</v>
      </c>
      <c r="CU28" s="99">
        <v>6642</v>
      </c>
    </row>
    <row r="29" spans="2:99">
      <c r="C29" s="98" t="s">
        <v>194</v>
      </c>
      <c r="D29" s="99">
        <v>0</v>
      </c>
      <c r="E29" s="99">
        <v>0</v>
      </c>
      <c r="F29" s="99">
        <v>0</v>
      </c>
      <c r="G29" s="99">
        <v>0</v>
      </c>
      <c r="H29" s="99">
        <v>0</v>
      </c>
      <c r="I29" s="99">
        <v>0</v>
      </c>
      <c r="J29" s="99">
        <v>8.8843817271329453</v>
      </c>
      <c r="K29" s="99">
        <v>3006.4747764617887</v>
      </c>
      <c r="L29" s="99">
        <v>5.6864812064851842</v>
      </c>
      <c r="M29" s="99">
        <v>1924.3052402745861</v>
      </c>
      <c r="N29" s="99">
        <v>15</v>
      </c>
      <c r="O29" s="99">
        <v>5076</v>
      </c>
      <c r="P29" s="99">
        <v>12</v>
      </c>
      <c r="Q29" s="99">
        <v>4060.7999999999997</v>
      </c>
      <c r="R29" s="99">
        <v>12</v>
      </c>
      <c r="S29" s="99">
        <v>4060.7999999999997</v>
      </c>
      <c r="T29" s="99">
        <v>12</v>
      </c>
      <c r="U29" s="99">
        <v>4060.7999999999997</v>
      </c>
      <c r="V29" s="99">
        <v>9</v>
      </c>
      <c r="W29" s="99">
        <v>3045.6</v>
      </c>
      <c r="X29" s="99">
        <v>13</v>
      </c>
      <c r="Y29" s="99">
        <v>4399.2</v>
      </c>
      <c r="Z29" s="99">
        <v>15</v>
      </c>
      <c r="AA29" s="99">
        <v>5076</v>
      </c>
      <c r="AB29" s="99">
        <v>15</v>
      </c>
      <c r="AC29" s="99">
        <v>5076</v>
      </c>
      <c r="AD29" s="99">
        <v>11</v>
      </c>
      <c r="AE29" s="99">
        <v>3722.3999999999996</v>
      </c>
      <c r="AF29" s="99">
        <v>11</v>
      </c>
      <c r="AG29" s="99">
        <v>3722.3999999999996</v>
      </c>
      <c r="AH29" s="99">
        <v>13</v>
      </c>
      <c r="AI29" s="99">
        <v>4399.2</v>
      </c>
      <c r="AJ29" s="99">
        <v>12</v>
      </c>
      <c r="AK29" s="99">
        <v>4060.7999999999997</v>
      </c>
      <c r="AL29" s="99">
        <v>14</v>
      </c>
      <c r="AM29" s="99">
        <v>4737.5999999999995</v>
      </c>
      <c r="AN29" s="99">
        <v>11</v>
      </c>
      <c r="AO29" s="99">
        <v>3722.3999999999996</v>
      </c>
      <c r="AP29" s="99">
        <v>10</v>
      </c>
      <c r="AQ29" s="99">
        <v>3384</v>
      </c>
      <c r="AR29" s="99">
        <v>13</v>
      </c>
      <c r="AS29" s="99">
        <v>4399.2</v>
      </c>
      <c r="AT29" s="99">
        <v>12</v>
      </c>
      <c r="AU29" s="99">
        <v>4060.7999999999997</v>
      </c>
      <c r="AV29" s="99">
        <v>7</v>
      </c>
      <c r="AW29" s="99">
        <v>2368.7999999999997</v>
      </c>
      <c r="AX29" s="99">
        <v>8</v>
      </c>
      <c r="AY29" s="99">
        <v>2707.2</v>
      </c>
      <c r="AZ29" s="99">
        <v>12</v>
      </c>
      <c r="BA29" s="99">
        <v>4060.7999999999997</v>
      </c>
      <c r="BB29" s="99">
        <v>9</v>
      </c>
      <c r="BC29" s="99">
        <v>3045.6</v>
      </c>
      <c r="BD29" s="99">
        <v>11</v>
      </c>
      <c r="BE29" s="99">
        <v>3722.3999999999996</v>
      </c>
      <c r="BF29" s="99">
        <v>11</v>
      </c>
      <c r="BG29" s="99">
        <v>3722.3999999999996</v>
      </c>
      <c r="BH29" s="99">
        <v>11</v>
      </c>
      <c r="BI29" s="99">
        <v>3722.3999999999996</v>
      </c>
      <c r="BJ29" s="99">
        <v>9</v>
      </c>
      <c r="BK29" s="99">
        <v>3045.6</v>
      </c>
      <c r="BL29" s="99">
        <v>16</v>
      </c>
      <c r="BM29" s="99">
        <v>5414.4</v>
      </c>
      <c r="BN29" s="99">
        <v>10</v>
      </c>
      <c r="BO29" s="99">
        <v>3384</v>
      </c>
      <c r="BP29" s="99">
        <v>13</v>
      </c>
      <c r="BQ29" s="99">
        <v>4399.2</v>
      </c>
      <c r="BR29" s="99">
        <v>9</v>
      </c>
      <c r="BS29" s="99">
        <v>3045.6</v>
      </c>
      <c r="BT29" s="99">
        <v>9</v>
      </c>
      <c r="BU29" s="99">
        <v>3045.6</v>
      </c>
      <c r="BV29" s="99">
        <v>14</v>
      </c>
      <c r="BW29" s="99">
        <v>4737.5999999999995</v>
      </c>
      <c r="BX29" s="99">
        <v>10</v>
      </c>
      <c r="BY29" s="99">
        <v>3384</v>
      </c>
      <c r="BZ29" s="99">
        <v>7</v>
      </c>
      <c r="CA29" s="99">
        <v>2368.7999999999997</v>
      </c>
      <c r="CB29" s="99">
        <v>11</v>
      </c>
      <c r="CC29" s="99">
        <v>3722.3999999999996</v>
      </c>
      <c r="CD29" s="99">
        <v>7</v>
      </c>
      <c r="CE29" s="99">
        <v>2368.7999999999997</v>
      </c>
      <c r="CF29" s="99">
        <v>10</v>
      </c>
      <c r="CG29" s="99">
        <v>3384</v>
      </c>
      <c r="CH29" s="99">
        <v>16</v>
      </c>
      <c r="CI29" s="99">
        <v>5414.4</v>
      </c>
      <c r="CJ29" s="99">
        <v>11</v>
      </c>
      <c r="CK29" s="99">
        <v>3722.3999999999996</v>
      </c>
      <c r="CL29" s="99">
        <v>17</v>
      </c>
      <c r="CM29" s="99">
        <v>5752.7999999999993</v>
      </c>
      <c r="CN29" s="99">
        <v>14</v>
      </c>
      <c r="CO29" s="99">
        <v>4737.5999999999995</v>
      </c>
      <c r="CP29" s="99">
        <v>17</v>
      </c>
      <c r="CQ29" s="99">
        <v>5752.7999999999993</v>
      </c>
      <c r="CR29" s="99">
        <v>10</v>
      </c>
      <c r="CS29" s="99">
        <v>3384</v>
      </c>
      <c r="CT29" s="99">
        <v>9</v>
      </c>
      <c r="CU29" s="99">
        <v>3045.6</v>
      </c>
    </row>
    <row r="30" spans="2:99">
      <c r="C30" s="98" t="s">
        <v>195</v>
      </c>
      <c r="D30" s="99">
        <v>0</v>
      </c>
      <c r="E30" s="99">
        <v>0</v>
      </c>
      <c r="F30" s="99">
        <v>0</v>
      </c>
      <c r="G30" s="99">
        <v>0</v>
      </c>
      <c r="H30" s="99">
        <v>0</v>
      </c>
      <c r="I30" s="99">
        <v>0</v>
      </c>
      <c r="J30" s="99">
        <v>8.8843817271329453</v>
      </c>
      <c r="K30" s="99">
        <v>1236.7059364169058</v>
      </c>
      <c r="L30" s="99">
        <v>5.169528369531986</v>
      </c>
      <c r="M30" s="99">
        <v>719.59834903885235</v>
      </c>
      <c r="N30" s="99">
        <v>13</v>
      </c>
      <c r="O30" s="99">
        <v>1809.6</v>
      </c>
      <c r="P30" s="99">
        <v>15</v>
      </c>
      <c r="Q30" s="99">
        <v>2088</v>
      </c>
      <c r="R30" s="99">
        <v>12</v>
      </c>
      <c r="S30" s="99">
        <v>1670.3999999999999</v>
      </c>
      <c r="T30" s="99">
        <v>12</v>
      </c>
      <c r="U30" s="99">
        <v>1670.3999999999999</v>
      </c>
      <c r="V30" s="99">
        <v>8</v>
      </c>
      <c r="W30" s="99">
        <v>1113.5999999999999</v>
      </c>
      <c r="X30" s="99">
        <v>14</v>
      </c>
      <c r="Y30" s="99">
        <v>1948.7999999999997</v>
      </c>
      <c r="Z30" s="99">
        <v>14</v>
      </c>
      <c r="AA30" s="99">
        <v>1948.7999999999997</v>
      </c>
      <c r="AB30" s="99">
        <v>14</v>
      </c>
      <c r="AC30" s="99">
        <v>1948.7999999999997</v>
      </c>
      <c r="AD30" s="99">
        <v>9</v>
      </c>
      <c r="AE30" s="99">
        <v>1252.8</v>
      </c>
      <c r="AF30" s="99">
        <v>12</v>
      </c>
      <c r="AG30" s="99">
        <v>1670.3999999999999</v>
      </c>
      <c r="AH30" s="99">
        <v>12</v>
      </c>
      <c r="AI30" s="99">
        <v>1670.3999999999999</v>
      </c>
      <c r="AJ30" s="99">
        <v>12</v>
      </c>
      <c r="AK30" s="99">
        <v>1670.3999999999999</v>
      </c>
      <c r="AL30" s="99">
        <v>13</v>
      </c>
      <c r="AM30" s="99">
        <v>1809.6</v>
      </c>
      <c r="AN30" s="99">
        <v>11</v>
      </c>
      <c r="AO30" s="99">
        <v>1531.1999999999998</v>
      </c>
      <c r="AP30" s="99">
        <v>10</v>
      </c>
      <c r="AQ30" s="99">
        <v>1392</v>
      </c>
      <c r="AR30" s="99">
        <v>13</v>
      </c>
      <c r="AS30" s="99">
        <v>1809.6</v>
      </c>
      <c r="AT30" s="99">
        <v>13</v>
      </c>
      <c r="AU30" s="99">
        <v>1809.6</v>
      </c>
      <c r="AV30" s="99">
        <v>8</v>
      </c>
      <c r="AW30" s="99">
        <v>1113.5999999999999</v>
      </c>
      <c r="AX30" s="99">
        <v>8</v>
      </c>
      <c r="AY30" s="99">
        <v>1113.5999999999999</v>
      </c>
      <c r="AZ30" s="99">
        <v>15</v>
      </c>
      <c r="BA30" s="99">
        <v>2088</v>
      </c>
      <c r="BB30" s="99">
        <v>9</v>
      </c>
      <c r="BC30" s="99">
        <v>1252.8</v>
      </c>
      <c r="BD30" s="99">
        <v>13</v>
      </c>
      <c r="BE30" s="99">
        <v>1809.6</v>
      </c>
      <c r="BF30" s="99">
        <v>10</v>
      </c>
      <c r="BG30" s="99">
        <v>1392</v>
      </c>
      <c r="BH30" s="99">
        <v>10</v>
      </c>
      <c r="BI30" s="99">
        <v>1392</v>
      </c>
      <c r="BJ30" s="99">
        <v>10</v>
      </c>
      <c r="BK30" s="99">
        <v>1392</v>
      </c>
      <c r="BL30" s="99">
        <v>15</v>
      </c>
      <c r="BM30" s="99">
        <v>2088</v>
      </c>
      <c r="BN30" s="99">
        <v>10</v>
      </c>
      <c r="BO30" s="99">
        <v>1392</v>
      </c>
      <c r="BP30" s="99">
        <v>13</v>
      </c>
      <c r="BQ30" s="99">
        <v>1809.6</v>
      </c>
      <c r="BR30" s="99">
        <v>10</v>
      </c>
      <c r="BS30" s="99">
        <v>1392</v>
      </c>
      <c r="BT30" s="99">
        <v>9</v>
      </c>
      <c r="BU30" s="99">
        <v>1252.8</v>
      </c>
      <c r="BV30" s="99">
        <v>15</v>
      </c>
      <c r="BW30" s="99">
        <v>2088</v>
      </c>
      <c r="BX30" s="99">
        <v>9</v>
      </c>
      <c r="BY30" s="99">
        <v>1252.8</v>
      </c>
      <c r="BZ30" s="99">
        <v>9</v>
      </c>
      <c r="CA30" s="99">
        <v>1252.8</v>
      </c>
      <c r="CB30" s="99">
        <v>12</v>
      </c>
      <c r="CC30" s="99">
        <v>1670.3999999999999</v>
      </c>
      <c r="CD30" s="99">
        <v>9</v>
      </c>
      <c r="CE30" s="99">
        <v>1252.8</v>
      </c>
      <c r="CF30" s="99">
        <v>10</v>
      </c>
      <c r="CG30" s="99">
        <v>1392</v>
      </c>
      <c r="CH30" s="99">
        <v>17</v>
      </c>
      <c r="CI30" s="99">
        <v>2366.3999999999996</v>
      </c>
      <c r="CJ30" s="99">
        <v>12</v>
      </c>
      <c r="CK30" s="99">
        <v>1670.3999999999999</v>
      </c>
      <c r="CL30" s="99">
        <v>18</v>
      </c>
      <c r="CM30" s="99">
        <v>2505.6</v>
      </c>
      <c r="CN30" s="99">
        <v>14</v>
      </c>
      <c r="CO30" s="99">
        <v>1948.7999999999997</v>
      </c>
      <c r="CP30" s="99">
        <v>15</v>
      </c>
      <c r="CQ30" s="99">
        <v>2088</v>
      </c>
      <c r="CR30" s="99">
        <v>11</v>
      </c>
      <c r="CS30" s="99">
        <v>1531.1999999999998</v>
      </c>
      <c r="CT30" s="99">
        <v>9</v>
      </c>
      <c r="CU30" s="99">
        <v>1252.8</v>
      </c>
    </row>
    <row r="31" spans="2:99">
      <c r="C31" s="98" t="s">
        <v>196</v>
      </c>
      <c r="D31" s="99">
        <v>0</v>
      </c>
      <c r="E31" s="99">
        <v>0</v>
      </c>
      <c r="F31" s="99">
        <v>0</v>
      </c>
      <c r="G31" s="99">
        <v>0</v>
      </c>
      <c r="H31" s="99">
        <v>0</v>
      </c>
      <c r="I31" s="99">
        <v>0</v>
      </c>
      <c r="J31" s="99">
        <v>8.8843817271329453</v>
      </c>
      <c r="K31" s="99">
        <v>3027.7972926069078</v>
      </c>
      <c r="L31" s="99">
        <v>5.169528369531986</v>
      </c>
      <c r="M31" s="99">
        <v>1761.7752683365009</v>
      </c>
      <c r="N31" s="99">
        <v>13</v>
      </c>
      <c r="O31" s="99">
        <v>4430.4000000000005</v>
      </c>
      <c r="P31" s="99">
        <v>13</v>
      </c>
      <c r="Q31" s="99">
        <v>4430.4000000000005</v>
      </c>
      <c r="R31" s="99">
        <v>11</v>
      </c>
      <c r="S31" s="99">
        <v>3748.8</v>
      </c>
      <c r="T31" s="99">
        <v>11</v>
      </c>
      <c r="U31" s="99">
        <v>3748.8</v>
      </c>
      <c r="V31" s="99">
        <v>8</v>
      </c>
      <c r="W31" s="99">
        <v>2726.4</v>
      </c>
      <c r="X31" s="99">
        <v>13</v>
      </c>
      <c r="Y31" s="99">
        <v>4430.4000000000005</v>
      </c>
      <c r="Z31" s="99">
        <v>13</v>
      </c>
      <c r="AA31" s="99">
        <v>4430.4000000000005</v>
      </c>
      <c r="AB31" s="99">
        <v>15</v>
      </c>
      <c r="AC31" s="99">
        <v>5112</v>
      </c>
      <c r="AD31" s="99">
        <v>9</v>
      </c>
      <c r="AE31" s="99">
        <v>3067.2000000000003</v>
      </c>
      <c r="AF31" s="99">
        <v>11</v>
      </c>
      <c r="AG31" s="99">
        <v>3748.8</v>
      </c>
      <c r="AH31" s="99">
        <v>13</v>
      </c>
      <c r="AI31" s="99">
        <v>4430.4000000000005</v>
      </c>
      <c r="AJ31" s="99">
        <v>12</v>
      </c>
      <c r="AK31" s="99">
        <v>4089.6000000000004</v>
      </c>
      <c r="AL31" s="99">
        <v>13</v>
      </c>
      <c r="AM31" s="99">
        <v>4430.4000000000005</v>
      </c>
      <c r="AN31" s="99">
        <v>11</v>
      </c>
      <c r="AO31" s="99">
        <v>3748.8</v>
      </c>
      <c r="AP31" s="99">
        <v>9</v>
      </c>
      <c r="AQ31" s="99">
        <v>3067.2000000000003</v>
      </c>
      <c r="AR31" s="99">
        <v>13</v>
      </c>
      <c r="AS31" s="99">
        <v>4430.4000000000005</v>
      </c>
      <c r="AT31" s="99">
        <v>13</v>
      </c>
      <c r="AU31" s="99">
        <v>4430.4000000000005</v>
      </c>
      <c r="AV31" s="99">
        <v>8</v>
      </c>
      <c r="AW31" s="99">
        <v>2726.4</v>
      </c>
      <c r="AX31" s="99">
        <v>8</v>
      </c>
      <c r="AY31" s="99">
        <v>2726.4</v>
      </c>
      <c r="AZ31" s="99">
        <v>14</v>
      </c>
      <c r="BA31" s="99">
        <v>4771.2</v>
      </c>
      <c r="BB31" s="99">
        <v>8</v>
      </c>
      <c r="BC31" s="99">
        <v>2726.4</v>
      </c>
      <c r="BD31" s="99">
        <v>12</v>
      </c>
      <c r="BE31" s="99">
        <v>4089.6000000000004</v>
      </c>
      <c r="BF31" s="99">
        <v>11</v>
      </c>
      <c r="BG31" s="99">
        <v>3748.8</v>
      </c>
      <c r="BH31" s="99">
        <v>10</v>
      </c>
      <c r="BI31" s="99">
        <v>3408</v>
      </c>
      <c r="BJ31" s="99">
        <v>10</v>
      </c>
      <c r="BK31" s="99">
        <v>3408</v>
      </c>
      <c r="BL31" s="99">
        <v>16</v>
      </c>
      <c r="BM31" s="99">
        <v>5452.8</v>
      </c>
      <c r="BN31" s="99">
        <v>10</v>
      </c>
      <c r="BO31" s="99">
        <v>3408</v>
      </c>
      <c r="BP31" s="99">
        <v>11</v>
      </c>
      <c r="BQ31" s="99">
        <v>3748.8</v>
      </c>
      <c r="BR31" s="99">
        <v>10</v>
      </c>
      <c r="BS31" s="99">
        <v>3408</v>
      </c>
      <c r="BT31" s="99">
        <v>9</v>
      </c>
      <c r="BU31" s="99">
        <v>3067.2000000000003</v>
      </c>
      <c r="BV31" s="99">
        <v>14</v>
      </c>
      <c r="BW31" s="99">
        <v>4771.2</v>
      </c>
      <c r="BX31" s="99">
        <v>10</v>
      </c>
      <c r="BY31" s="99">
        <v>3408</v>
      </c>
      <c r="BZ31" s="99">
        <v>8</v>
      </c>
      <c r="CA31" s="99">
        <v>2726.4</v>
      </c>
      <c r="CB31" s="99">
        <v>13</v>
      </c>
      <c r="CC31" s="99">
        <v>4430.4000000000005</v>
      </c>
      <c r="CD31" s="99">
        <v>8</v>
      </c>
      <c r="CE31" s="99">
        <v>2726.4</v>
      </c>
      <c r="CF31" s="99">
        <v>10</v>
      </c>
      <c r="CG31" s="99">
        <v>3408</v>
      </c>
      <c r="CH31" s="99">
        <v>15</v>
      </c>
      <c r="CI31" s="99">
        <v>5112</v>
      </c>
      <c r="CJ31" s="99">
        <v>12</v>
      </c>
      <c r="CK31" s="99">
        <v>4089.6000000000004</v>
      </c>
      <c r="CL31" s="99">
        <v>15</v>
      </c>
      <c r="CM31" s="99">
        <v>5112</v>
      </c>
      <c r="CN31" s="99">
        <v>14</v>
      </c>
      <c r="CO31" s="99">
        <v>4771.2</v>
      </c>
      <c r="CP31" s="99">
        <v>14</v>
      </c>
      <c r="CQ31" s="99">
        <v>4771.2</v>
      </c>
      <c r="CR31" s="99">
        <v>11</v>
      </c>
      <c r="CS31" s="99">
        <v>3748.8</v>
      </c>
      <c r="CT31" s="99">
        <v>10</v>
      </c>
      <c r="CU31" s="99">
        <v>3408</v>
      </c>
    </row>
    <row r="32" spans="2:99">
      <c r="C32" s="98" t="s">
        <v>197</v>
      </c>
      <c r="D32" s="99">
        <v>0</v>
      </c>
      <c r="E32" s="99">
        <v>0</v>
      </c>
      <c r="F32" s="99">
        <v>0</v>
      </c>
      <c r="G32" s="99">
        <v>0</v>
      </c>
      <c r="H32" s="99">
        <v>0</v>
      </c>
      <c r="I32" s="99">
        <v>0</v>
      </c>
      <c r="J32" s="99">
        <v>7.4036514392774544</v>
      </c>
      <c r="K32" s="99">
        <v>6219.0672089930613</v>
      </c>
      <c r="L32" s="99">
        <v>5.6864812064851842</v>
      </c>
      <c r="M32" s="99">
        <v>4776.6442134475546</v>
      </c>
      <c r="N32" s="99">
        <v>13</v>
      </c>
      <c r="O32" s="99">
        <v>10920</v>
      </c>
      <c r="P32" s="99">
        <v>13</v>
      </c>
      <c r="Q32" s="99">
        <v>10920</v>
      </c>
      <c r="R32" s="99">
        <v>12</v>
      </c>
      <c r="S32" s="99">
        <v>10080</v>
      </c>
      <c r="T32" s="99">
        <v>11</v>
      </c>
      <c r="U32" s="99">
        <v>9240</v>
      </c>
      <c r="V32" s="99">
        <v>9</v>
      </c>
      <c r="W32" s="99">
        <v>7560</v>
      </c>
      <c r="X32" s="99">
        <v>14</v>
      </c>
      <c r="Y32" s="99">
        <v>11760</v>
      </c>
      <c r="Z32" s="99">
        <v>13</v>
      </c>
      <c r="AA32" s="99">
        <v>10920</v>
      </c>
      <c r="AB32" s="99">
        <v>15</v>
      </c>
      <c r="AC32" s="99">
        <v>12600</v>
      </c>
      <c r="AD32" s="99">
        <v>10</v>
      </c>
      <c r="AE32" s="99">
        <v>8400</v>
      </c>
      <c r="AF32" s="99">
        <v>12</v>
      </c>
      <c r="AG32" s="99">
        <v>10080</v>
      </c>
      <c r="AH32" s="99">
        <v>13</v>
      </c>
      <c r="AI32" s="99">
        <v>10920</v>
      </c>
      <c r="AJ32" s="99">
        <v>11</v>
      </c>
      <c r="AK32" s="99">
        <v>9240</v>
      </c>
      <c r="AL32" s="99">
        <v>12</v>
      </c>
      <c r="AM32" s="99">
        <v>10080</v>
      </c>
      <c r="AN32" s="99">
        <v>11</v>
      </c>
      <c r="AO32" s="99">
        <v>9240</v>
      </c>
      <c r="AP32" s="99">
        <v>9</v>
      </c>
      <c r="AQ32" s="99">
        <v>7560</v>
      </c>
      <c r="AR32" s="99">
        <v>13</v>
      </c>
      <c r="AS32" s="99">
        <v>10920</v>
      </c>
      <c r="AT32" s="99">
        <v>13</v>
      </c>
      <c r="AU32" s="99">
        <v>10920</v>
      </c>
      <c r="AV32" s="99">
        <v>8</v>
      </c>
      <c r="AW32" s="99">
        <v>6720</v>
      </c>
      <c r="AX32" s="99">
        <v>7</v>
      </c>
      <c r="AY32" s="99">
        <v>5880</v>
      </c>
      <c r="AZ32" s="99">
        <v>14</v>
      </c>
      <c r="BA32" s="99">
        <v>11760</v>
      </c>
      <c r="BB32" s="99">
        <v>9</v>
      </c>
      <c r="BC32" s="99">
        <v>7560</v>
      </c>
      <c r="BD32" s="99">
        <v>12</v>
      </c>
      <c r="BE32" s="99">
        <v>10080</v>
      </c>
      <c r="BF32" s="99">
        <v>11</v>
      </c>
      <c r="BG32" s="99">
        <v>9240</v>
      </c>
      <c r="BH32" s="99">
        <v>10</v>
      </c>
      <c r="BI32" s="99">
        <v>8400</v>
      </c>
      <c r="BJ32" s="99">
        <v>10</v>
      </c>
      <c r="BK32" s="99">
        <v>8400</v>
      </c>
      <c r="BL32" s="99">
        <v>15</v>
      </c>
      <c r="BM32" s="99">
        <v>12600</v>
      </c>
      <c r="BN32" s="99">
        <v>10</v>
      </c>
      <c r="BO32" s="99">
        <v>8400</v>
      </c>
      <c r="BP32" s="99">
        <v>11</v>
      </c>
      <c r="BQ32" s="99">
        <v>9240</v>
      </c>
      <c r="BR32" s="99">
        <v>9</v>
      </c>
      <c r="BS32" s="99">
        <v>7560</v>
      </c>
      <c r="BT32" s="99">
        <v>9</v>
      </c>
      <c r="BU32" s="99">
        <v>7560</v>
      </c>
      <c r="BV32" s="99">
        <v>12</v>
      </c>
      <c r="BW32" s="99">
        <v>10080</v>
      </c>
      <c r="BX32" s="99">
        <v>9</v>
      </c>
      <c r="BY32" s="99">
        <v>7560</v>
      </c>
      <c r="BZ32" s="99">
        <v>8</v>
      </c>
      <c r="CA32" s="99">
        <v>6720</v>
      </c>
      <c r="CB32" s="99">
        <v>13</v>
      </c>
      <c r="CC32" s="99">
        <v>10920</v>
      </c>
      <c r="CD32" s="99">
        <v>7</v>
      </c>
      <c r="CE32" s="99">
        <v>5880</v>
      </c>
      <c r="CF32" s="99">
        <v>10</v>
      </c>
      <c r="CG32" s="99">
        <v>8400</v>
      </c>
      <c r="CH32" s="99">
        <v>16</v>
      </c>
      <c r="CI32" s="99">
        <v>13440</v>
      </c>
      <c r="CJ32" s="99">
        <v>10</v>
      </c>
      <c r="CK32" s="99">
        <v>8400</v>
      </c>
      <c r="CL32" s="99">
        <v>16</v>
      </c>
      <c r="CM32" s="99">
        <v>13440</v>
      </c>
      <c r="CN32" s="99">
        <v>13</v>
      </c>
      <c r="CO32" s="99">
        <v>10920</v>
      </c>
      <c r="CP32" s="99">
        <v>14</v>
      </c>
      <c r="CQ32" s="99">
        <v>11760</v>
      </c>
      <c r="CR32" s="99">
        <v>11</v>
      </c>
      <c r="CS32" s="99">
        <v>9240</v>
      </c>
      <c r="CT32" s="99">
        <v>9</v>
      </c>
      <c r="CU32" s="99">
        <v>7560</v>
      </c>
    </row>
    <row r="33" spans="2:99">
      <c r="C33" s="98" t="s">
        <v>198</v>
      </c>
      <c r="D33" s="99">
        <v>0</v>
      </c>
      <c r="E33" s="99">
        <v>0</v>
      </c>
      <c r="F33" s="99">
        <v>0</v>
      </c>
      <c r="G33" s="99">
        <v>0</v>
      </c>
      <c r="H33" s="99">
        <v>0</v>
      </c>
      <c r="I33" s="99">
        <v>0</v>
      </c>
      <c r="J33" s="99">
        <v>8.1440165832052003</v>
      </c>
      <c r="K33" s="99">
        <v>3860.263860439265</v>
      </c>
      <c r="L33" s="99">
        <v>5.169528369531986</v>
      </c>
      <c r="M33" s="99">
        <v>2450.3564471581612</v>
      </c>
      <c r="N33" s="99">
        <v>15</v>
      </c>
      <c r="O33" s="99">
        <v>7110</v>
      </c>
      <c r="P33" s="99">
        <v>14</v>
      </c>
      <c r="Q33" s="99">
        <v>6636</v>
      </c>
      <c r="R33" s="99">
        <v>11</v>
      </c>
      <c r="S33" s="99">
        <v>5214</v>
      </c>
      <c r="T33" s="99">
        <v>12</v>
      </c>
      <c r="U33" s="99">
        <v>5688</v>
      </c>
      <c r="V33" s="99">
        <v>8</v>
      </c>
      <c r="W33" s="99">
        <v>3792</v>
      </c>
      <c r="X33" s="99">
        <v>15</v>
      </c>
      <c r="Y33" s="99">
        <v>7110</v>
      </c>
      <c r="Z33" s="99">
        <v>14</v>
      </c>
      <c r="AA33" s="99">
        <v>6636</v>
      </c>
      <c r="AB33" s="99">
        <v>15</v>
      </c>
      <c r="AC33" s="99">
        <v>7110</v>
      </c>
      <c r="AD33" s="99">
        <v>9</v>
      </c>
      <c r="AE33" s="99">
        <v>4266</v>
      </c>
      <c r="AF33" s="99">
        <v>11</v>
      </c>
      <c r="AG33" s="99">
        <v>5214</v>
      </c>
      <c r="AH33" s="99">
        <v>12</v>
      </c>
      <c r="AI33" s="99">
        <v>5688</v>
      </c>
      <c r="AJ33" s="99">
        <v>12</v>
      </c>
      <c r="AK33" s="99">
        <v>5688</v>
      </c>
      <c r="AL33" s="99">
        <v>13</v>
      </c>
      <c r="AM33" s="99">
        <v>6162</v>
      </c>
      <c r="AN33" s="99">
        <v>12</v>
      </c>
      <c r="AO33" s="99">
        <v>5688</v>
      </c>
      <c r="AP33" s="99">
        <v>10</v>
      </c>
      <c r="AQ33" s="99">
        <v>4740</v>
      </c>
      <c r="AR33" s="99">
        <v>13</v>
      </c>
      <c r="AS33" s="99">
        <v>6162</v>
      </c>
      <c r="AT33" s="99">
        <v>14</v>
      </c>
      <c r="AU33" s="99">
        <v>6636</v>
      </c>
      <c r="AV33" s="99">
        <v>8</v>
      </c>
      <c r="AW33" s="99">
        <v>3792</v>
      </c>
      <c r="AX33" s="99">
        <v>8</v>
      </c>
      <c r="AY33" s="99">
        <v>3792</v>
      </c>
      <c r="AZ33" s="99">
        <v>12</v>
      </c>
      <c r="BA33" s="99">
        <v>5688</v>
      </c>
      <c r="BB33" s="99">
        <v>8</v>
      </c>
      <c r="BC33" s="99">
        <v>3792</v>
      </c>
      <c r="BD33" s="99">
        <v>12</v>
      </c>
      <c r="BE33" s="99">
        <v>5688</v>
      </c>
      <c r="BF33" s="99">
        <v>11</v>
      </c>
      <c r="BG33" s="99">
        <v>5214</v>
      </c>
      <c r="BH33" s="99">
        <v>10</v>
      </c>
      <c r="BI33" s="99">
        <v>4740</v>
      </c>
      <c r="BJ33" s="99">
        <v>10</v>
      </c>
      <c r="BK33" s="99">
        <v>4740</v>
      </c>
      <c r="BL33" s="99">
        <v>16</v>
      </c>
      <c r="BM33" s="99">
        <v>7584</v>
      </c>
      <c r="BN33" s="99">
        <v>11</v>
      </c>
      <c r="BO33" s="99">
        <v>5214</v>
      </c>
      <c r="BP33" s="99">
        <v>12</v>
      </c>
      <c r="BQ33" s="99">
        <v>5688</v>
      </c>
      <c r="BR33" s="99">
        <v>10</v>
      </c>
      <c r="BS33" s="99">
        <v>4740</v>
      </c>
      <c r="BT33" s="99">
        <v>10</v>
      </c>
      <c r="BU33" s="99">
        <v>4740</v>
      </c>
      <c r="BV33" s="99">
        <v>15</v>
      </c>
      <c r="BW33" s="99">
        <v>7110</v>
      </c>
      <c r="BX33" s="99">
        <v>9</v>
      </c>
      <c r="BY33" s="99">
        <v>4266</v>
      </c>
      <c r="BZ33" s="99">
        <v>8</v>
      </c>
      <c r="CA33" s="99">
        <v>3792</v>
      </c>
      <c r="CB33" s="99">
        <v>12</v>
      </c>
      <c r="CC33" s="99">
        <v>5688</v>
      </c>
      <c r="CD33" s="99">
        <v>8</v>
      </c>
      <c r="CE33" s="99">
        <v>3792</v>
      </c>
      <c r="CF33" s="99">
        <v>9</v>
      </c>
      <c r="CG33" s="99">
        <v>4266</v>
      </c>
      <c r="CH33" s="99">
        <v>16</v>
      </c>
      <c r="CI33" s="99">
        <v>7584</v>
      </c>
      <c r="CJ33" s="99">
        <v>12</v>
      </c>
      <c r="CK33" s="99">
        <v>5688</v>
      </c>
      <c r="CL33" s="99">
        <v>14</v>
      </c>
      <c r="CM33" s="99">
        <v>6636</v>
      </c>
      <c r="CN33" s="99">
        <v>12</v>
      </c>
      <c r="CO33" s="99">
        <v>5688</v>
      </c>
      <c r="CP33" s="99">
        <v>14</v>
      </c>
      <c r="CQ33" s="99">
        <v>6636</v>
      </c>
      <c r="CR33" s="99">
        <v>11</v>
      </c>
      <c r="CS33" s="99">
        <v>5214</v>
      </c>
      <c r="CT33" s="99">
        <v>9</v>
      </c>
      <c r="CU33" s="99">
        <v>4266</v>
      </c>
    </row>
    <row r="34" spans="2:99">
      <c r="C34" s="98" t="s">
        <v>199</v>
      </c>
      <c r="D34" s="99">
        <v>0</v>
      </c>
      <c r="E34" s="99">
        <v>0</v>
      </c>
      <c r="F34" s="99">
        <v>0</v>
      </c>
      <c r="G34" s="99">
        <v>0</v>
      </c>
      <c r="H34" s="99">
        <v>0</v>
      </c>
      <c r="I34" s="99">
        <v>0</v>
      </c>
      <c r="J34" s="99">
        <v>8.1440165832052003</v>
      </c>
      <c r="K34" s="99">
        <v>4466.1786942297313</v>
      </c>
      <c r="L34" s="99">
        <v>5.6864812064851842</v>
      </c>
      <c r="M34" s="99">
        <v>3118.4662936364748</v>
      </c>
      <c r="N34" s="99">
        <v>14</v>
      </c>
      <c r="O34" s="99">
        <v>7677.5999999999995</v>
      </c>
      <c r="P34" s="99">
        <v>14</v>
      </c>
      <c r="Q34" s="99">
        <v>7677.5999999999995</v>
      </c>
      <c r="R34" s="99">
        <v>11</v>
      </c>
      <c r="S34" s="99">
        <v>6032.4</v>
      </c>
      <c r="T34" s="99">
        <v>11</v>
      </c>
      <c r="U34" s="99">
        <v>6032.4</v>
      </c>
      <c r="V34" s="99">
        <v>9</v>
      </c>
      <c r="W34" s="99">
        <v>4935.5999999999995</v>
      </c>
      <c r="X34" s="99">
        <v>15</v>
      </c>
      <c r="Y34" s="99">
        <v>8226</v>
      </c>
      <c r="Z34" s="99">
        <v>14</v>
      </c>
      <c r="AA34" s="99">
        <v>7677.5999999999995</v>
      </c>
      <c r="AB34" s="99">
        <v>13</v>
      </c>
      <c r="AC34" s="99">
        <v>7129.2</v>
      </c>
      <c r="AD34" s="99">
        <v>10</v>
      </c>
      <c r="AE34" s="99">
        <v>5484</v>
      </c>
      <c r="AF34" s="99">
        <v>13</v>
      </c>
      <c r="AG34" s="99">
        <v>7129.2</v>
      </c>
      <c r="AH34" s="99">
        <v>13</v>
      </c>
      <c r="AI34" s="99">
        <v>7129.2</v>
      </c>
      <c r="AJ34" s="99">
        <v>11</v>
      </c>
      <c r="AK34" s="99">
        <v>6032.4</v>
      </c>
      <c r="AL34" s="99">
        <v>12</v>
      </c>
      <c r="AM34" s="99">
        <v>6580.7999999999993</v>
      </c>
      <c r="AN34" s="99">
        <v>12</v>
      </c>
      <c r="AO34" s="99">
        <v>6580.7999999999993</v>
      </c>
      <c r="AP34" s="99">
        <v>9</v>
      </c>
      <c r="AQ34" s="99">
        <v>4935.5999999999995</v>
      </c>
      <c r="AR34" s="99">
        <v>12</v>
      </c>
      <c r="AS34" s="99">
        <v>6580.7999999999993</v>
      </c>
      <c r="AT34" s="99">
        <v>12</v>
      </c>
      <c r="AU34" s="99">
        <v>6580.7999999999993</v>
      </c>
      <c r="AV34" s="99">
        <v>7</v>
      </c>
      <c r="AW34" s="99">
        <v>3838.7999999999997</v>
      </c>
      <c r="AX34" s="99">
        <v>7</v>
      </c>
      <c r="AY34" s="99">
        <v>3838.7999999999997</v>
      </c>
      <c r="AZ34" s="99">
        <v>13</v>
      </c>
      <c r="BA34" s="99">
        <v>7129.2</v>
      </c>
      <c r="BB34" s="99">
        <v>9</v>
      </c>
      <c r="BC34" s="99">
        <v>4935.5999999999995</v>
      </c>
      <c r="BD34" s="99">
        <v>12</v>
      </c>
      <c r="BE34" s="99">
        <v>6580.7999999999993</v>
      </c>
      <c r="BF34" s="99">
        <v>10</v>
      </c>
      <c r="BG34" s="99">
        <v>5484</v>
      </c>
      <c r="BH34" s="99">
        <v>10</v>
      </c>
      <c r="BI34" s="99">
        <v>5484</v>
      </c>
      <c r="BJ34" s="99">
        <v>11</v>
      </c>
      <c r="BK34" s="99">
        <v>6032.4</v>
      </c>
      <c r="BL34" s="99">
        <v>15</v>
      </c>
      <c r="BM34" s="99">
        <v>8226</v>
      </c>
      <c r="BN34" s="99">
        <v>10</v>
      </c>
      <c r="BO34" s="99">
        <v>5484</v>
      </c>
      <c r="BP34" s="99">
        <v>12</v>
      </c>
      <c r="BQ34" s="99">
        <v>6580.7999999999993</v>
      </c>
      <c r="BR34" s="99">
        <v>11</v>
      </c>
      <c r="BS34" s="99">
        <v>6032.4</v>
      </c>
      <c r="BT34" s="99">
        <v>9</v>
      </c>
      <c r="BU34" s="99">
        <v>4935.5999999999995</v>
      </c>
      <c r="BV34" s="99">
        <v>13</v>
      </c>
      <c r="BW34" s="99">
        <v>7129.2</v>
      </c>
      <c r="BX34" s="99">
        <v>9</v>
      </c>
      <c r="BY34" s="99">
        <v>4935.5999999999995</v>
      </c>
      <c r="BZ34" s="99">
        <v>8</v>
      </c>
      <c r="CA34" s="99">
        <v>4387.2</v>
      </c>
      <c r="CB34" s="99">
        <v>12</v>
      </c>
      <c r="CC34" s="99">
        <v>6580.7999999999993</v>
      </c>
      <c r="CD34" s="99">
        <v>8</v>
      </c>
      <c r="CE34" s="99">
        <v>4387.2</v>
      </c>
      <c r="CF34" s="99">
        <v>10</v>
      </c>
      <c r="CG34" s="99">
        <v>5484</v>
      </c>
      <c r="CH34" s="99">
        <v>16</v>
      </c>
      <c r="CI34" s="99">
        <v>8774.4</v>
      </c>
      <c r="CJ34" s="99">
        <v>12</v>
      </c>
      <c r="CK34" s="99">
        <v>6580.7999999999993</v>
      </c>
      <c r="CL34" s="99">
        <v>16</v>
      </c>
      <c r="CM34" s="99">
        <v>8774.4</v>
      </c>
      <c r="CN34" s="99">
        <v>13</v>
      </c>
      <c r="CO34" s="99">
        <v>7129.2</v>
      </c>
      <c r="CP34" s="99">
        <v>15</v>
      </c>
      <c r="CQ34" s="99">
        <v>8226</v>
      </c>
      <c r="CR34" s="99">
        <v>11</v>
      </c>
      <c r="CS34" s="99">
        <v>6032.4</v>
      </c>
      <c r="CT34" s="99">
        <v>10</v>
      </c>
      <c r="CU34" s="99">
        <v>5484</v>
      </c>
    </row>
    <row r="35" spans="2:99">
      <c r="C35" s="98" t="s">
        <v>200</v>
      </c>
      <c r="D35" s="99">
        <v>0</v>
      </c>
      <c r="E35" s="99">
        <v>0</v>
      </c>
      <c r="F35" s="99">
        <v>0</v>
      </c>
      <c r="G35" s="99">
        <v>0</v>
      </c>
      <c r="H35" s="99">
        <v>0</v>
      </c>
      <c r="I35" s="99">
        <v>0</v>
      </c>
      <c r="J35" s="99">
        <v>8.1440165832052003</v>
      </c>
      <c r="K35" s="99">
        <v>4094.8115380355739</v>
      </c>
      <c r="L35" s="99">
        <v>6.2034340434383832</v>
      </c>
      <c r="M35" s="99">
        <v>3119.0866370408185</v>
      </c>
      <c r="N35" s="99">
        <v>14</v>
      </c>
      <c r="O35" s="99">
        <v>7039.1999999999989</v>
      </c>
      <c r="P35" s="99">
        <v>15</v>
      </c>
      <c r="Q35" s="99">
        <v>7541.9999999999982</v>
      </c>
      <c r="R35" s="99">
        <v>11</v>
      </c>
      <c r="S35" s="99">
        <v>5530.7999999999993</v>
      </c>
      <c r="T35" s="99">
        <v>11</v>
      </c>
      <c r="U35" s="99">
        <v>5530.7999999999993</v>
      </c>
      <c r="V35" s="99">
        <v>8</v>
      </c>
      <c r="W35" s="99">
        <v>4022.3999999999992</v>
      </c>
      <c r="X35" s="99">
        <v>13</v>
      </c>
      <c r="Y35" s="99">
        <v>6536.3999999999987</v>
      </c>
      <c r="Z35" s="99">
        <v>14</v>
      </c>
      <c r="AA35" s="99">
        <v>7039.1999999999989</v>
      </c>
      <c r="AB35" s="99">
        <v>15</v>
      </c>
      <c r="AC35" s="99">
        <v>7541.9999999999982</v>
      </c>
      <c r="AD35" s="99">
        <v>10</v>
      </c>
      <c r="AE35" s="99">
        <v>5027.9999999999991</v>
      </c>
      <c r="AF35" s="99">
        <v>11</v>
      </c>
      <c r="AG35" s="99">
        <v>5530.7999999999993</v>
      </c>
      <c r="AH35" s="99">
        <v>13</v>
      </c>
      <c r="AI35" s="99">
        <v>6536.3999999999987</v>
      </c>
      <c r="AJ35" s="99">
        <v>11</v>
      </c>
      <c r="AK35" s="99">
        <v>5530.7999999999993</v>
      </c>
      <c r="AL35" s="99">
        <v>14</v>
      </c>
      <c r="AM35" s="99">
        <v>7039.1999999999989</v>
      </c>
      <c r="AN35" s="99">
        <v>11</v>
      </c>
      <c r="AO35" s="99">
        <v>5530.7999999999993</v>
      </c>
      <c r="AP35" s="99">
        <v>9</v>
      </c>
      <c r="AQ35" s="99">
        <v>4525.1999999999989</v>
      </c>
      <c r="AR35" s="99">
        <v>12</v>
      </c>
      <c r="AS35" s="99">
        <v>6033.5999999999985</v>
      </c>
      <c r="AT35" s="99">
        <v>13</v>
      </c>
      <c r="AU35" s="99">
        <v>6536.3999999999987</v>
      </c>
      <c r="AV35" s="99">
        <v>8</v>
      </c>
      <c r="AW35" s="99">
        <v>4022.3999999999992</v>
      </c>
      <c r="AX35" s="99">
        <v>7</v>
      </c>
      <c r="AY35" s="99">
        <v>3519.5999999999995</v>
      </c>
      <c r="AZ35" s="99">
        <v>12</v>
      </c>
      <c r="BA35" s="99">
        <v>6033.5999999999985</v>
      </c>
      <c r="BB35" s="99">
        <v>8</v>
      </c>
      <c r="BC35" s="99">
        <v>4022.3999999999992</v>
      </c>
      <c r="BD35" s="99">
        <v>11</v>
      </c>
      <c r="BE35" s="99">
        <v>5530.7999999999993</v>
      </c>
      <c r="BF35" s="99">
        <v>12</v>
      </c>
      <c r="BG35" s="99">
        <v>6033.5999999999985</v>
      </c>
      <c r="BH35" s="99">
        <v>10</v>
      </c>
      <c r="BI35" s="99">
        <v>5027.9999999999991</v>
      </c>
      <c r="BJ35" s="99">
        <v>10</v>
      </c>
      <c r="BK35" s="99">
        <v>5027.9999999999991</v>
      </c>
      <c r="BL35" s="99">
        <v>15</v>
      </c>
      <c r="BM35" s="99">
        <v>7541.9999999999982</v>
      </c>
      <c r="BN35" s="99">
        <v>9</v>
      </c>
      <c r="BO35" s="99">
        <v>4525.1999999999989</v>
      </c>
      <c r="BP35" s="99">
        <v>12</v>
      </c>
      <c r="BQ35" s="99">
        <v>6033.5999999999985</v>
      </c>
      <c r="BR35" s="99">
        <v>10</v>
      </c>
      <c r="BS35" s="99">
        <v>5027.9999999999991</v>
      </c>
      <c r="BT35" s="99">
        <v>9</v>
      </c>
      <c r="BU35" s="99">
        <v>4525.1999999999989</v>
      </c>
      <c r="BV35" s="99">
        <v>14</v>
      </c>
      <c r="BW35" s="99">
        <v>7039.1999999999989</v>
      </c>
      <c r="BX35" s="99">
        <v>8</v>
      </c>
      <c r="BY35" s="99">
        <v>4022.3999999999992</v>
      </c>
      <c r="BZ35" s="99">
        <v>8</v>
      </c>
      <c r="CA35" s="99">
        <v>4022.3999999999992</v>
      </c>
      <c r="CB35" s="99">
        <v>11</v>
      </c>
      <c r="CC35" s="99">
        <v>5530.7999999999993</v>
      </c>
      <c r="CD35" s="99">
        <v>8</v>
      </c>
      <c r="CE35" s="99">
        <v>4022.3999999999992</v>
      </c>
      <c r="CF35" s="99">
        <v>11</v>
      </c>
      <c r="CG35" s="99">
        <v>5530.7999999999993</v>
      </c>
      <c r="CH35" s="99">
        <v>15</v>
      </c>
      <c r="CI35" s="99">
        <v>7541.9999999999982</v>
      </c>
      <c r="CJ35" s="99">
        <v>11</v>
      </c>
      <c r="CK35" s="99">
        <v>5530.7999999999993</v>
      </c>
      <c r="CL35" s="99">
        <v>17</v>
      </c>
      <c r="CM35" s="99">
        <v>8547.5999999999985</v>
      </c>
      <c r="CN35" s="99">
        <v>14</v>
      </c>
      <c r="CO35" s="99">
        <v>7039.1999999999989</v>
      </c>
      <c r="CP35" s="99">
        <v>16</v>
      </c>
      <c r="CQ35" s="99">
        <v>8044.7999999999984</v>
      </c>
      <c r="CR35" s="99">
        <v>11</v>
      </c>
      <c r="CS35" s="99">
        <v>5530.7999999999993</v>
      </c>
      <c r="CT35" s="99">
        <v>9</v>
      </c>
      <c r="CU35" s="99">
        <v>4525.1999999999989</v>
      </c>
    </row>
    <row r="36" spans="2:99">
      <c r="C36" s="98" t="s">
        <v>201</v>
      </c>
      <c r="D36" s="99">
        <v>0</v>
      </c>
      <c r="E36" s="99">
        <v>0</v>
      </c>
      <c r="F36" s="99">
        <v>0</v>
      </c>
      <c r="G36" s="99">
        <v>0</v>
      </c>
      <c r="H36" s="99">
        <v>0</v>
      </c>
      <c r="I36" s="99">
        <v>0</v>
      </c>
      <c r="J36" s="99">
        <v>8.1440165832052003</v>
      </c>
      <c r="K36" s="99">
        <v>6195.9678165025161</v>
      </c>
      <c r="L36" s="99">
        <v>5.6864812064851842</v>
      </c>
      <c r="M36" s="99">
        <v>4326.2749018939276</v>
      </c>
      <c r="N36" s="99">
        <v>14</v>
      </c>
      <c r="O36" s="99">
        <v>10651.199999999999</v>
      </c>
      <c r="P36" s="99">
        <v>13</v>
      </c>
      <c r="Q36" s="99">
        <v>9890.4</v>
      </c>
      <c r="R36" s="99">
        <v>11</v>
      </c>
      <c r="S36" s="99">
        <v>8368.7999999999993</v>
      </c>
      <c r="T36" s="99">
        <v>11</v>
      </c>
      <c r="U36" s="99">
        <v>8368.7999999999993</v>
      </c>
      <c r="V36" s="99">
        <v>8</v>
      </c>
      <c r="W36" s="99">
        <v>6086.4</v>
      </c>
      <c r="X36" s="99">
        <v>14</v>
      </c>
      <c r="Y36" s="99">
        <v>10651.199999999999</v>
      </c>
      <c r="Z36" s="99">
        <v>13</v>
      </c>
      <c r="AA36" s="99">
        <v>9890.4</v>
      </c>
      <c r="AB36" s="99">
        <v>13</v>
      </c>
      <c r="AC36" s="99">
        <v>9890.4</v>
      </c>
      <c r="AD36" s="99">
        <v>9</v>
      </c>
      <c r="AE36" s="99">
        <v>6847.2</v>
      </c>
      <c r="AF36" s="99">
        <v>13</v>
      </c>
      <c r="AG36" s="99">
        <v>9890.4</v>
      </c>
      <c r="AH36" s="99">
        <v>12</v>
      </c>
      <c r="AI36" s="99">
        <v>9129.5999999999985</v>
      </c>
      <c r="AJ36" s="99">
        <v>13</v>
      </c>
      <c r="AK36" s="99">
        <v>9890.4</v>
      </c>
      <c r="AL36" s="99">
        <v>13</v>
      </c>
      <c r="AM36" s="99">
        <v>9890.4</v>
      </c>
      <c r="AN36" s="99">
        <v>11</v>
      </c>
      <c r="AO36" s="99">
        <v>8368.7999999999993</v>
      </c>
      <c r="AP36" s="99">
        <v>10</v>
      </c>
      <c r="AQ36" s="99">
        <v>7608</v>
      </c>
      <c r="AR36" s="99">
        <v>12</v>
      </c>
      <c r="AS36" s="99">
        <v>9129.5999999999985</v>
      </c>
      <c r="AT36" s="99">
        <v>11</v>
      </c>
      <c r="AU36" s="99">
        <v>8368.7999999999993</v>
      </c>
      <c r="AV36" s="99">
        <v>8</v>
      </c>
      <c r="AW36" s="99">
        <v>6086.4</v>
      </c>
      <c r="AX36" s="99">
        <v>8</v>
      </c>
      <c r="AY36" s="99">
        <v>6086.4</v>
      </c>
      <c r="AZ36" s="99">
        <v>13</v>
      </c>
      <c r="BA36" s="99">
        <v>9890.4</v>
      </c>
      <c r="BB36" s="99">
        <v>8</v>
      </c>
      <c r="BC36" s="99">
        <v>6086.4</v>
      </c>
      <c r="BD36" s="99">
        <v>12</v>
      </c>
      <c r="BE36" s="99">
        <v>9129.5999999999985</v>
      </c>
      <c r="BF36" s="99">
        <v>11</v>
      </c>
      <c r="BG36" s="99">
        <v>8368.7999999999993</v>
      </c>
      <c r="BH36" s="99">
        <v>10</v>
      </c>
      <c r="BI36" s="99">
        <v>7608</v>
      </c>
      <c r="BJ36" s="99">
        <v>9</v>
      </c>
      <c r="BK36" s="99">
        <v>6847.2</v>
      </c>
      <c r="BL36" s="99">
        <v>14</v>
      </c>
      <c r="BM36" s="99">
        <v>10651.199999999999</v>
      </c>
      <c r="BN36" s="99">
        <v>9</v>
      </c>
      <c r="BO36" s="99">
        <v>6847.2</v>
      </c>
      <c r="BP36" s="99">
        <v>13</v>
      </c>
      <c r="BQ36" s="99">
        <v>9890.4</v>
      </c>
      <c r="BR36" s="99">
        <v>9</v>
      </c>
      <c r="BS36" s="99">
        <v>6847.2</v>
      </c>
      <c r="BT36" s="99">
        <v>9</v>
      </c>
      <c r="BU36" s="99">
        <v>6847.2</v>
      </c>
      <c r="BV36" s="99">
        <v>12</v>
      </c>
      <c r="BW36" s="99">
        <v>9129.5999999999985</v>
      </c>
      <c r="BX36" s="99">
        <v>9</v>
      </c>
      <c r="BY36" s="99">
        <v>6847.2</v>
      </c>
      <c r="BZ36" s="99">
        <v>9</v>
      </c>
      <c r="CA36" s="99">
        <v>6847.2</v>
      </c>
      <c r="CB36" s="99">
        <v>12</v>
      </c>
      <c r="CC36" s="99">
        <v>9129.5999999999985</v>
      </c>
      <c r="CD36" s="99">
        <v>9</v>
      </c>
      <c r="CE36" s="99">
        <v>6847.2</v>
      </c>
      <c r="CF36" s="99">
        <v>9</v>
      </c>
      <c r="CG36" s="99">
        <v>6847.2</v>
      </c>
      <c r="CH36" s="99">
        <v>16</v>
      </c>
      <c r="CI36" s="99">
        <v>12172.8</v>
      </c>
      <c r="CJ36" s="99">
        <v>12</v>
      </c>
      <c r="CK36" s="99">
        <v>9129.5999999999985</v>
      </c>
      <c r="CL36" s="99">
        <v>16</v>
      </c>
      <c r="CM36" s="99">
        <v>12172.8</v>
      </c>
      <c r="CN36" s="99">
        <v>12</v>
      </c>
      <c r="CO36" s="99">
        <v>9129.5999999999985</v>
      </c>
      <c r="CP36" s="99">
        <v>16</v>
      </c>
      <c r="CQ36" s="99">
        <v>12172.8</v>
      </c>
      <c r="CR36" s="99">
        <v>10</v>
      </c>
      <c r="CS36" s="99">
        <v>7608</v>
      </c>
      <c r="CT36" s="99">
        <v>9</v>
      </c>
      <c r="CU36" s="99">
        <v>6847.2</v>
      </c>
    </row>
    <row r="37" spans="2:99">
      <c r="B37" s="98" t="s">
        <v>128</v>
      </c>
      <c r="C37" s="98" t="s">
        <v>202</v>
      </c>
      <c r="D37" s="99">
        <v>0</v>
      </c>
      <c r="E37" s="99">
        <v>0</v>
      </c>
      <c r="F37" s="99">
        <v>0</v>
      </c>
      <c r="G37" s="99">
        <v>0</v>
      </c>
      <c r="H37" s="99">
        <v>0</v>
      </c>
      <c r="I37" s="99">
        <v>0</v>
      </c>
      <c r="J37" s="99">
        <v>4.4421908635664726</v>
      </c>
      <c r="K37" s="99">
        <v>3822.0610190125931</v>
      </c>
      <c r="L37" s="99">
        <v>4.1356226956255888</v>
      </c>
      <c r="M37" s="99">
        <v>3558.2897673162565</v>
      </c>
      <c r="N37" s="99">
        <v>7</v>
      </c>
      <c r="O37" s="99">
        <v>6022.8</v>
      </c>
      <c r="P37" s="99">
        <v>7</v>
      </c>
      <c r="Q37" s="99">
        <v>6022.8</v>
      </c>
      <c r="R37" s="99">
        <v>5</v>
      </c>
      <c r="S37" s="99">
        <v>4302</v>
      </c>
      <c r="T37" s="99">
        <v>5</v>
      </c>
      <c r="U37" s="99">
        <v>4302</v>
      </c>
      <c r="V37" s="99">
        <v>8</v>
      </c>
      <c r="W37" s="99">
        <v>6883.2</v>
      </c>
      <c r="X37" s="99">
        <v>9</v>
      </c>
      <c r="Y37" s="99">
        <v>7743.5999999999995</v>
      </c>
      <c r="Z37" s="99">
        <v>6</v>
      </c>
      <c r="AA37" s="99">
        <v>5162.3999999999996</v>
      </c>
      <c r="AB37" s="99">
        <v>6</v>
      </c>
      <c r="AC37" s="99">
        <v>5162.3999999999996</v>
      </c>
      <c r="AD37" s="99">
        <v>5</v>
      </c>
      <c r="AE37" s="99">
        <v>4302</v>
      </c>
      <c r="AF37" s="99">
        <v>5</v>
      </c>
      <c r="AG37" s="99">
        <v>4302</v>
      </c>
      <c r="AH37" s="99">
        <v>8</v>
      </c>
      <c r="AI37" s="99">
        <v>6883.2</v>
      </c>
      <c r="AJ37" s="99">
        <v>7</v>
      </c>
      <c r="AK37" s="99">
        <v>6022.8</v>
      </c>
      <c r="AL37" s="99">
        <v>7</v>
      </c>
      <c r="AM37" s="99">
        <v>6022.8</v>
      </c>
      <c r="AN37" s="99">
        <v>6</v>
      </c>
      <c r="AO37" s="99">
        <v>5162.3999999999996</v>
      </c>
      <c r="AP37" s="99">
        <v>8</v>
      </c>
      <c r="AQ37" s="99">
        <v>6883.2</v>
      </c>
      <c r="AR37" s="99">
        <v>5</v>
      </c>
      <c r="AS37" s="99">
        <v>4302</v>
      </c>
      <c r="AT37" s="99">
        <v>8</v>
      </c>
      <c r="AU37" s="99">
        <v>6883.2</v>
      </c>
      <c r="AV37" s="99">
        <v>7</v>
      </c>
      <c r="AW37" s="99">
        <v>6022.8</v>
      </c>
      <c r="AX37" s="99">
        <v>5</v>
      </c>
      <c r="AY37" s="99">
        <v>4302</v>
      </c>
      <c r="AZ37" s="99">
        <v>6</v>
      </c>
      <c r="BA37" s="99">
        <v>5162.3999999999996</v>
      </c>
      <c r="BB37" s="99">
        <v>6</v>
      </c>
      <c r="BC37" s="99">
        <v>5162.3999999999996</v>
      </c>
      <c r="BD37" s="99">
        <v>5</v>
      </c>
      <c r="BE37" s="99">
        <v>4302</v>
      </c>
      <c r="BF37" s="99">
        <v>7</v>
      </c>
      <c r="BG37" s="99">
        <v>6022.8</v>
      </c>
      <c r="BH37" s="99">
        <v>5</v>
      </c>
      <c r="BI37" s="99">
        <v>4302</v>
      </c>
      <c r="BJ37" s="99">
        <v>5</v>
      </c>
      <c r="BK37" s="99">
        <v>4302</v>
      </c>
      <c r="BL37" s="99">
        <v>6</v>
      </c>
      <c r="BM37" s="99">
        <v>5162.3999999999996</v>
      </c>
      <c r="BN37" s="99">
        <v>5.3143985825773097</v>
      </c>
      <c r="BO37" s="99">
        <v>4572.5085404495176</v>
      </c>
      <c r="BP37" s="99">
        <v>6</v>
      </c>
      <c r="BQ37" s="99">
        <v>5162.3999999999996</v>
      </c>
      <c r="BR37" s="99">
        <v>5</v>
      </c>
      <c r="BS37" s="99">
        <v>4302</v>
      </c>
      <c r="BT37" s="99">
        <v>8</v>
      </c>
      <c r="BU37" s="99">
        <v>6883.2</v>
      </c>
      <c r="BV37" s="99">
        <v>4</v>
      </c>
      <c r="BW37" s="99">
        <v>3441.6</v>
      </c>
      <c r="BX37" s="99">
        <v>7</v>
      </c>
      <c r="BY37" s="99">
        <v>6022.8</v>
      </c>
      <c r="BZ37" s="99">
        <v>5</v>
      </c>
      <c r="CA37" s="99">
        <v>4302</v>
      </c>
      <c r="CB37" s="99">
        <v>9</v>
      </c>
      <c r="CC37" s="99">
        <v>7743.5999999999995</v>
      </c>
      <c r="CD37" s="99">
        <v>8</v>
      </c>
      <c r="CE37" s="99">
        <v>6883.2</v>
      </c>
      <c r="CF37" s="99">
        <v>6</v>
      </c>
      <c r="CG37" s="99">
        <v>5162.3999999999996</v>
      </c>
      <c r="CH37" s="99">
        <v>5</v>
      </c>
      <c r="CI37" s="99">
        <v>4302</v>
      </c>
      <c r="CJ37" s="99">
        <v>8</v>
      </c>
      <c r="CK37" s="99">
        <v>6883.2</v>
      </c>
      <c r="CL37" s="99">
        <v>7</v>
      </c>
      <c r="CM37" s="99">
        <v>6022.8</v>
      </c>
      <c r="CN37" s="99">
        <v>8</v>
      </c>
      <c r="CO37" s="99">
        <v>6883.2</v>
      </c>
      <c r="CP37" s="99">
        <v>9</v>
      </c>
      <c r="CQ37" s="99">
        <v>7743.5999999999995</v>
      </c>
      <c r="CR37" s="99">
        <v>5</v>
      </c>
      <c r="CS37" s="99">
        <v>4302</v>
      </c>
      <c r="CT37" s="99">
        <v>7.3099223714814778</v>
      </c>
      <c r="CU37" s="99">
        <v>6289.4572084226629</v>
      </c>
    </row>
    <row r="38" spans="2:99">
      <c r="C38" s="98" t="s">
        <v>203</v>
      </c>
      <c r="D38" s="99">
        <v>0</v>
      </c>
      <c r="E38" s="99">
        <v>0</v>
      </c>
      <c r="F38" s="99">
        <v>0</v>
      </c>
      <c r="G38" s="99">
        <v>0</v>
      </c>
      <c r="H38" s="99">
        <v>0</v>
      </c>
      <c r="I38" s="99">
        <v>0</v>
      </c>
      <c r="J38" s="99">
        <v>4.4421908635664726</v>
      </c>
      <c r="K38" s="99">
        <v>5517.2010525495589</v>
      </c>
      <c r="L38" s="99">
        <v>4.1356226956255888</v>
      </c>
      <c r="M38" s="99">
        <v>5136.4433879669814</v>
      </c>
      <c r="N38" s="99">
        <v>7</v>
      </c>
      <c r="O38" s="99">
        <v>8694</v>
      </c>
      <c r="P38" s="99">
        <v>7</v>
      </c>
      <c r="Q38" s="99">
        <v>8694</v>
      </c>
      <c r="R38" s="99">
        <v>4</v>
      </c>
      <c r="S38" s="99">
        <v>4968</v>
      </c>
      <c r="T38" s="99">
        <v>5</v>
      </c>
      <c r="U38" s="99">
        <v>6210</v>
      </c>
      <c r="V38" s="99">
        <v>7</v>
      </c>
      <c r="W38" s="99">
        <v>8694</v>
      </c>
      <c r="X38" s="99">
        <v>8</v>
      </c>
      <c r="Y38" s="99">
        <v>9936</v>
      </c>
      <c r="Z38" s="99">
        <v>6</v>
      </c>
      <c r="AA38" s="99">
        <v>7452</v>
      </c>
      <c r="AB38" s="99">
        <v>6</v>
      </c>
      <c r="AC38" s="99">
        <v>7452</v>
      </c>
      <c r="AD38" s="99">
        <v>5</v>
      </c>
      <c r="AE38" s="99">
        <v>6210</v>
      </c>
      <c r="AF38" s="99">
        <v>5</v>
      </c>
      <c r="AG38" s="99">
        <v>6210</v>
      </c>
      <c r="AH38" s="99">
        <v>8</v>
      </c>
      <c r="AI38" s="99">
        <v>9936</v>
      </c>
      <c r="AJ38" s="99">
        <v>8</v>
      </c>
      <c r="AK38" s="99">
        <v>9936</v>
      </c>
      <c r="AL38" s="99">
        <v>7</v>
      </c>
      <c r="AM38" s="99">
        <v>8694</v>
      </c>
      <c r="AN38" s="99">
        <v>7</v>
      </c>
      <c r="AO38" s="99">
        <v>8694</v>
      </c>
      <c r="AP38" s="99">
        <v>7</v>
      </c>
      <c r="AQ38" s="99">
        <v>8694</v>
      </c>
      <c r="AR38" s="99">
        <v>5</v>
      </c>
      <c r="AS38" s="99">
        <v>6210</v>
      </c>
      <c r="AT38" s="99">
        <v>7</v>
      </c>
      <c r="AU38" s="99">
        <v>8694</v>
      </c>
      <c r="AV38" s="99">
        <v>7</v>
      </c>
      <c r="AW38" s="99">
        <v>8694</v>
      </c>
      <c r="AX38" s="99">
        <v>5</v>
      </c>
      <c r="AY38" s="99">
        <v>6210</v>
      </c>
      <c r="AZ38" s="99">
        <v>6</v>
      </c>
      <c r="BA38" s="99">
        <v>7452</v>
      </c>
      <c r="BB38" s="99">
        <v>5</v>
      </c>
      <c r="BC38" s="99">
        <v>6210</v>
      </c>
      <c r="BD38" s="99">
        <v>5</v>
      </c>
      <c r="BE38" s="99">
        <v>6210</v>
      </c>
      <c r="BF38" s="99">
        <v>7</v>
      </c>
      <c r="BG38" s="99">
        <v>8694</v>
      </c>
      <c r="BH38" s="99">
        <v>5</v>
      </c>
      <c r="BI38" s="99">
        <v>6210</v>
      </c>
      <c r="BJ38" s="99">
        <v>5</v>
      </c>
      <c r="BK38" s="99">
        <v>6210</v>
      </c>
      <c r="BL38" s="99">
        <v>6</v>
      </c>
      <c r="BM38" s="99">
        <v>7452</v>
      </c>
      <c r="BN38" s="99">
        <v>4.2694844993519796</v>
      </c>
      <c r="BO38" s="99">
        <v>5302.6997481951585</v>
      </c>
      <c r="BP38" s="99">
        <v>6</v>
      </c>
      <c r="BQ38" s="99">
        <v>7452</v>
      </c>
      <c r="BR38" s="99">
        <v>6</v>
      </c>
      <c r="BS38" s="99">
        <v>7452</v>
      </c>
      <c r="BT38" s="99">
        <v>7</v>
      </c>
      <c r="BU38" s="99">
        <v>8694</v>
      </c>
      <c r="BV38" s="99">
        <v>5</v>
      </c>
      <c r="BW38" s="99">
        <v>6210</v>
      </c>
      <c r="BX38" s="99">
        <v>8</v>
      </c>
      <c r="BY38" s="99">
        <v>9936</v>
      </c>
      <c r="BZ38" s="99">
        <v>4</v>
      </c>
      <c r="CA38" s="99">
        <v>4968</v>
      </c>
      <c r="CB38" s="99">
        <v>8</v>
      </c>
      <c r="CC38" s="99">
        <v>9936</v>
      </c>
      <c r="CD38" s="99">
        <v>7</v>
      </c>
      <c r="CE38" s="99">
        <v>8694</v>
      </c>
      <c r="CF38" s="99">
        <v>7</v>
      </c>
      <c r="CG38" s="99">
        <v>8694</v>
      </c>
      <c r="CH38" s="99">
        <v>5</v>
      </c>
      <c r="CI38" s="99">
        <v>6210</v>
      </c>
      <c r="CJ38" s="99">
        <v>8</v>
      </c>
      <c r="CK38" s="99">
        <v>9936</v>
      </c>
      <c r="CL38" s="99">
        <v>6</v>
      </c>
      <c r="CM38" s="99">
        <v>7452</v>
      </c>
      <c r="CN38" s="99">
        <v>9</v>
      </c>
      <c r="CO38" s="99">
        <v>11178</v>
      </c>
      <c r="CP38" s="99">
        <v>8</v>
      </c>
      <c r="CQ38" s="99">
        <v>9936</v>
      </c>
      <c r="CR38" s="99">
        <v>4</v>
      </c>
      <c r="CS38" s="99">
        <v>4968</v>
      </c>
      <c r="CT38" s="99">
        <v>7.3541969959788318</v>
      </c>
      <c r="CU38" s="99">
        <v>9133.9126690057092</v>
      </c>
    </row>
    <row r="39" spans="2:99">
      <c r="C39" s="98" t="s">
        <v>204</v>
      </c>
      <c r="D39" s="99">
        <v>0</v>
      </c>
      <c r="E39" s="99">
        <v>0</v>
      </c>
      <c r="F39" s="99">
        <v>0</v>
      </c>
      <c r="G39" s="99">
        <v>0</v>
      </c>
      <c r="H39" s="99">
        <v>0</v>
      </c>
      <c r="I39" s="99">
        <v>0</v>
      </c>
      <c r="J39" s="99">
        <v>4.0596244062885116</v>
      </c>
      <c r="K39" s="99">
        <v>5777.6574550298101</v>
      </c>
      <c r="L39" s="99">
        <v>4.652575532578787</v>
      </c>
      <c r="M39" s="99">
        <v>6621.5454979661299</v>
      </c>
      <c r="N39" s="99">
        <v>8</v>
      </c>
      <c r="O39" s="99">
        <v>11385.6</v>
      </c>
      <c r="P39" s="99">
        <v>7</v>
      </c>
      <c r="Q39" s="99">
        <v>9962.4</v>
      </c>
      <c r="R39" s="99">
        <v>4</v>
      </c>
      <c r="S39" s="99">
        <v>5692.8</v>
      </c>
      <c r="T39" s="99">
        <v>5</v>
      </c>
      <c r="U39" s="99">
        <v>7116</v>
      </c>
      <c r="V39" s="99">
        <v>7</v>
      </c>
      <c r="W39" s="99">
        <v>9962.4</v>
      </c>
      <c r="X39" s="99">
        <v>7</v>
      </c>
      <c r="Y39" s="99">
        <v>9962.4</v>
      </c>
      <c r="Z39" s="99">
        <v>6</v>
      </c>
      <c r="AA39" s="99">
        <v>8539.2000000000007</v>
      </c>
      <c r="AB39" s="99">
        <v>6</v>
      </c>
      <c r="AC39" s="99">
        <v>8539.2000000000007</v>
      </c>
      <c r="AD39" s="99">
        <v>5</v>
      </c>
      <c r="AE39" s="99">
        <v>7116</v>
      </c>
      <c r="AF39" s="99">
        <v>5</v>
      </c>
      <c r="AG39" s="99">
        <v>7116</v>
      </c>
      <c r="AH39" s="99">
        <v>8</v>
      </c>
      <c r="AI39" s="99">
        <v>11385.6</v>
      </c>
      <c r="AJ39" s="99">
        <v>8</v>
      </c>
      <c r="AK39" s="99">
        <v>11385.6</v>
      </c>
      <c r="AL39" s="99">
        <v>7</v>
      </c>
      <c r="AM39" s="99">
        <v>9962.4</v>
      </c>
      <c r="AN39" s="99">
        <v>6</v>
      </c>
      <c r="AO39" s="99">
        <v>8539.2000000000007</v>
      </c>
      <c r="AP39" s="99">
        <v>8</v>
      </c>
      <c r="AQ39" s="99">
        <v>11385.6</v>
      </c>
      <c r="AR39" s="99">
        <v>6</v>
      </c>
      <c r="AS39" s="99">
        <v>8539.2000000000007</v>
      </c>
      <c r="AT39" s="99">
        <v>7</v>
      </c>
      <c r="AU39" s="99">
        <v>9962.4</v>
      </c>
      <c r="AV39" s="99">
        <v>6</v>
      </c>
      <c r="AW39" s="99">
        <v>8539.2000000000007</v>
      </c>
      <c r="AX39" s="99">
        <v>5</v>
      </c>
      <c r="AY39" s="99">
        <v>7116</v>
      </c>
      <c r="AZ39" s="99">
        <v>6</v>
      </c>
      <c r="BA39" s="99">
        <v>8539.2000000000007</v>
      </c>
      <c r="BB39" s="99">
        <v>5</v>
      </c>
      <c r="BC39" s="99">
        <v>7116</v>
      </c>
      <c r="BD39" s="99">
        <v>5</v>
      </c>
      <c r="BE39" s="99">
        <v>7116</v>
      </c>
      <c r="BF39" s="99">
        <v>7</v>
      </c>
      <c r="BG39" s="99">
        <v>9962.4</v>
      </c>
      <c r="BH39" s="99">
        <v>4</v>
      </c>
      <c r="BI39" s="99">
        <v>5692.8</v>
      </c>
      <c r="BJ39" s="99">
        <v>6</v>
      </c>
      <c r="BK39" s="99">
        <v>8539.2000000000007</v>
      </c>
      <c r="BL39" s="99">
        <v>6</v>
      </c>
      <c r="BM39" s="99">
        <v>8539.2000000000007</v>
      </c>
      <c r="BN39" s="99">
        <v>5.2694844993519796</v>
      </c>
      <c r="BO39" s="99">
        <v>7499.5303394777375</v>
      </c>
      <c r="BP39" s="99">
        <v>6</v>
      </c>
      <c r="BQ39" s="99">
        <v>8539.2000000000007</v>
      </c>
      <c r="BR39" s="99">
        <v>6</v>
      </c>
      <c r="BS39" s="99">
        <v>8539.2000000000007</v>
      </c>
      <c r="BT39" s="99">
        <v>7</v>
      </c>
      <c r="BU39" s="99">
        <v>9962.4</v>
      </c>
      <c r="BV39" s="99">
        <v>5</v>
      </c>
      <c r="BW39" s="99">
        <v>7116</v>
      </c>
      <c r="BX39" s="99">
        <v>7</v>
      </c>
      <c r="BY39" s="99">
        <v>9962.4</v>
      </c>
      <c r="BZ39" s="99">
        <v>4</v>
      </c>
      <c r="CA39" s="99">
        <v>5692.8</v>
      </c>
      <c r="CB39" s="99">
        <v>8</v>
      </c>
      <c r="CC39" s="99">
        <v>11385.6</v>
      </c>
      <c r="CD39" s="99">
        <v>7</v>
      </c>
      <c r="CE39" s="99">
        <v>9962.4</v>
      </c>
      <c r="CF39" s="99">
        <v>7</v>
      </c>
      <c r="CG39" s="99">
        <v>9962.4</v>
      </c>
      <c r="CH39" s="99">
        <v>4</v>
      </c>
      <c r="CI39" s="99">
        <v>5692.8</v>
      </c>
      <c r="CJ39" s="99">
        <v>8</v>
      </c>
      <c r="CK39" s="99">
        <v>11385.6</v>
      </c>
      <c r="CL39" s="99">
        <v>6</v>
      </c>
      <c r="CM39" s="99">
        <v>8539.2000000000007</v>
      </c>
      <c r="CN39" s="99">
        <v>8</v>
      </c>
      <c r="CO39" s="99">
        <v>11385.6</v>
      </c>
      <c r="CP39" s="99">
        <v>9</v>
      </c>
      <c r="CQ39" s="99">
        <v>12808.800000000001</v>
      </c>
      <c r="CR39" s="99">
        <v>5</v>
      </c>
      <c r="CS39" s="99">
        <v>7116</v>
      </c>
      <c r="CT39" s="99">
        <v>7.3541969959788318</v>
      </c>
      <c r="CU39" s="99">
        <v>10466.493164677073</v>
      </c>
    </row>
    <row r="40" spans="2:99">
      <c r="C40" s="98" t="s">
        <v>205</v>
      </c>
      <c r="D40" s="99">
        <v>0</v>
      </c>
      <c r="E40" s="99">
        <v>0</v>
      </c>
      <c r="F40" s="99">
        <v>0</v>
      </c>
      <c r="G40" s="99">
        <v>0</v>
      </c>
      <c r="H40" s="99">
        <v>0</v>
      </c>
      <c r="I40" s="99">
        <v>0</v>
      </c>
      <c r="J40" s="99">
        <v>4.0954042749534896</v>
      </c>
      <c r="K40" s="99">
        <v>2968.349018486289</v>
      </c>
      <c r="L40" s="99">
        <v>4.1356226956255888</v>
      </c>
      <c r="M40" s="99">
        <v>2997.4993297894266</v>
      </c>
      <c r="N40" s="99">
        <v>8</v>
      </c>
      <c r="O40" s="99">
        <v>5798.4</v>
      </c>
      <c r="P40" s="99">
        <v>8</v>
      </c>
      <c r="Q40" s="99">
        <v>5798.4</v>
      </c>
      <c r="R40" s="99">
        <v>5</v>
      </c>
      <c r="S40" s="99">
        <v>3624</v>
      </c>
      <c r="T40" s="99">
        <v>5</v>
      </c>
      <c r="U40" s="99">
        <v>3624</v>
      </c>
      <c r="V40" s="99">
        <v>7</v>
      </c>
      <c r="W40" s="99">
        <v>5073.5999999999995</v>
      </c>
      <c r="X40" s="99">
        <v>8</v>
      </c>
      <c r="Y40" s="99">
        <v>5798.4</v>
      </c>
      <c r="Z40" s="99">
        <v>6</v>
      </c>
      <c r="AA40" s="99">
        <v>4348.7999999999993</v>
      </c>
      <c r="AB40" s="99">
        <v>6</v>
      </c>
      <c r="AC40" s="99">
        <v>4348.7999999999993</v>
      </c>
      <c r="AD40" s="99">
        <v>5</v>
      </c>
      <c r="AE40" s="99">
        <v>3624</v>
      </c>
      <c r="AF40" s="99">
        <v>5</v>
      </c>
      <c r="AG40" s="99">
        <v>3624</v>
      </c>
      <c r="AH40" s="99">
        <v>9</v>
      </c>
      <c r="AI40" s="99">
        <v>6523.2</v>
      </c>
      <c r="AJ40" s="99">
        <v>7</v>
      </c>
      <c r="AK40" s="99">
        <v>5073.5999999999995</v>
      </c>
      <c r="AL40" s="99">
        <v>7</v>
      </c>
      <c r="AM40" s="99">
        <v>5073.5999999999995</v>
      </c>
      <c r="AN40" s="99">
        <v>6</v>
      </c>
      <c r="AO40" s="99">
        <v>4348.7999999999993</v>
      </c>
      <c r="AP40" s="99">
        <v>7</v>
      </c>
      <c r="AQ40" s="99">
        <v>5073.5999999999995</v>
      </c>
      <c r="AR40" s="99">
        <v>6</v>
      </c>
      <c r="AS40" s="99">
        <v>4348.7999999999993</v>
      </c>
      <c r="AT40" s="99">
        <v>8</v>
      </c>
      <c r="AU40" s="99">
        <v>5798.4</v>
      </c>
      <c r="AV40" s="99">
        <v>8</v>
      </c>
      <c r="AW40" s="99">
        <v>5798.4</v>
      </c>
      <c r="AX40" s="99">
        <v>5</v>
      </c>
      <c r="AY40" s="99">
        <v>3624</v>
      </c>
      <c r="AZ40" s="99">
        <v>5</v>
      </c>
      <c r="BA40" s="99">
        <v>3624</v>
      </c>
      <c r="BB40" s="99">
        <v>5</v>
      </c>
      <c r="BC40" s="99">
        <v>3624</v>
      </c>
      <c r="BD40" s="99">
        <v>5</v>
      </c>
      <c r="BE40" s="99">
        <v>3624</v>
      </c>
      <c r="BF40" s="99">
        <v>8</v>
      </c>
      <c r="BG40" s="99">
        <v>5798.4</v>
      </c>
      <c r="BH40" s="99">
        <v>5</v>
      </c>
      <c r="BI40" s="99">
        <v>3624</v>
      </c>
      <c r="BJ40" s="99">
        <v>5</v>
      </c>
      <c r="BK40" s="99">
        <v>3624</v>
      </c>
      <c r="BL40" s="99">
        <v>6</v>
      </c>
      <c r="BM40" s="99">
        <v>4348.7999999999993</v>
      </c>
      <c r="BN40" s="99">
        <v>4.3143985825773097</v>
      </c>
      <c r="BO40" s="99">
        <v>3127.0760926520338</v>
      </c>
      <c r="BP40" s="99">
        <v>6</v>
      </c>
      <c r="BQ40" s="99">
        <v>4348.7999999999993</v>
      </c>
      <c r="BR40" s="99">
        <v>6</v>
      </c>
      <c r="BS40" s="99">
        <v>4348.7999999999993</v>
      </c>
      <c r="BT40" s="99">
        <v>8</v>
      </c>
      <c r="BU40" s="99">
        <v>5798.4</v>
      </c>
      <c r="BV40" s="99">
        <v>4</v>
      </c>
      <c r="BW40" s="99">
        <v>2899.2</v>
      </c>
      <c r="BX40" s="99">
        <v>7</v>
      </c>
      <c r="BY40" s="99">
        <v>5073.5999999999995</v>
      </c>
      <c r="BZ40" s="99">
        <v>5</v>
      </c>
      <c r="CA40" s="99">
        <v>3624</v>
      </c>
      <c r="CB40" s="99">
        <v>7</v>
      </c>
      <c r="CC40" s="99">
        <v>5073.5999999999995</v>
      </c>
      <c r="CD40" s="99">
        <v>8</v>
      </c>
      <c r="CE40" s="99">
        <v>5798.4</v>
      </c>
      <c r="CF40" s="99">
        <v>7</v>
      </c>
      <c r="CG40" s="99">
        <v>5073.5999999999995</v>
      </c>
      <c r="CH40" s="99">
        <v>5</v>
      </c>
      <c r="CI40" s="99">
        <v>3624</v>
      </c>
      <c r="CJ40" s="99">
        <v>8</v>
      </c>
      <c r="CK40" s="99">
        <v>5798.4</v>
      </c>
      <c r="CL40" s="99">
        <v>6</v>
      </c>
      <c r="CM40" s="99">
        <v>4348.7999999999993</v>
      </c>
      <c r="CN40" s="99">
        <v>9</v>
      </c>
      <c r="CO40" s="99">
        <v>6523.2</v>
      </c>
      <c r="CP40" s="99">
        <v>9</v>
      </c>
      <c r="CQ40" s="99">
        <v>6523.2</v>
      </c>
      <c r="CR40" s="99">
        <v>4</v>
      </c>
      <c r="CS40" s="99">
        <v>2899.2</v>
      </c>
      <c r="CT40" s="99">
        <v>7.3541969959788318</v>
      </c>
      <c r="CU40" s="99">
        <v>5330.3219826854565</v>
      </c>
    </row>
    <row r="41" spans="2:99">
      <c r="C41" s="98" t="s">
        <v>206</v>
      </c>
      <c r="D41" s="99">
        <v>0</v>
      </c>
      <c r="E41" s="99">
        <v>0</v>
      </c>
      <c r="F41" s="99">
        <v>0</v>
      </c>
      <c r="G41" s="99">
        <v>0</v>
      </c>
      <c r="H41" s="99">
        <v>0</v>
      </c>
      <c r="I41" s="99">
        <v>0</v>
      </c>
      <c r="J41" s="99">
        <v>3.7018257196387272</v>
      </c>
      <c r="K41" s="99">
        <v>2443.2049749615599</v>
      </c>
      <c r="L41" s="99">
        <v>4.652575532578787</v>
      </c>
      <c r="M41" s="99">
        <v>3070.6998515019995</v>
      </c>
      <c r="N41" s="99">
        <v>8</v>
      </c>
      <c r="O41" s="99">
        <v>5280</v>
      </c>
      <c r="P41" s="99">
        <v>7</v>
      </c>
      <c r="Q41" s="99">
        <v>4620</v>
      </c>
      <c r="R41" s="99">
        <v>5</v>
      </c>
      <c r="S41" s="99">
        <v>3300</v>
      </c>
      <c r="T41" s="99">
        <v>5</v>
      </c>
      <c r="U41" s="99">
        <v>3300</v>
      </c>
      <c r="V41" s="99">
        <v>8</v>
      </c>
      <c r="W41" s="99">
        <v>5280</v>
      </c>
      <c r="X41" s="99">
        <v>9</v>
      </c>
      <c r="Y41" s="99">
        <v>5940</v>
      </c>
      <c r="Z41" s="99">
        <v>7</v>
      </c>
      <c r="AA41" s="99">
        <v>4620</v>
      </c>
      <c r="AB41" s="99">
        <v>6</v>
      </c>
      <c r="AC41" s="99">
        <v>3960</v>
      </c>
      <c r="AD41" s="99">
        <v>5</v>
      </c>
      <c r="AE41" s="99">
        <v>3300</v>
      </c>
      <c r="AF41" s="99">
        <v>5</v>
      </c>
      <c r="AG41" s="99">
        <v>3300</v>
      </c>
      <c r="AH41" s="99">
        <v>10</v>
      </c>
      <c r="AI41" s="99">
        <v>6600</v>
      </c>
      <c r="AJ41" s="99">
        <v>7</v>
      </c>
      <c r="AK41" s="99">
        <v>4620</v>
      </c>
      <c r="AL41" s="99">
        <v>7</v>
      </c>
      <c r="AM41" s="99">
        <v>4620</v>
      </c>
      <c r="AN41" s="99">
        <v>6</v>
      </c>
      <c r="AO41" s="99">
        <v>3960</v>
      </c>
      <c r="AP41" s="99">
        <v>7</v>
      </c>
      <c r="AQ41" s="99">
        <v>4620</v>
      </c>
      <c r="AR41" s="99">
        <v>6</v>
      </c>
      <c r="AS41" s="99">
        <v>3960</v>
      </c>
      <c r="AT41" s="99">
        <v>7</v>
      </c>
      <c r="AU41" s="99">
        <v>4620</v>
      </c>
      <c r="AV41" s="99">
        <v>7</v>
      </c>
      <c r="AW41" s="99">
        <v>4620</v>
      </c>
      <c r="AX41" s="99">
        <v>4</v>
      </c>
      <c r="AY41" s="99">
        <v>2640</v>
      </c>
      <c r="AZ41" s="99">
        <v>6</v>
      </c>
      <c r="BA41" s="99">
        <v>3960</v>
      </c>
      <c r="BB41" s="99">
        <v>5</v>
      </c>
      <c r="BC41" s="99">
        <v>3300</v>
      </c>
      <c r="BD41" s="99">
        <v>5</v>
      </c>
      <c r="BE41" s="99">
        <v>3300</v>
      </c>
      <c r="BF41" s="99">
        <v>7</v>
      </c>
      <c r="BG41" s="99">
        <v>4620</v>
      </c>
      <c r="BH41" s="99">
        <v>5</v>
      </c>
      <c r="BI41" s="99">
        <v>3300</v>
      </c>
      <c r="BJ41" s="99">
        <v>5</v>
      </c>
      <c r="BK41" s="99">
        <v>3300</v>
      </c>
      <c r="BL41" s="99">
        <v>6</v>
      </c>
      <c r="BM41" s="99">
        <v>3960</v>
      </c>
      <c r="BN41" s="99">
        <v>4.3143985825773097</v>
      </c>
      <c r="BO41" s="99">
        <v>2847.5030645010243</v>
      </c>
      <c r="BP41" s="99">
        <v>7</v>
      </c>
      <c r="BQ41" s="99">
        <v>4620</v>
      </c>
      <c r="BR41" s="99">
        <v>6</v>
      </c>
      <c r="BS41" s="99">
        <v>3960</v>
      </c>
      <c r="BT41" s="99">
        <v>7</v>
      </c>
      <c r="BU41" s="99">
        <v>4620</v>
      </c>
      <c r="BV41" s="99">
        <v>5</v>
      </c>
      <c r="BW41" s="99">
        <v>3300</v>
      </c>
      <c r="BX41" s="99">
        <v>8</v>
      </c>
      <c r="BY41" s="99">
        <v>5280</v>
      </c>
      <c r="BZ41" s="99">
        <v>4</v>
      </c>
      <c r="CA41" s="99">
        <v>2640</v>
      </c>
      <c r="CB41" s="99">
        <v>7</v>
      </c>
      <c r="CC41" s="99">
        <v>4620</v>
      </c>
      <c r="CD41" s="99">
        <v>8</v>
      </c>
      <c r="CE41" s="99">
        <v>5280</v>
      </c>
      <c r="CF41" s="99">
        <v>7</v>
      </c>
      <c r="CG41" s="99">
        <v>4620</v>
      </c>
      <c r="CH41" s="99">
        <v>5</v>
      </c>
      <c r="CI41" s="99">
        <v>3300</v>
      </c>
      <c r="CJ41" s="99">
        <v>7</v>
      </c>
      <c r="CK41" s="99">
        <v>4620</v>
      </c>
      <c r="CL41" s="99">
        <v>6</v>
      </c>
      <c r="CM41" s="99">
        <v>3960</v>
      </c>
      <c r="CN41" s="99">
        <v>8</v>
      </c>
      <c r="CO41" s="99">
        <v>5280</v>
      </c>
      <c r="CP41" s="99">
        <v>8</v>
      </c>
      <c r="CQ41" s="99">
        <v>5280</v>
      </c>
      <c r="CR41" s="99">
        <v>5</v>
      </c>
      <c r="CS41" s="99">
        <v>3300</v>
      </c>
      <c r="CT41" s="99">
        <v>6.3099223714814778</v>
      </c>
      <c r="CU41" s="99">
        <v>4164.5487651777757</v>
      </c>
    </row>
    <row r="42" spans="2:99">
      <c r="C42" s="98" t="s">
        <v>207</v>
      </c>
      <c r="D42" s="99">
        <v>0</v>
      </c>
      <c r="E42" s="99">
        <v>0</v>
      </c>
      <c r="F42" s="99">
        <v>0</v>
      </c>
      <c r="G42" s="99">
        <v>0</v>
      </c>
      <c r="H42" s="99">
        <v>0</v>
      </c>
      <c r="I42" s="99">
        <v>0</v>
      </c>
      <c r="J42" s="99">
        <v>4.0596244062885116</v>
      </c>
      <c r="K42" s="99">
        <v>3434.442247720081</v>
      </c>
      <c r="L42" s="99">
        <v>4.652575532578787</v>
      </c>
      <c r="M42" s="99">
        <v>3936.0789005616539</v>
      </c>
      <c r="N42" s="99">
        <v>8</v>
      </c>
      <c r="O42" s="99">
        <v>6768</v>
      </c>
      <c r="P42" s="99">
        <v>6</v>
      </c>
      <c r="Q42" s="99">
        <v>5076</v>
      </c>
      <c r="R42" s="99">
        <v>4</v>
      </c>
      <c r="S42" s="99">
        <v>3384</v>
      </c>
      <c r="T42" s="99">
        <v>5</v>
      </c>
      <c r="U42" s="99">
        <v>4230</v>
      </c>
      <c r="V42" s="99">
        <v>7</v>
      </c>
      <c r="W42" s="99">
        <v>5922</v>
      </c>
      <c r="X42" s="99">
        <v>8</v>
      </c>
      <c r="Y42" s="99">
        <v>6768</v>
      </c>
      <c r="Z42" s="99">
        <v>7</v>
      </c>
      <c r="AA42" s="99">
        <v>5922</v>
      </c>
      <c r="AB42" s="99">
        <v>6</v>
      </c>
      <c r="AC42" s="99">
        <v>5076</v>
      </c>
      <c r="AD42" s="99">
        <v>5</v>
      </c>
      <c r="AE42" s="99">
        <v>4230</v>
      </c>
      <c r="AF42" s="99">
        <v>5</v>
      </c>
      <c r="AG42" s="99">
        <v>4230</v>
      </c>
      <c r="AH42" s="99">
        <v>9</v>
      </c>
      <c r="AI42" s="99">
        <v>7614</v>
      </c>
      <c r="AJ42" s="99">
        <v>8</v>
      </c>
      <c r="AK42" s="99">
        <v>6768</v>
      </c>
      <c r="AL42" s="99">
        <v>6</v>
      </c>
      <c r="AM42" s="99">
        <v>5076</v>
      </c>
      <c r="AN42" s="99">
        <v>6</v>
      </c>
      <c r="AO42" s="99">
        <v>5076</v>
      </c>
      <c r="AP42" s="99">
        <v>8</v>
      </c>
      <c r="AQ42" s="99">
        <v>6768</v>
      </c>
      <c r="AR42" s="99">
        <v>6</v>
      </c>
      <c r="AS42" s="99">
        <v>5076</v>
      </c>
      <c r="AT42" s="99">
        <v>8</v>
      </c>
      <c r="AU42" s="99">
        <v>6768</v>
      </c>
      <c r="AV42" s="99">
        <v>7</v>
      </c>
      <c r="AW42" s="99">
        <v>5922</v>
      </c>
      <c r="AX42" s="99">
        <v>5</v>
      </c>
      <c r="AY42" s="99">
        <v>4230</v>
      </c>
      <c r="AZ42" s="99">
        <v>6</v>
      </c>
      <c r="BA42" s="99">
        <v>5076</v>
      </c>
      <c r="BB42" s="99">
        <v>5</v>
      </c>
      <c r="BC42" s="99">
        <v>4230</v>
      </c>
      <c r="BD42" s="99">
        <v>5</v>
      </c>
      <c r="BE42" s="99">
        <v>4230</v>
      </c>
      <c r="BF42" s="99">
        <v>8</v>
      </c>
      <c r="BG42" s="99">
        <v>6768</v>
      </c>
      <c r="BH42" s="99">
        <v>4</v>
      </c>
      <c r="BI42" s="99">
        <v>3384</v>
      </c>
      <c r="BJ42" s="99">
        <v>5</v>
      </c>
      <c r="BK42" s="99">
        <v>4230</v>
      </c>
      <c r="BL42" s="99">
        <v>6</v>
      </c>
      <c r="BM42" s="99">
        <v>5076</v>
      </c>
      <c r="BN42" s="99">
        <v>5.3143985825773097</v>
      </c>
      <c r="BO42" s="99">
        <v>4495.981200860404</v>
      </c>
      <c r="BP42" s="99">
        <v>6</v>
      </c>
      <c r="BQ42" s="99">
        <v>5076</v>
      </c>
      <c r="BR42" s="99">
        <v>6</v>
      </c>
      <c r="BS42" s="99">
        <v>5076</v>
      </c>
      <c r="BT42" s="99">
        <v>8</v>
      </c>
      <c r="BU42" s="99">
        <v>6768</v>
      </c>
      <c r="BV42" s="99">
        <v>5</v>
      </c>
      <c r="BW42" s="99">
        <v>4230</v>
      </c>
      <c r="BX42" s="99">
        <v>8</v>
      </c>
      <c r="BY42" s="99">
        <v>6768</v>
      </c>
      <c r="BZ42" s="99">
        <v>5</v>
      </c>
      <c r="CA42" s="99">
        <v>4230</v>
      </c>
      <c r="CB42" s="99">
        <v>8</v>
      </c>
      <c r="CC42" s="99">
        <v>6768</v>
      </c>
      <c r="CD42" s="99">
        <v>8</v>
      </c>
      <c r="CE42" s="99">
        <v>6768</v>
      </c>
      <c r="CF42" s="99">
        <v>6</v>
      </c>
      <c r="CG42" s="99">
        <v>5076</v>
      </c>
      <c r="CH42" s="99">
        <v>5</v>
      </c>
      <c r="CI42" s="99">
        <v>4230</v>
      </c>
      <c r="CJ42" s="99">
        <v>8</v>
      </c>
      <c r="CK42" s="99">
        <v>6768</v>
      </c>
      <c r="CL42" s="99">
        <v>7</v>
      </c>
      <c r="CM42" s="99">
        <v>5922</v>
      </c>
      <c r="CN42" s="99">
        <v>8</v>
      </c>
      <c r="CO42" s="99">
        <v>6768</v>
      </c>
      <c r="CP42" s="99">
        <v>8</v>
      </c>
      <c r="CQ42" s="99">
        <v>6768</v>
      </c>
      <c r="CR42" s="99">
        <v>4</v>
      </c>
      <c r="CS42" s="99">
        <v>3384</v>
      </c>
      <c r="CT42" s="99">
        <v>7.3541969959788318</v>
      </c>
      <c r="CU42" s="99">
        <v>6221.6506585980915</v>
      </c>
    </row>
    <row r="43" spans="2:99">
      <c r="C43" s="98" t="s">
        <v>208</v>
      </c>
      <c r="D43" s="99">
        <v>0</v>
      </c>
      <c r="E43" s="99">
        <v>0</v>
      </c>
      <c r="F43" s="99">
        <v>0</v>
      </c>
      <c r="G43" s="99">
        <v>0</v>
      </c>
      <c r="H43" s="99">
        <v>0</v>
      </c>
      <c r="I43" s="99">
        <v>0</v>
      </c>
      <c r="J43" s="99">
        <v>4.8357694188812346</v>
      </c>
      <c r="K43" s="99">
        <v>4944.0906538641739</v>
      </c>
      <c r="L43" s="99">
        <v>4.1356226956255888</v>
      </c>
      <c r="M43" s="99">
        <v>4228.2606440076015</v>
      </c>
      <c r="N43" s="99">
        <v>7</v>
      </c>
      <c r="O43" s="99">
        <v>7156.8</v>
      </c>
      <c r="P43" s="99">
        <v>7</v>
      </c>
      <c r="Q43" s="99">
        <v>7156.8</v>
      </c>
      <c r="R43" s="99">
        <v>5</v>
      </c>
      <c r="S43" s="99">
        <v>5112</v>
      </c>
      <c r="T43" s="99">
        <v>5</v>
      </c>
      <c r="U43" s="99">
        <v>5112</v>
      </c>
      <c r="V43" s="99">
        <v>8</v>
      </c>
      <c r="W43" s="99">
        <v>8179.2</v>
      </c>
      <c r="X43" s="99">
        <v>9</v>
      </c>
      <c r="Y43" s="99">
        <v>9201.6</v>
      </c>
      <c r="Z43" s="99">
        <v>6</v>
      </c>
      <c r="AA43" s="99">
        <v>6134.4</v>
      </c>
      <c r="AB43" s="99">
        <v>6</v>
      </c>
      <c r="AC43" s="99">
        <v>6134.4</v>
      </c>
      <c r="AD43" s="99">
        <v>5</v>
      </c>
      <c r="AE43" s="99">
        <v>5112</v>
      </c>
      <c r="AF43" s="99">
        <v>5</v>
      </c>
      <c r="AG43" s="99">
        <v>5112</v>
      </c>
      <c r="AH43" s="99">
        <v>9</v>
      </c>
      <c r="AI43" s="99">
        <v>9201.6</v>
      </c>
      <c r="AJ43" s="99">
        <v>8</v>
      </c>
      <c r="AK43" s="99">
        <v>8179.2</v>
      </c>
      <c r="AL43" s="99">
        <v>6</v>
      </c>
      <c r="AM43" s="99">
        <v>6134.4</v>
      </c>
      <c r="AN43" s="99">
        <v>6</v>
      </c>
      <c r="AO43" s="99">
        <v>6134.4</v>
      </c>
      <c r="AP43" s="99">
        <v>7</v>
      </c>
      <c r="AQ43" s="99">
        <v>7156.8</v>
      </c>
      <c r="AR43" s="99">
        <v>6</v>
      </c>
      <c r="AS43" s="99">
        <v>6134.4</v>
      </c>
      <c r="AT43" s="99">
        <v>8</v>
      </c>
      <c r="AU43" s="99">
        <v>8179.2</v>
      </c>
      <c r="AV43" s="99">
        <v>7</v>
      </c>
      <c r="AW43" s="99">
        <v>7156.8</v>
      </c>
      <c r="AX43" s="99">
        <v>4</v>
      </c>
      <c r="AY43" s="99">
        <v>4089.6</v>
      </c>
      <c r="AZ43" s="99">
        <v>6</v>
      </c>
      <c r="BA43" s="99">
        <v>6134.4</v>
      </c>
      <c r="BB43" s="99">
        <v>6</v>
      </c>
      <c r="BC43" s="99">
        <v>6134.4</v>
      </c>
      <c r="BD43" s="99">
        <v>5</v>
      </c>
      <c r="BE43" s="99">
        <v>5112</v>
      </c>
      <c r="BF43" s="99">
        <v>6</v>
      </c>
      <c r="BG43" s="99">
        <v>6134.4</v>
      </c>
      <c r="BH43" s="99">
        <v>5</v>
      </c>
      <c r="BI43" s="99">
        <v>5112</v>
      </c>
      <c r="BJ43" s="99">
        <v>6</v>
      </c>
      <c r="BK43" s="99">
        <v>6134.4</v>
      </c>
      <c r="BL43" s="99">
        <v>6</v>
      </c>
      <c r="BM43" s="99">
        <v>6134.4</v>
      </c>
      <c r="BN43" s="99">
        <v>5.3143985825773097</v>
      </c>
      <c r="BO43" s="99">
        <v>5433.4411108270415</v>
      </c>
      <c r="BP43" s="99">
        <v>6</v>
      </c>
      <c r="BQ43" s="99">
        <v>6134.4</v>
      </c>
      <c r="BR43" s="99">
        <v>6</v>
      </c>
      <c r="BS43" s="99">
        <v>6134.4</v>
      </c>
      <c r="BT43" s="99">
        <v>7</v>
      </c>
      <c r="BU43" s="99">
        <v>7156.8</v>
      </c>
      <c r="BV43" s="99">
        <v>4</v>
      </c>
      <c r="BW43" s="99">
        <v>4089.6</v>
      </c>
      <c r="BX43" s="99">
        <v>8</v>
      </c>
      <c r="BY43" s="99">
        <v>8179.2</v>
      </c>
      <c r="BZ43" s="99">
        <v>4</v>
      </c>
      <c r="CA43" s="99">
        <v>4089.6</v>
      </c>
      <c r="CB43" s="99">
        <v>7</v>
      </c>
      <c r="CC43" s="99">
        <v>7156.8</v>
      </c>
      <c r="CD43" s="99">
        <v>8</v>
      </c>
      <c r="CE43" s="99">
        <v>8179.2</v>
      </c>
      <c r="CF43" s="99">
        <v>6</v>
      </c>
      <c r="CG43" s="99">
        <v>6134.4</v>
      </c>
      <c r="CH43" s="99">
        <v>4</v>
      </c>
      <c r="CI43" s="99">
        <v>4089.6</v>
      </c>
      <c r="CJ43" s="99">
        <v>8</v>
      </c>
      <c r="CK43" s="99">
        <v>8179.2</v>
      </c>
      <c r="CL43" s="99">
        <v>6</v>
      </c>
      <c r="CM43" s="99">
        <v>6134.4</v>
      </c>
      <c r="CN43" s="99">
        <v>9</v>
      </c>
      <c r="CO43" s="99">
        <v>9201.6</v>
      </c>
      <c r="CP43" s="99">
        <v>8</v>
      </c>
      <c r="CQ43" s="99">
        <v>8179.2</v>
      </c>
      <c r="CR43" s="99">
        <v>4</v>
      </c>
      <c r="CS43" s="99">
        <v>4089.6</v>
      </c>
      <c r="CT43" s="99">
        <v>6.3099223714814778</v>
      </c>
      <c r="CU43" s="99">
        <v>6451.2646326026625</v>
      </c>
    </row>
    <row r="44" spans="2:99">
      <c r="C44" s="98" t="s">
        <v>209</v>
      </c>
      <c r="D44" s="99">
        <v>0</v>
      </c>
      <c r="E44" s="99">
        <v>0</v>
      </c>
      <c r="F44" s="99">
        <v>0</v>
      </c>
      <c r="G44" s="99">
        <v>0</v>
      </c>
      <c r="H44" s="99">
        <v>0</v>
      </c>
      <c r="I44" s="99">
        <v>0</v>
      </c>
      <c r="J44" s="99">
        <v>4.0954042749534896</v>
      </c>
      <c r="K44" s="99">
        <v>4187.1413307124476</v>
      </c>
      <c r="L44" s="99">
        <v>4.652575532578787</v>
      </c>
      <c r="M44" s="99">
        <v>4756.7932245085512</v>
      </c>
      <c r="N44" s="99">
        <v>7</v>
      </c>
      <c r="O44" s="99">
        <v>7156.8</v>
      </c>
      <c r="P44" s="99">
        <v>7</v>
      </c>
      <c r="Q44" s="99">
        <v>7156.8</v>
      </c>
      <c r="R44" s="99">
        <v>4</v>
      </c>
      <c r="S44" s="99">
        <v>4089.6</v>
      </c>
      <c r="T44" s="99">
        <v>5</v>
      </c>
      <c r="U44" s="99">
        <v>5112</v>
      </c>
      <c r="V44" s="99">
        <v>8</v>
      </c>
      <c r="W44" s="99">
        <v>8179.2</v>
      </c>
      <c r="X44" s="99">
        <v>9</v>
      </c>
      <c r="Y44" s="99">
        <v>9201.6</v>
      </c>
      <c r="Z44" s="99">
        <v>6</v>
      </c>
      <c r="AA44" s="99">
        <v>6134.4</v>
      </c>
      <c r="AB44" s="99">
        <v>6</v>
      </c>
      <c r="AC44" s="99">
        <v>6134.4</v>
      </c>
      <c r="AD44" s="99">
        <v>5</v>
      </c>
      <c r="AE44" s="99">
        <v>5112</v>
      </c>
      <c r="AF44" s="99">
        <v>5</v>
      </c>
      <c r="AG44" s="99">
        <v>5112</v>
      </c>
      <c r="AH44" s="99">
        <v>9</v>
      </c>
      <c r="AI44" s="99">
        <v>9201.6</v>
      </c>
      <c r="AJ44" s="99">
        <v>8</v>
      </c>
      <c r="AK44" s="99">
        <v>8179.2</v>
      </c>
      <c r="AL44" s="99">
        <v>6</v>
      </c>
      <c r="AM44" s="99">
        <v>6134.4</v>
      </c>
      <c r="AN44" s="99">
        <v>7</v>
      </c>
      <c r="AO44" s="99">
        <v>7156.8</v>
      </c>
      <c r="AP44" s="99">
        <v>7</v>
      </c>
      <c r="AQ44" s="99">
        <v>7156.8</v>
      </c>
      <c r="AR44" s="99">
        <v>5</v>
      </c>
      <c r="AS44" s="99">
        <v>5112</v>
      </c>
      <c r="AT44" s="99">
        <v>7</v>
      </c>
      <c r="AU44" s="99">
        <v>7156.8</v>
      </c>
      <c r="AV44" s="99">
        <v>6</v>
      </c>
      <c r="AW44" s="99">
        <v>6134.4</v>
      </c>
      <c r="AX44" s="99">
        <v>5</v>
      </c>
      <c r="AY44" s="99">
        <v>5112</v>
      </c>
      <c r="AZ44" s="99">
        <v>6</v>
      </c>
      <c r="BA44" s="99">
        <v>6134.4</v>
      </c>
      <c r="BB44" s="99">
        <v>5</v>
      </c>
      <c r="BC44" s="99">
        <v>5112</v>
      </c>
      <c r="BD44" s="99">
        <v>5</v>
      </c>
      <c r="BE44" s="99">
        <v>5112</v>
      </c>
      <c r="BF44" s="99">
        <v>7</v>
      </c>
      <c r="BG44" s="99">
        <v>7156.8</v>
      </c>
      <c r="BH44" s="99">
        <v>5</v>
      </c>
      <c r="BI44" s="99">
        <v>5112</v>
      </c>
      <c r="BJ44" s="99">
        <v>5</v>
      </c>
      <c r="BK44" s="99">
        <v>5112</v>
      </c>
      <c r="BL44" s="99">
        <v>6</v>
      </c>
      <c r="BM44" s="99">
        <v>6134.4</v>
      </c>
      <c r="BN44" s="99">
        <v>4.3143985825773097</v>
      </c>
      <c r="BO44" s="99">
        <v>4411.0411108270409</v>
      </c>
      <c r="BP44" s="99">
        <v>5</v>
      </c>
      <c r="BQ44" s="99">
        <v>5112</v>
      </c>
      <c r="BR44" s="99">
        <v>6</v>
      </c>
      <c r="BS44" s="99">
        <v>6134.4</v>
      </c>
      <c r="BT44" s="99">
        <v>7</v>
      </c>
      <c r="BU44" s="99">
        <v>7156.8</v>
      </c>
      <c r="BV44" s="99">
        <v>4</v>
      </c>
      <c r="BW44" s="99">
        <v>4089.6</v>
      </c>
      <c r="BX44" s="99">
        <v>8</v>
      </c>
      <c r="BY44" s="99">
        <v>8179.2</v>
      </c>
      <c r="BZ44" s="99">
        <v>5</v>
      </c>
      <c r="CA44" s="99">
        <v>5112</v>
      </c>
      <c r="CB44" s="99">
        <v>8</v>
      </c>
      <c r="CC44" s="99">
        <v>8179.2</v>
      </c>
      <c r="CD44" s="99">
        <v>8</v>
      </c>
      <c r="CE44" s="99">
        <v>8179.2</v>
      </c>
      <c r="CF44" s="99">
        <v>7</v>
      </c>
      <c r="CG44" s="99">
        <v>7156.8</v>
      </c>
      <c r="CH44" s="99">
        <v>5</v>
      </c>
      <c r="CI44" s="99">
        <v>5112</v>
      </c>
      <c r="CJ44" s="99">
        <v>7</v>
      </c>
      <c r="CK44" s="99">
        <v>7156.8</v>
      </c>
      <c r="CL44" s="99">
        <v>6</v>
      </c>
      <c r="CM44" s="99">
        <v>6134.4</v>
      </c>
      <c r="CN44" s="99">
        <v>8</v>
      </c>
      <c r="CO44" s="99">
        <v>8179.2</v>
      </c>
      <c r="CP44" s="99">
        <v>9</v>
      </c>
      <c r="CQ44" s="99">
        <v>9201.6</v>
      </c>
      <c r="CR44" s="99">
        <v>5</v>
      </c>
      <c r="CS44" s="99">
        <v>5112</v>
      </c>
      <c r="CT44" s="99">
        <v>7.3984716204761858</v>
      </c>
      <c r="CU44" s="99">
        <v>7564.1973847748523</v>
      </c>
    </row>
    <row r="45" spans="2:99">
      <c r="C45" s="98" t="s">
        <v>210</v>
      </c>
      <c r="D45" s="99">
        <v>0</v>
      </c>
      <c r="E45" s="99">
        <v>0</v>
      </c>
      <c r="F45" s="99">
        <v>0</v>
      </c>
      <c r="G45" s="99">
        <v>0</v>
      </c>
      <c r="H45" s="99">
        <v>0</v>
      </c>
      <c r="I45" s="99">
        <v>0</v>
      </c>
      <c r="J45" s="99">
        <v>4.0954042749534896</v>
      </c>
      <c r="K45" s="99">
        <v>5115.9790202718996</v>
      </c>
      <c r="L45" s="99">
        <v>4.1356226956255888</v>
      </c>
      <c r="M45" s="99">
        <v>5166.219871375486</v>
      </c>
      <c r="N45" s="99">
        <v>7</v>
      </c>
      <c r="O45" s="99">
        <v>8744.4</v>
      </c>
      <c r="P45" s="99">
        <v>7</v>
      </c>
      <c r="Q45" s="99">
        <v>8744.4</v>
      </c>
      <c r="R45" s="99">
        <v>5</v>
      </c>
      <c r="S45" s="99">
        <v>6246</v>
      </c>
      <c r="T45" s="99">
        <v>5</v>
      </c>
      <c r="U45" s="99">
        <v>6246</v>
      </c>
      <c r="V45" s="99">
        <v>8</v>
      </c>
      <c r="W45" s="99">
        <v>9993.6</v>
      </c>
      <c r="X45" s="99">
        <v>8</v>
      </c>
      <c r="Y45" s="99">
        <v>9993.6</v>
      </c>
      <c r="Z45" s="99">
        <v>6</v>
      </c>
      <c r="AA45" s="99">
        <v>7495.2000000000007</v>
      </c>
      <c r="AB45" s="99">
        <v>6</v>
      </c>
      <c r="AC45" s="99">
        <v>7495.2000000000007</v>
      </c>
      <c r="AD45" s="99">
        <v>4</v>
      </c>
      <c r="AE45" s="99">
        <v>4996.8</v>
      </c>
      <c r="AF45" s="99">
        <v>5</v>
      </c>
      <c r="AG45" s="99">
        <v>6246</v>
      </c>
      <c r="AH45" s="99">
        <v>8</v>
      </c>
      <c r="AI45" s="99">
        <v>9993.6</v>
      </c>
      <c r="AJ45" s="99">
        <v>8</v>
      </c>
      <c r="AK45" s="99">
        <v>9993.6</v>
      </c>
      <c r="AL45" s="99">
        <v>7</v>
      </c>
      <c r="AM45" s="99">
        <v>8744.4</v>
      </c>
      <c r="AN45" s="99">
        <v>6</v>
      </c>
      <c r="AO45" s="99">
        <v>7495.2000000000007</v>
      </c>
      <c r="AP45" s="99">
        <v>7</v>
      </c>
      <c r="AQ45" s="99">
        <v>8744.4</v>
      </c>
      <c r="AR45" s="99">
        <v>6</v>
      </c>
      <c r="AS45" s="99">
        <v>7495.2000000000007</v>
      </c>
      <c r="AT45" s="99">
        <v>7</v>
      </c>
      <c r="AU45" s="99">
        <v>8744.4</v>
      </c>
      <c r="AV45" s="99">
        <v>6</v>
      </c>
      <c r="AW45" s="99">
        <v>7495.2000000000007</v>
      </c>
      <c r="AX45" s="99">
        <v>5</v>
      </c>
      <c r="AY45" s="99">
        <v>6246</v>
      </c>
      <c r="AZ45" s="99">
        <v>5</v>
      </c>
      <c r="BA45" s="99">
        <v>6246</v>
      </c>
      <c r="BB45" s="99">
        <v>6</v>
      </c>
      <c r="BC45" s="99">
        <v>7495.2000000000007</v>
      </c>
      <c r="BD45" s="99">
        <v>5</v>
      </c>
      <c r="BE45" s="99">
        <v>6246</v>
      </c>
      <c r="BF45" s="99">
        <v>6</v>
      </c>
      <c r="BG45" s="99">
        <v>7495.2000000000007</v>
      </c>
      <c r="BH45" s="99">
        <v>5</v>
      </c>
      <c r="BI45" s="99">
        <v>6246</v>
      </c>
      <c r="BJ45" s="99">
        <v>5</v>
      </c>
      <c r="BK45" s="99">
        <v>6246</v>
      </c>
      <c r="BL45" s="99">
        <v>6</v>
      </c>
      <c r="BM45" s="99">
        <v>7495.2000000000007</v>
      </c>
      <c r="BN45" s="99">
        <v>5.3143985825773097</v>
      </c>
      <c r="BO45" s="99">
        <v>6638.7467093555751</v>
      </c>
      <c r="BP45" s="99">
        <v>6</v>
      </c>
      <c r="BQ45" s="99">
        <v>7495.2000000000007</v>
      </c>
      <c r="BR45" s="99">
        <v>6</v>
      </c>
      <c r="BS45" s="99">
        <v>7495.2000000000007</v>
      </c>
      <c r="BT45" s="99">
        <v>7</v>
      </c>
      <c r="BU45" s="99">
        <v>8744.4</v>
      </c>
      <c r="BV45" s="99">
        <v>5</v>
      </c>
      <c r="BW45" s="99">
        <v>6246</v>
      </c>
      <c r="BX45" s="99">
        <v>8</v>
      </c>
      <c r="BY45" s="99">
        <v>9993.6</v>
      </c>
      <c r="BZ45" s="99">
        <v>5</v>
      </c>
      <c r="CA45" s="99">
        <v>6246</v>
      </c>
      <c r="CB45" s="99">
        <v>8</v>
      </c>
      <c r="CC45" s="99">
        <v>9993.6</v>
      </c>
      <c r="CD45" s="99">
        <v>8</v>
      </c>
      <c r="CE45" s="99">
        <v>9993.6</v>
      </c>
      <c r="CF45" s="99">
        <v>7</v>
      </c>
      <c r="CG45" s="99">
        <v>8744.4</v>
      </c>
      <c r="CH45" s="99">
        <v>4</v>
      </c>
      <c r="CI45" s="99">
        <v>4996.8</v>
      </c>
      <c r="CJ45" s="99">
        <v>8</v>
      </c>
      <c r="CK45" s="99">
        <v>9993.6</v>
      </c>
      <c r="CL45" s="99">
        <v>6</v>
      </c>
      <c r="CM45" s="99">
        <v>7495.2000000000007</v>
      </c>
      <c r="CN45" s="99">
        <v>8</v>
      </c>
      <c r="CO45" s="99">
        <v>9993.6</v>
      </c>
      <c r="CP45" s="99">
        <v>8</v>
      </c>
      <c r="CQ45" s="99">
        <v>9993.6</v>
      </c>
      <c r="CR45" s="99">
        <v>4</v>
      </c>
      <c r="CS45" s="99">
        <v>4996.8</v>
      </c>
      <c r="CT45" s="99">
        <v>7.3099223714814778</v>
      </c>
      <c r="CU45" s="99">
        <v>9131.5550264546619</v>
      </c>
    </row>
    <row r="46" spans="2:99">
      <c r="C46" s="98" t="s">
        <v>211</v>
      </c>
      <c r="D46" s="99">
        <v>0</v>
      </c>
      <c r="E46" s="99">
        <v>0</v>
      </c>
      <c r="F46" s="99">
        <v>0</v>
      </c>
      <c r="G46" s="99">
        <v>0</v>
      </c>
      <c r="H46" s="99">
        <v>0</v>
      </c>
      <c r="I46" s="99">
        <v>0</v>
      </c>
      <c r="J46" s="99">
        <v>4.0954042749534896</v>
      </c>
      <c r="K46" s="99">
        <v>4963.6299812436291</v>
      </c>
      <c r="L46" s="99">
        <v>4.1356226956255888</v>
      </c>
      <c r="M46" s="99">
        <v>5012.3747070982135</v>
      </c>
      <c r="N46" s="99">
        <v>8</v>
      </c>
      <c r="O46" s="99">
        <v>9696</v>
      </c>
      <c r="P46" s="99">
        <v>7</v>
      </c>
      <c r="Q46" s="99">
        <v>8484</v>
      </c>
      <c r="R46" s="99">
        <v>5</v>
      </c>
      <c r="S46" s="99">
        <v>6060</v>
      </c>
      <c r="T46" s="99">
        <v>5</v>
      </c>
      <c r="U46" s="99">
        <v>6060</v>
      </c>
      <c r="V46" s="99">
        <v>8</v>
      </c>
      <c r="W46" s="99">
        <v>9696</v>
      </c>
      <c r="X46" s="99">
        <v>9</v>
      </c>
      <c r="Y46" s="99">
        <v>10908</v>
      </c>
      <c r="Z46" s="99">
        <v>6</v>
      </c>
      <c r="AA46" s="99">
        <v>7272</v>
      </c>
      <c r="AB46" s="99">
        <v>6</v>
      </c>
      <c r="AC46" s="99">
        <v>7272</v>
      </c>
      <c r="AD46" s="99">
        <v>5</v>
      </c>
      <c r="AE46" s="99">
        <v>6060</v>
      </c>
      <c r="AF46" s="99">
        <v>5</v>
      </c>
      <c r="AG46" s="99">
        <v>6060</v>
      </c>
      <c r="AH46" s="99">
        <v>8</v>
      </c>
      <c r="AI46" s="99">
        <v>9696</v>
      </c>
      <c r="AJ46" s="99">
        <v>8</v>
      </c>
      <c r="AK46" s="99">
        <v>9696</v>
      </c>
      <c r="AL46" s="99">
        <v>6</v>
      </c>
      <c r="AM46" s="99">
        <v>7272</v>
      </c>
      <c r="AN46" s="99">
        <v>6</v>
      </c>
      <c r="AO46" s="99">
        <v>7272</v>
      </c>
      <c r="AP46" s="99">
        <v>8</v>
      </c>
      <c r="AQ46" s="99">
        <v>9696</v>
      </c>
      <c r="AR46" s="99">
        <v>6</v>
      </c>
      <c r="AS46" s="99">
        <v>7272</v>
      </c>
      <c r="AT46" s="99">
        <v>8</v>
      </c>
      <c r="AU46" s="99">
        <v>9696</v>
      </c>
      <c r="AV46" s="99">
        <v>6</v>
      </c>
      <c r="AW46" s="99">
        <v>7272</v>
      </c>
      <c r="AX46" s="99">
        <v>5</v>
      </c>
      <c r="AY46" s="99">
        <v>6060</v>
      </c>
      <c r="AZ46" s="99">
        <v>6</v>
      </c>
      <c r="BA46" s="99">
        <v>7272</v>
      </c>
      <c r="BB46" s="99">
        <v>5</v>
      </c>
      <c r="BC46" s="99">
        <v>6060</v>
      </c>
      <c r="BD46" s="99">
        <v>5</v>
      </c>
      <c r="BE46" s="99">
        <v>6060</v>
      </c>
      <c r="BF46" s="99">
        <v>6</v>
      </c>
      <c r="BG46" s="99">
        <v>7272</v>
      </c>
      <c r="BH46" s="99">
        <v>4</v>
      </c>
      <c r="BI46" s="99">
        <v>4848</v>
      </c>
      <c r="BJ46" s="99">
        <v>5</v>
      </c>
      <c r="BK46" s="99">
        <v>6060</v>
      </c>
      <c r="BL46" s="99">
        <v>6</v>
      </c>
      <c r="BM46" s="99">
        <v>7272</v>
      </c>
      <c r="BN46" s="99">
        <v>5.3143985825773097</v>
      </c>
      <c r="BO46" s="99">
        <v>6441.0510820836989</v>
      </c>
      <c r="BP46" s="99">
        <v>6</v>
      </c>
      <c r="BQ46" s="99">
        <v>7272</v>
      </c>
      <c r="BR46" s="99">
        <v>6</v>
      </c>
      <c r="BS46" s="99">
        <v>7272</v>
      </c>
      <c r="BT46" s="99">
        <v>8</v>
      </c>
      <c r="BU46" s="99">
        <v>9696</v>
      </c>
      <c r="BV46" s="99">
        <v>4</v>
      </c>
      <c r="BW46" s="99">
        <v>4848</v>
      </c>
      <c r="BX46" s="99">
        <v>7</v>
      </c>
      <c r="BY46" s="99">
        <v>8484</v>
      </c>
      <c r="BZ46" s="99">
        <v>4</v>
      </c>
      <c r="CA46" s="99">
        <v>4848</v>
      </c>
      <c r="CB46" s="99">
        <v>7</v>
      </c>
      <c r="CC46" s="99">
        <v>8484</v>
      </c>
      <c r="CD46" s="99">
        <v>8</v>
      </c>
      <c r="CE46" s="99">
        <v>9696</v>
      </c>
      <c r="CF46" s="99">
        <v>6</v>
      </c>
      <c r="CG46" s="99">
        <v>7272</v>
      </c>
      <c r="CH46" s="99">
        <v>5</v>
      </c>
      <c r="CI46" s="99">
        <v>6060</v>
      </c>
      <c r="CJ46" s="99">
        <v>7</v>
      </c>
      <c r="CK46" s="99">
        <v>8484</v>
      </c>
      <c r="CL46" s="99">
        <v>7</v>
      </c>
      <c r="CM46" s="99">
        <v>8484</v>
      </c>
      <c r="CN46" s="99">
        <v>9</v>
      </c>
      <c r="CO46" s="99">
        <v>10908</v>
      </c>
      <c r="CP46" s="99">
        <v>9</v>
      </c>
      <c r="CQ46" s="99">
        <v>10908</v>
      </c>
      <c r="CR46" s="99">
        <v>4</v>
      </c>
      <c r="CS46" s="99">
        <v>4848</v>
      </c>
      <c r="CT46" s="99">
        <v>7.3541969959788318</v>
      </c>
      <c r="CU46" s="99">
        <v>8913.2867591263439</v>
      </c>
    </row>
    <row r="47" spans="2:99">
      <c r="C47" s="98" t="s">
        <v>212</v>
      </c>
      <c r="D47" s="99">
        <v>0</v>
      </c>
      <c r="E47" s="99">
        <v>0</v>
      </c>
      <c r="F47" s="99">
        <v>0</v>
      </c>
      <c r="G47" s="99">
        <v>0</v>
      </c>
      <c r="H47" s="99">
        <v>0</v>
      </c>
      <c r="I47" s="99">
        <v>0</v>
      </c>
      <c r="J47" s="99">
        <v>4.4421908635664726</v>
      </c>
      <c r="K47" s="99">
        <v>6785.890763184143</v>
      </c>
      <c r="L47" s="99">
        <v>4.652575532578787</v>
      </c>
      <c r="M47" s="99">
        <v>7107.2743835673546</v>
      </c>
      <c r="N47" s="99">
        <v>8</v>
      </c>
      <c r="O47" s="99">
        <v>12220.8</v>
      </c>
      <c r="P47" s="99">
        <v>7</v>
      </c>
      <c r="Q47" s="99">
        <v>10693.199999999999</v>
      </c>
      <c r="R47" s="99">
        <v>5</v>
      </c>
      <c r="S47" s="99">
        <v>7638</v>
      </c>
      <c r="T47" s="99">
        <v>5</v>
      </c>
      <c r="U47" s="99">
        <v>7638</v>
      </c>
      <c r="V47" s="99">
        <v>8</v>
      </c>
      <c r="W47" s="99">
        <v>12220.8</v>
      </c>
      <c r="X47" s="99">
        <v>7</v>
      </c>
      <c r="Y47" s="99">
        <v>10693.199999999999</v>
      </c>
      <c r="Z47" s="99">
        <v>5</v>
      </c>
      <c r="AA47" s="99">
        <v>7638</v>
      </c>
      <c r="AB47" s="99">
        <v>6</v>
      </c>
      <c r="AC47" s="99">
        <v>9165.5999999999985</v>
      </c>
      <c r="AD47" s="99">
        <v>5</v>
      </c>
      <c r="AE47" s="99">
        <v>7638</v>
      </c>
      <c r="AF47" s="99">
        <v>4</v>
      </c>
      <c r="AG47" s="99">
        <v>6110.4</v>
      </c>
      <c r="AH47" s="99">
        <v>9</v>
      </c>
      <c r="AI47" s="99">
        <v>13748.4</v>
      </c>
      <c r="AJ47" s="99">
        <v>8</v>
      </c>
      <c r="AK47" s="99">
        <v>12220.8</v>
      </c>
      <c r="AL47" s="99">
        <v>7</v>
      </c>
      <c r="AM47" s="99">
        <v>10693.199999999999</v>
      </c>
      <c r="AN47" s="99">
        <v>6</v>
      </c>
      <c r="AO47" s="99">
        <v>9165.5999999999985</v>
      </c>
      <c r="AP47" s="99">
        <v>7</v>
      </c>
      <c r="AQ47" s="99">
        <v>10693.199999999999</v>
      </c>
      <c r="AR47" s="99">
        <v>6</v>
      </c>
      <c r="AS47" s="99">
        <v>9165.5999999999985</v>
      </c>
      <c r="AT47" s="99">
        <v>7</v>
      </c>
      <c r="AU47" s="99">
        <v>10693.199999999999</v>
      </c>
      <c r="AV47" s="99">
        <v>7</v>
      </c>
      <c r="AW47" s="99">
        <v>10693.199999999999</v>
      </c>
      <c r="AX47" s="99">
        <v>4</v>
      </c>
      <c r="AY47" s="99">
        <v>6110.4</v>
      </c>
      <c r="AZ47" s="99">
        <v>5</v>
      </c>
      <c r="BA47" s="99">
        <v>7638</v>
      </c>
      <c r="BB47" s="99">
        <v>5</v>
      </c>
      <c r="BC47" s="99">
        <v>7638</v>
      </c>
      <c r="BD47" s="99">
        <v>5</v>
      </c>
      <c r="BE47" s="99">
        <v>7638</v>
      </c>
      <c r="BF47" s="99">
        <v>7</v>
      </c>
      <c r="BG47" s="99">
        <v>10693.199999999999</v>
      </c>
      <c r="BH47" s="99">
        <v>5</v>
      </c>
      <c r="BI47" s="99">
        <v>7638</v>
      </c>
      <c r="BJ47" s="99">
        <v>5</v>
      </c>
      <c r="BK47" s="99">
        <v>7638</v>
      </c>
      <c r="BL47" s="99">
        <v>5</v>
      </c>
      <c r="BM47" s="99">
        <v>7638</v>
      </c>
      <c r="BN47" s="99">
        <v>5.3143985825773097</v>
      </c>
      <c r="BO47" s="99">
        <v>8118.2752747450977</v>
      </c>
      <c r="BP47" s="99">
        <v>6</v>
      </c>
      <c r="BQ47" s="99">
        <v>9165.5999999999985</v>
      </c>
      <c r="BR47" s="99">
        <v>6</v>
      </c>
      <c r="BS47" s="99">
        <v>9165.5999999999985</v>
      </c>
      <c r="BT47" s="99">
        <v>8</v>
      </c>
      <c r="BU47" s="99">
        <v>12220.8</v>
      </c>
      <c r="BV47" s="99">
        <v>5</v>
      </c>
      <c r="BW47" s="99">
        <v>7638</v>
      </c>
      <c r="BX47" s="99">
        <v>7</v>
      </c>
      <c r="BY47" s="99">
        <v>10693.199999999999</v>
      </c>
      <c r="BZ47" s="99">
        <v>5</v>
      </c>
      <c r="CA47" s="99">
        <v>7638</v>
      </c>
      <c r="CB47" s="99">
        <v>8</v>
      </c>
      <c r="CC47" s="99">
        <v>12220.8</v>
      </c>
      <c r="CD47" s="99">
        <v>8</v>
      </c>
      <c r="CE47" s="99">
        <v>12220.8</v>
      </c>
      <c r="CF47" s="99">
        <v>7</v>
      </c>
      <c r="CG47" s="99">
        <v>10693.199999999999</v>
      </c>
      <c r="CH47" s="99">
        <v>5</v>
      </c>
      <c r="CI47" s="99">
        <v>7638</v>
      </c>
      <c r="CJ47" s="99">
        <v>7</v>
      </c>
      <c r="CK47" s="99">
        <v>10693.199999999999</v>
      </c>
      <c r="CL47" s="99">
        <v>7</v>
      </c>
      <c r="CM47" s="99">
        <v>10693.199999999999</v>
      </c>
      <c r="CN47" s="99">
        <v>8</v>
      </c>
      <c r="CO47" s="99">
        <v>12220.8</v>
      </c>
      <c r="CP47" s="99">
        <v>8</v>
      </c>
      <c r="CQ47" s="99">
        <v>12220.8</v>
      </c>
      <c r="CR47" s="99">
        <v>4</v>
      </c>
      <c r="CS47" s="99">
        <v>6110.4</v>
      </c>
      <c r="CT47" s="99">
        <v>6.3099223714814778</v>
      </c>
      <c r="CU47" s="99">
        <v>9639.0374146751055</v>
      </c>
    </row>
    <row r="48" spans="2:99">
      <c r="C48" s="98" t="s">
        <v>213</v>
      </c>
      <c r="D48" s="99">
        <v>0</v>
      </c>
      <c r="E48" s="99">
        <v>0</v>
      </c>
      <c r="F48" s="99">
        <v>0</v>
      </c>
      <c r="G48" s="99">
        <v>0</v>
      </c>
      <c r="H48" s="99">
        <v>0</v>
      </c>
      <c r="I48" s="99">
        <v>0</v>
      </c>
      <c r="J48" s="99">
        <v>4.4421908635664726</v>
      </c>
      <c r="K48" s="99">
        <v>3854.0447932302718</v>
      </c>
      <c r="L48" s="99">
        <v>4.652575532578787</v>
      </c>
      <c r="M48" s="99">
        <v>4036.5745320653555</v>
      </c>
      <c r="N48" s="99">
        <v>7</v>
      </c>
      <c r="O48" s="99">
        <v>6073.2</v>
      </c>
      <c r="P48" s="99">
        <v>7</v>
      </c>
      <c r="Q48" s="99">
        <v>6073.2</v>
      </c>
      <c r="R48" s="99">
        <v>5</v>
      </c>
      <c r="S48" s="99">
        <v>4338</v>
      </c>
      <c r="T48" s="99">
        <v>5</v>
      </c>
      <c r="U48" s="99">
        <v>4338</v>
      </c>
      <c r="V48" s="99">
        <v>8</v>
      </c>
      <c r="W48" s="99">
        <v>6940.8</v>
      </c>
      <c r="X48" s="99">
        <v>8</v>
      </c>
      <c r="Y48" s="99">
        <v>6940.8</v>
      </c>
      <c r="Z48" s="99">
        <v>6</v>
      </c>
      <c r="AA48" s="99">
        <v>5205.6000000000004</v>
      </c>
      <c r="AB48" s="99">
        <v>6</v>
      </c>
      <c r="AC48" s="99">
        <v>5205.6000000000004</v>
      </c>
      <c r="AD48" s="99">
        <v>5</v>
      </c>
      <c r="AE48" s="99">
        <v>4338</v>
      </c>
      <c r="AF48" s="99">
        <v>5</v>
      </c>
      <c r="AG48" s="99">
        <v>4338</v>
      </c>
      <c r="AH48" s="99">
        <v>8</v>
      </c>
      <c r="AI48" s="99">
        <v>6940.8</v>
      </c>
      <c r="AJ48" s="99">
        <v>7</v>
      </c>
      <c r="AK48" s="99">
        <v>6073.2</v>
      </c>
      <c r="AL48" s="99">
        <v>7</v>
      </c>
      <c r="AM48" s="99">
        <v>6073.2</v>
      </c>
      <c r="AN48" s="99">
        <v>6</v>
      </c>
      <c r="AO48" s="99">
        <v>5205.6000000000004</v>
      </c>
      <c r="AP48" s="99">
        <v>8</v>
      </c>
      <c r="AQ48" s="99">
        <v>6940.8</v>
      </c>
      <c r="AR48" s="99">
        <v>5</v>
      </c>
      <c r="AS48" s="99">
        <v>4338</v>
      </c>
      <c r="AT48" s="99">
        <v>7</v>
      </c>
      <c r="AU48" s="99">
        <v>6073.2</v>
      </c>
      <c r="AV48" s="99">
        <v>8</v>
      </c>
      <c r="AW48" s="99">
        <v>6940.8</v>
      </c>
      <c r="AX48" s="99">
        <v>5</v>
      </c>
      <c r="AY48" s="99">
        <v>4338</v>
      </c>
      <c r="AZ48" s="99">
        <v>6</v>
      </c>
      <c r="BA48" s="99">
        <v>5205.6000000000004</v>
      </c>
      <c r="BB48" s="99">
        <v>5</v>
      </c>
      <c r="BC48" s="99">
        <v>4338</v>
      </c>
      <c r="BD48" s="99">
        <v>5</v>
      </c>
      <c r="BE48" s="99">
        <v>4338</v>
      </c>
      <c r="BF48" s="99">
        <v>7</v>
      </c>
      <c r="BG48" s="99">
        <v>6073.2</v>
      </c>
      <c r="BH48" s="99">
        <v>5</v>
      </c>
      <c r="BI48" s="99">
        <v>4338</v>
      </c>
      <c r="BJ48" s="99">
        <v>6</v>
      </c>
      <c r="BK48" s="99">
        <v>5205.6000000000004</v>
      </c>
      <c r="BL48" s="99">
        <v>6</v>
      </c>
      <c r="BM48" s="99">
        <v>5205.6000000000004</v>
      </c>
      <c r="BN48" s="99">
        <v>5.3143985825773097</v>
      </c>
      <c r="BO48" s="99">
        <v>4610.7722102440739</v>
      </c>
      <c r="BP48" s="99">
        <v>6</v>
      </c>
      <c r="BQ48" s="99">
        <v>5205.6000000000004</v>
      </c>
      <c r="BR48" s="99">
        <v>6</v>
      </c>
      <c r="BS48" s="99">
        <v>5205.6000000000004</v>
      </c>
      <c r="BT48" s="99">
        <v>7</v>
      </c>
      <c r="BU48" s="99">
        <v>6073.2</v>
      </c>
      <c r="BV48" s="99">
        <v>4</v>
      </c>
      <c r="BW48" s="99">
        <v>3470.4</v>
      </c>
      <c r="BX48" s="99">
        <v>7</v>
      </c>
      <c r="BY48" s="99">
        <v>6073.2</v>
      </c>
      <c r="BZ48" s="99">
        <v>5</v>
      </c>
      <c r="CA48" s="99">
        <v>4338</v>
      </c>
      <c r="CB48" s="99">
        <v>8</v>
      </c>
      <c r="CC48" s="99">
        <v>6940.8</v>
      </c>
      <c r="CD48" s="99">
        <v>9</v>
      </c>
      <c r="CE48" s="99">
        <v>7808.4000000000005</v>
      </c>
      <c r="CF48" s="99">
        <v>7</v>
      </c>
      <c r="CG48" s="99">
        <v>6073.2</v>
      </c>
      <c r="CH48" s="99">
        <v>5</v>
      </c>
      <c r="CI48" s="99">
        <v>4338</v>
      </c>
      <c r="CJ48" s="99">
        <v>8</v>
      </c>
      <c r="CK48" s="99">
        <v>6940.8</v>
      </c>
      <c r="CL48" s="99">
        <v>7</v>
      </c>
      <c r="CM48" s="99">
        <v>6073.2</v>
      </c>
      <c r="CN48" s="99">
        <v>9</v>
      </c>
      <c r="CO48" s="99">
        <v>7808.4000000000005</v>
      </c>
      <c r="CP48" s="99">
        <v>9</v>
      </c>
      <c r="CQ48" s="99">
        <v>7808.4000000000005</v>
      </c>
      <c r="CR48" s="99">
        <v>5</v>
      </c>
      <c r="CS48" s="99">
        <v>4338</v>
      </c>
      <c r="CT48" s="99">
        <v>6.3541969959788318</v>
      </c>
      <c r="CU48" s="99">
        <v>5512.9013137112343</v>
      </c>
    </row>
    <row r="49" spans="2:99">
      <c r="B49" s="98" t="s">
        <v>129</v>
      </c>
      <c r="C49" s="98" t="s">
        <v>214</v>
      </c>
      <c r="D49" s="99">
        <v>0</v>
      </c>
      <c r="E49" s="99">
        <v>0</v>
      </c>
      <c r="F49" s="99">
        <v>0</v>
      </c>
      <c r="G49" s="99">
        <v>0</v>
      </c>
      <c r="H49" s="99">
        <v>0</v>
      </c>
      <c r="I49" s="99">
        <v>0</v>
      </c>
      <c r="J49" s="99">
        <v>5</v>
      </c>
      <c r="K49" s="99">
        <v>4926</v>
      </c>
      <c r="L49" s="99">
        <v>5</v>
      </c>
      <c r="M49" s="99">
        <v>4926</v>
      </c>
      <c r="N49" s="99">
        <v>4</v>
      </c>
      <c r="O49" s="99">
        <v>3940.7999999999997</v>
      </c>
      <c r="P49" s="99">
        <v>4</v>
      </c>
      <c r="Q49" s="99">
        <v>3940.7999999999997</v>
      </c>
      <c r="R49" s="99">
        <v>3</v>
      </c>
      <c r="S49" s="99">
        <v>2955.6</v>
      </c>
      <c r="T49" s="99">
        <v>3</v>
      </c>
      <c r="U49" s="99">
        <v>2955.6</v>
      </c>
      <c r="V49" s="99">
        <v>4</v>
      </c>
      <c r="W49" s="99">
        <v>3940.7999999999997</v>
      </c>
      <c r="X49" s="99">
        <v>4</v>
      </c>
      <c r="Y49" s="99">
        <v>3940.7999999999997</v>
      </c>
      <c r="Z49" s="99">
        <v>5</v>
      </c>
      <c r="AA49" s="99">
        <v>4926</v>
      </c>
      <c r="AB49" s="99">
        <v>5</v>
      </c>
      <c r="AC49" s="99">
        <v>4926</v>
      </c>
      <c r="AD49" s="99">
        <v>4</v>
      </c>
      <c r="AE49" s="99">
        <v>3940.7999999999997</v>
      </c>
      <c r="AF49" s="99">
        <v>4</v>
      </c>
      <c r="AG49" s="99">
        <v>3940.7999999999997</v>
      </c>
      <c r="AH49" s="99">
        <v>4</v>
      </c>
      <c r="AI49" s="99">
        <v>3940.7999999999997</v>
      </c>
      <c r="AJ49" s="99">
        <v>4</v>
      </c>
      <c r="AK49" s="99">
        <v>3940.7999999999997</v>
      </c>
      <c r="AL49" s="99">
        <v>3</v>
      </c>
      <c r="AM49" s="99">
        <v>2955.6</v>
      </c>
      <c r="AN49" s="99">
        <v>4</v>
      </c>
      <c r="AO49" s="99">
        <v>3940.7999999999997</v>
      </c>
      <c r="AP49" s="99">
        <v>6</v>
      </c>
      <c r="AQ49" s="99">
        <v>5911.2</v>
      </c>
      <c r="AR49" s="99">
        <v>5</v>
      </c>
      <c r="AS49" s="99">
        <v>4926</v>
      </c>
      <c r="AT49" s="99">
        <v>5</v>
      </c>
      <c r="AU49" s="99">
        <v>4926</v>
      </c>
      <c r="AV49" s="99">
        <v>4</v>
      </c>
      <c r="AW49" s="99">
        <v>3940.7999999999997</v>
      </c>
      <c r="AX49" s="99">
        <v>5</v>
      </c>
      <c r="AY49" s="99">
        <v>4926</v>
      </c>
      <c r="AZ49" s="99">
        <v>5</v>
      </c>
      <c r="BA49" s="99">
        <v>4926</v>
      </c>
      <c r="BB49" s="99">
        <v>5</v>
      </c>
      <c r="BC49" s="99">
        <v>4926</v>
      </c>
      <c r="BD49" s="99">
        <v>4</v>
      </c>
      <c r="BE49" s="99">
        <v>3940.7999999999997</v>
      </c>
      <c r="BF49" s="99">
        <v>6</v>
      </c>
      <c r="BG49" s="99">
        <v>5911.2</v>
      </c>
      <c r="BH49" s="99">
        <v>5</v>
      </c>
      <c r="BI49" s="99">
        <v>4926</v>
      </c>
      <c r="BJ49" s="99">
        <v>5</v>
      </c>
      <c r="BK49" s="99">
        <v>4926</v>
      </c>
      <c r="BL49" s="99">
        <v>7</v>
      </c>
      <c r="BM49" s="99">
        <v>6896.4</v>
      </c>
      <c r="BN49" s="99">
        <v>3</v>
      </c>
      <c r="BO49" s="99">
        <v>2955.6</v>
      </c>
      <c r="BP49" s="99">
        <v>5</v>
      </c>
      <c r="BQ49" s="99">
        <v>4926</v>
      </c>
      <c r="BR49" s="99">
        <v>4</v>
      </c>
      <c r="BS49" s="99">
        <v>3940.7999999999997</v>
      </c>
      <c r="BT49" s="99">
        <v>4</v>
      </c>
      <c r="BU49" s="99">
        <v>3940.7999999999997</v>
      </c>
      <c r="BV49" s="99">
        <v>5</v>
      </c>
      <c r="BW49" s="99">
        <v>4926</v>
      </c>
      <c r="BX49" s="99">
        <v>5</v>
      </c>
      <c r="BY49" s="99">
        <v>4926</v>
      </c>
      <c r="BZ49" s="99">
        <v>4</v>
      </c>
      <c r="CA49" s="99">
        <v>3940.7999999999997</v>
      </c>
      <c r="CB49" s="99">
        <v>3</v>
      </c>
      <c r="CC49" s="99">
        <v>2955.6</v>
      </c>
      <c r="CD49" s="99">
        <v>5</v>
      </c>
      <c r="CE49" s="99">
        <v>4926</v>
      </c>
      <c r="CF49" s="99">
        <v>6</v>
      </c>
      <c r="CG49" s="99">
        <v>5911.2</v>
      </c>
      <c r="CH49" s="99">
        <v>4</v>
      </c>
      <c r="CI49" s="99">
        <v>3940.7999999999997</v>
      </c>
      <c r="CJ49" s="99">
        <v>5</v>
      </c>
      <c r="CK49" s="99">
        <v>4926</v>
      </c>
      <c r="CL49" s="99">
        <v>6</v>
      </c>
      <c r="CM49" s="99">
        <v>5911.2</v>
      </c>
      <c r="CN49" s="99">
        <v>5</v>
      </c>
      <c r="CO49" s="99">
        <v>4926</v>
      </c>
      <c r="CP49" s="99">
        <v>6</v>
      </c>
      <c r="CQ49" s="99">
        <v>5911.2</v>
      </c>
      <c r="CR49" s="99">
        <v>6</v>
      </c>
      <c r="CS49" s="99">
        <v>5911.2</v>
      </c>
      <c r="CT49" s="99">
        <v>5</v>
      </c>
      <c r="CU49" s="99">
        <v>4926</v>
      </c>
    </row>
    <row r="50" spans="2:99">
      <c r="C50" s="98" t="s">
        <v>215</v>
      </c>
      <c r="D50" s="99">
        <v>0</v>
      </c>
      <c r="E50" s="99">
        <v>0</v>
      </c>
      <c r="F50" s="99">
        <v>0</v>
      </c>
      <c r="G50" s="99">
        <v>0</v>
      </c>
      <c r="H50" s="99">
        <v>0</v>
      </c>
      <c r="I50" s="99">
        <v>0</v>
      </c>
      <c r="J50" s="99">
        <v>3.7018257196387272</v>
      </c>
      <c r="K50" s="99">
        <v>1043.9148529381212</v>
      </c>
      <c r="L50" s="99">
        <v>2.584764184765993</v>
      </c>
      <c r="M50" s="99">
        <v>728.90350010401005</v>
      </c>
      <c r="N50" s="99">
        <v>4</v>
      </c>
      <c r="O50" s="99">
        <v>1128</v>
      </c>
      <c r="P50" s="99">
        <v>3</v>
      </c>
      <c r="Q50" s="99">
        <v>846</v>
      </c>
      <c r="R50" s="99">
        <v>3</v>
      </c>
      <c r="S50" s="99">
        <v>846</v>
      </c>
      <c r="T50" s="99">
        <v>3</v>
      </c>
      <c r="U50" s="99">
        <v>846</v>
      </c>
      <c r="V50" s="99">
        <v>4</v>
      </c>
      <c r="W50" s="99">
        <v>1128</v>
      </c>
      <c r="X50" s="99">
        <v>4</v>
      </c>
      <c r="Y50" s="99">
        <v>1128</v>
      </c>
      <c r="Z50" s="99">
        <v>4</v>
      </c>
      <c r="AA50" s="99">
        <v>1128</v>
      </c>
      <c r="AB50" s="99">
        <v>5</v>
      </c>
      <c r="AC50" s="99">
        <v>1410</v>
      </c>
      <c r="AD50" s="99">
        <v>4</v>
      </c>
      <c r="AE50" s="99">
        <v>1128</v>
      </c>
      <c r="AF50" s="99">
        <v>4</v>
      </c>
      <c r="AG50" s="99">
        <v>1128</v>
      </c>
      <c r="AH50" s="99">
        <v>3</v>
      </c>
      <c r="AI50" s="99">
        <v>846</v>
      </c>
      <c r="AJ50" s="99">
        <v>4</v>
      </c>
      <c r="AK50" s="99">
        <v>1128</v>
      </c>
      <c r="AL50" s="99">
        <v>4</v>
      </c>
      <c r="AM50" s="99">
        <v>1128</v>
      </c>
      <c r="AN50" s="99">
        <v>4</v>
      </c>
      <c r="AO50" s="99">
        <v>1128</v>
      </c>
      <c r="AP50" s="99">
        <v>5</v>
      </c>
      <c r="AQ50" s="99">
        <v>1410</v>
      </c>
      <c r="AR50" s="99">
        <v>6</v>
      </c>
      <c r="AS50" s="99">
        <v>1692</v>
      </c>
      <c r="AT50" s="99">
        <v>5</v>
      </c>
      <c r="AU50" s="99">
        <v>1410</v>
      </c>
      <c r="AV50" s="99">
        <v>4</v>
      </c>
      <c r="AW50" s="99">
        <v>1128</v>
      </c>
      <c r="AX50" s="99">
        <v>4</v>
      </c>
      <c r="AY50" s="99">
        <v>1128</v>
      </c>
      <c r="AZ50" s="99">
        <v>5</v>
      </c>
      <c r="BA50" s="99">
        <v>1410</v>
      </c>
      <c r="BB50" s="99">
        <v>5</v>
      </c>
      <c r="BC50" s="99">
        <v>1410</v>
      </c>
      <c r="BD50" s="99">
        <v>5</v>
      </c>
      <c r="BE50" s="99">
        <v>1410</v>
      </c>
      <c r="BF50" s="99">
        <v>7</v>
      </c>
      <c r="BG50" s="99">
        <v>1974</v>
      </c>
      <c r="BH50" s="99">
        <v>5</v>
      </c>
      <c r="BI50" s="99">
        <v>1410</v>
      </c>
      <c r="BJ50" s="99">
        <v>6</v>
      </c>
      <c r="BK50" s="99">
        <v>1692</v>
      </c>
      <c r="BL50" s="99">
        <v>6</v>
      </c>
      <c r="BM50" s="99">
        <v>1692</v>
      </c>
      <c r="BN50" s="99">
        <v>3</v>
      </c>
      <c r="BO50" s="99">
        <v>846</v>
      </c>
      <c r="BP50" s="99">
        <v>5</v>
      </c>
      <c r="BQ50" s="99">
        <v>1410</v>
      </c>
      <c r="BR50" s="99">
        <v>4</v>
      </c>
      <c r="BS50" s="99">
        <v>1128</v>
      </c>
      <c r="BT50" s="99">
        <v>3</v>
      </c>
      <c r="BU50" s="99">
        <v>846</v>
      </c>
      <c r="BV50" s="99">
        <v>6</v>
      </c>
      <c r="BW50" s="99">
        <v>1692</v>
      </c>
      <c r="BX50" s="99">
        <v>5</v>
      </c>
      <c r="BY50" s="99">
        <v>1410</v>
      </c>
      <c r="BZ50" s="99">
        <v>5</v>
      </c>
      <c r="CA50" s="99">
        <v>1410</v>
      </c>
      <c r="CB50" s="99">
        <v>3</v>
      </c>
      <c r="CC50" s="99">
        <v>846</v>
      </c>
      <c r="CD50" s="99">
        <v>5</v>
      </c>
      <c r="CE50" s="99">
        <v>1410</v>
      </c>
      <c r="CF50" s="99">
        <v>5</v>
      </c>
      <c r="CG50" s="99">
        <v>1410</v>
      </c>
      <c r="CH50" s="99">
        <v>4</v>
      </c>
      <c r="CI50" s="99">
        <v>1128</v>
      </c>
      <c r="CJ50" s="99">
        <v>5</v>
      </c>
      <c r="CK50" s="99">
        <v>1410</v>
      </c>
      <c r="CL50" s="99">
        <v>6</v>
      </c>
      <c r="CM50" s="99">
        <v>1692</v>
      </c>
      <c r="CN50" s="99">
        <v>5</v>
      </c>
      <c r="CO50" s="99">
        <v>1410</v>
      </c>
      <c r="CP50" s="99">
        <v>5</v>
      </c>
      <c r="CQ50" s="99">
        <v>1410</v>
      </c>
      <c r="CR50" s="99">
        <v>6</v>
      </c>
      <c r="CS50" s="99">
        <v>1692</v>
      </c>
      <c r="CT50" s="99">
        <v>5</v>
      </c>
      <c r="CU50" s="99">
        <v>1410</v>
      </c>
    </row>
    <row r="51" spans="2:99">
      <c r="C51" s="98" t="s">
        <v>216</v>
      </c>
      <c r="D51" s="99">
        <v>0</v>
      </c>
      <c r="E51" s="99">
        <v>0</v>
      </c>
      <c r="F51" s="99">
        <v>0</v>
      </c>
      <c r="G51" s="99">
        <v>0</v>
      </c>
      <c r="H51" s="99">
        <v>0</v>
      </c>
      <c r="I51" s="99">
        <v>0</v>
      </c>
      <c r="J51" s="99">
        <v>3.7018257196387272</v>
      </c>
      <c r="K51" s="99">
        <v>3162.8398948593285</v>
      </c>
      <c r="L51" s="99">
        <v>2.584764184765993</v>
      </c>
      <c r="M51" s="99">
        <v>2208.4225194640644</v>
      </c>
      <c r="N51" s="99">
        <v>4</v>
      </c>
      <c r="O51" s="99">
        <v>3417.6</v>
      </c>
      <c r="P51" s="99">
        <v>4</v>
      </c>
      <c r="Q51" s="99">
        <v>3417.6</v>
      </c>
      <c r="R51" s="99">
        <v>3</v>
      </c>
      <c r="S51" s="99">
        <v>2563.1999999999998</v>
      </c>
      <c r="T51" s="99">
        <v>4</v>
      </c>
      <c r="U51" s="99">
        <v>3417.6</v>
      </c>
      <c r="V51" s="99">
        <v>4</v>
      </c>
      <c r="W51" s="99">
        <v>3417.6</v>
      </c>
      <c r="X51" s="99">
        <v>5</v>
      </c>
      <c r="Y51" s="99">
        <v>4272</v>
      </c>
      <c r="Z51" s="99">
        <v>4</v>
      </c>
      <c r="AA51" s="99">
        <v>3417.6</v>
      </c>
      <c r="AB51" s="99">
        <v>5</v>
      </c>
      <c r="AC51" s="99">
        <v>4272</v>
      </c>
      <c r="AD51" s="99">
        <v>3</v>
      </c>
      <c r="AE51" s="99">
        <v>2563.1999999999998</v>
      </c>
      <c r="AF51" s="99">
        <v>4</v>
      </c>
      <c r="AG51" s="99">
        <v>3417.6</v>
      </c>
      <c r="AH51" s="99">
        <v>4</v>
      </c>
      <c r="AI51" s="99">
        <v>3417.6</v>
      </c>
      <c r="AJ51" s="99">
        <v>4</v>
      </c>
      <c r="AK51" s="99">
        <v>3417.6</v>
      </c>
      <c r="AL51" s="99">
        <v>4</v>
      </c>
      <c r="AM51" s="99">
        <v>3417.6</v>
      </c>
      <c r="AN51" s="99">
        <v>4</v>
      </c>
      <c r="AO51" s="99">
        <v>3417.6</v>
      </c>
      <c r="AP51" s="99">
        <v>5</v>
      </c>
      <c r="AQ51" s="99">
        <v>4272</v>
      </c>
      <c r="AR51" s="99">
        <v>5</v>
      </c>
      <c r="AS51" s="99">
        <v>4272</v>
      </c>
      <c r="AT51" s="99">
        <v>5</v>
      </c>
      <c r="AU51" s="99">
        <v>4272</v>
      </c>
      <c r="AV51" s="99">
        <v>4</v>
      </c>
      <c r="AW51" s="99">
        <v>3417.6</v>
      </c>
      <c r="AX51" s="99">
        <v>5</v>
      </c>
      <c r="AY51" s="99">
        <v>4272</v>
      </c>
      <c r="AZ51" s="99">
        <v>5</v>
      </c>
      <c r="BA51" s="99">
        <v>4272</v>
      </c>
      <c r="BB51" s="99">
        <v>5</v>
      </c>
      <c r="BC51" s="99">
        <v>4272</v>
      </c>
      <c r="BD51" s="99">
        <v>5</v>
      </c>
      <c r="BE51" s="99">
        <v>4272</v>
      </c>
      <c r="BF51" s="99">
        <v>7</v>
      </c>
      <c r="BG51" s="99">
        <v>5980.8</v>
      </c>
      <c r="BH51" s="99">
        <v>5</v>
      </c>
      <c r="BI51" s="99">
        <v>4272</v>
      </c>
      <c r="BJ51" s="99">
        <v>5</v>
      </c>
      <c r="BK51" s="99">
        <v>4272</v>
      </c>
      <c r="BL51" s="99">
        <v>7</v>
      </c>
      <c r="BM51" s="99">
        <v>5980.8</v>
      </c>
      <c r="BN51" s="99">
        <v>4</v>
      </c>
      <c r="BO51" s="99">
        <v>3417.6</v>
      </c>
      <c r="BP51" s="99">
        <v>5</v>
      </c>
      <c r="BQ51" s="99">
        <v>4272</v>
      </c>
      <c r="BR51" s="99">
        <v>4</v>
      </c>
      <c r="BS51" s="99">
        <v>3417.6</v>
      </c>
      <c r="BT51" s="99">
        <v>4</v>
      </c>
      <c r="BU51" s="99">
        <v>3417.6</v>
      </c>
      <c r="BV51" s="99">
        <v>5</v>
      </c>
      <c r="BW51" s="99">
        <v>4272</v>
      </c>
      <c r="BX51" s="99">
        <v>5</v>
      </c>
      <c r="BY51" s="99">
        <v>4272</v>
      </c>
      <c r="BZ51" s="99">
        <v>4</v>
      </c>
      <c r="CA51" s="99">
        <v>3417.6</v>
      </c>
      <c r="CB51" s="99">
        <v>3</v>
      </c>
      <c r="CC51" s="99">
        <v>2563.1999999999998</v>
      </c>
      <c r="CD51" s="99">
        <v>5</v>
      </c>
      <c r="CE51" s="99">
        <v>4272</v>
      </c>
      <c r="CF51" s="99">
        <v>6</v>
      </c>
      <c r="CG51" s="99">
        <v>5126.3999999999996</v>
      </c>
      <c r="CH51" s="99">
        <v>4</v>
      </c>
      <c r="CI51" s="99">
        <v>3417.6</v>
      </c>
      <c r="CJ51" s="99">
        <v>5</v>
      </c>
      <c r="CK51" s="99">
        <v>4272</v>
      </c>
      <c r="CL51" s="99">
        <v>6</v>
      </c>
      <c r="CM51" s="99">
        <v>5126.3999999999996</v>
      </c>
      <c r="CN51" s="99">
        <v>6</v>
      </c>
      <c r="CO51" s="99">
        <v>5126.3999999999996</v>
      </c>
      <c r="CP51" s="99">
        <v>5</v>
      </c>
      <c r="CQ51" s="99">
        <v>4272</v>
      </c>
      <c r="CR51" s="99">
        <v>6</v>
      </c>
      <c r="CS51" s="99">
        <v>5126.3999999999996</v>
      </c>
      <c r="CT51" s="99">
        <v>5</v>
      </c>
      <c r="CU51" s="99">
        <v>4272</v>
      </c>
    </row>
    <row r="52" spans="2:99">
      <c r="C52" s="98" t="s">
        <v>217</v>
      </c>
      <c r="D52" s="99">
        <v>0</v>
      </c>
      <c r="E52" s="99">
        <v>0</v>
      </c>
      <c r="F52" s="99">
        <v>0</v>
      </c>
      <c r="G52" s="99">
        <v>0</v>
      </c>
      <c r="H52" s="99">
        <v>0</v>
      </c>
      <c r="I52" s="99">
        <v>0</v>
      </c>
      <c r="J52" s="99">
        <v>2.9614605757109818</v>
      </c>
      <c r="K52" s="99">
        <v>1599.1887108839301</v>
      </c>
      <c r="L52" s="99">
        <v>2.584764184765993</v>
      </c>
      <c r="M52" s="99">
        <v>1395.7726597736362</v>
      </c>
      <c r="N52" s="99">
        <v>4</v>
      </c>
      <c r="O52" s="99">
        <v>2160</v>
      </c>
      <c r="P52" s="99">
        <v>4</v>
      </c>
      <c r="Q52" s="99">
        <v>2160</v>
      </c>
      <c r="R52" s="99">
        <v>3</v>
      </c>
      <c r="S52" s="99">
        <v>1620</v>
      </c>
      <c r="T52" s="99">
        <v>4</v>
      </c>
      <c r="U52" s="99">
        <v>2160</v>
      </c>
      <c r="V52" s="99">
        <v>4</v>
      </c>
      <c r="W52" s="99">
        <v>2160</v>
      </c>
      <c r="X52" s="99">
        <v>4</v>
      </c>
      <c r="Y52" s="99">
        <v>2160</v>
      </c>
      <c r="Z52" s="99">
        <v>4</v>
      </c>
      <c r="AA52" s="99">
        <v>2160</v>
      </c>
      <c r="AB52" s="99">
        <v>5</v>
      </c>
      <c r="AC52" s="99">
        <v>2700</v>
      </c>
      <c r="AD52" s="99">
        <v>4</v>
      </c>
      <c r="AE52" s="99">
        <v>2160</v>
      </c>
      <c r="AF52" s="99">
        <v>4</v>
      </c>
      <c r="AG52" s="99">
        <v>2160</v>
      </c>
      <c r="AH52" s="99">
        <v>4</v>
      </c>
      <c r="AI52" s="99">
        <v>2160</v>
      </c>
      <c r="AJ52" s="99">
        <v>4</v>
      </c>
      <c r="AK52" s="99">
        <v>2160</v>
      </c>
      <c r="AL52" s="99">
        <v>4</v>
      </c>
      <c r="AM52" s="99">
        <v>2160</v>
      </c>
      <c r="AN52" s="99">
        <v>4</v>
      </c>
      <c r="AO52" s="99">
        <v>2160</v>
      </c>
      <c r="AP52" s="99">
        <v>6</v>
      </c>
      <c r="AQ52" s="99">
        <v>3240</v>
      </c>
      <c r="AR52" s="99">
        <v>6</v>
      </c>
      <c r="AS52" s="99">
        <v>3240</v>
      </c>
      <c r="AT52" s="99">
        <v>5</v>
      </c>
      <c r="AU52" s="99">
        <v>2700</v>
      </c>
      <c r="AV52" s="99">
        <v>5</v>
      </c>
      <c r="AW52" s="99">
        <v>2700</v>
      </c>
      <c r="AX52" s="99">
        <v>5</v>
      </c>
      <c r="AY52" s="99">
        <v>2700</v>
      </c>
      <c r="AZ52" s="99">
        <v>5</v>
      </c>
      <c r="BA52" s="99">
        <v>2700</v>
      </c>
      <c r="BB52" s="99">
        <v>5</v>
      </c>
      <c r="BC52" s="99">
        <v>2700</v>
      </c>
      <c r="BD52" s="99">
        <v>4</v>
      </c>
      <c r="BE52" s="99">
        <v>2160</v>
      </c>
      <c r="BF52" s="99">
        <v>6</v>
      </c>
      <c r="BG52" s="99">
        <v>3240</v>
      </c>
      <c r="BH52" s="99">
        <v>5</v>
      </c>
      <c r="BI52" s="99">
        <v>2700</v>
      </c>
      <c r="BJ52" s="99">
        <v>5</v>
      </c>
      <c r="BK52" s="99">
        <v>2700</v>
      </c>
      <c r="BL52" s="99">
        <v>7</v>
      </c>
      <c r="BM52" s="99">
        <v>3780</v>
      </c>
      <c r="BN52" s="99">
        <v>3</v>
      </c>
      <c r="BO52" s="99">
        <v>1620</v>
      </c>
      <c r="BP52" s="99">
        <v>5</v>
      </c>
      <c r="BQ52" s="99">
        <v>2700</v>
      </c>
      <c r="BR52" s="99">
        <v>4</v>
      </c>
      <c r="BS52" s="99">
        <v>2160</v>
      </c>
      <c r="BT52" s="99">
        <v>4</v>
      </c>
      <c r="BU52" s="99">
        <v>2160</v>
      </c>
      <c r="BV52" s="99">
        <v>6</v>
      </c>
      <c r="BW52" s="99">
        <v>3240</v>
      </c>
      <c r="BX52" s="99">
        <v>5</v>
      </c>
      <c r="BY52" s="99">
        <v>2700</v>
      </c>
      <c r="BZ52" s="99">
        <v>4</v>
      </c>
      <c r="CA52" s="99">
        <v>2160</v>
      </c>
      <c r="CB52" s="99">
        <v>4</v>
      </c>
      <c r="CC52" s="99">
        <v>2160</v>
      </c>
      <c r="CD52" s="99">
        <v>5</v>
      </c>
      <c r="CE52" s="99">
        <v>2700</v>
      </c>
      <c r="CF52" s="99">
        <v>6</v>
      </c>
      <c r="CG52" s="99">
        <v>3240</v>
      </c>
      <c r="CH52" s="99">
        <v>4</v>
      </c>
      <c r="CI52" s="99">
        <v>2160</v>
      </c>
      <c r="CJ52" s="99">
        <v>6</v>
      </c>
      <c r="CK52" s="99">
        <v>3240</v>
      </c>
      <c r="CL52" s="99">
        <v>6</v>
      </c>
      <c r="CM52" s="99">
        <v>3240</v>
      </c>
      <c r="CN52" s="99">
        <v>5</v>
      </c>
      <c r="CO52" s="99">
        <v>2700</v>
      </c>
      <c r="CP52" s="99">
        <v>5</v>
      </c>
      <c r="CQ52" s="99">
        <v>2700</v>
      </c>
      <c r="CR52" s="99">
        <v>5</v>
      </c>
      <c r="CS52" s="99">
        <v>2700</v>
      </c>
      <c r="CT52" s="99">
        <v>5</v>
      </c>
      <c r="CU52" s="99">
        <v>2700</v>
      </c>
    </row>
    <row r="53" spans="2:99">
      <c r="C53" s="98" t="s">
        <v>218</v>
      </c>
      <c r="D53" s="99">
        <v>0</v>
      </c>
      <c r="E53" s="99">
        <v>0</v>
      </c>
      <c r="F53" s="99">
        <v>0</v>
      </c>
      <c r="G53" s="99">
        <v>0</v>
      </c>
      <c r="H53" s="99">
        <v>0</v>
      </c>
      <c r="I53" s="99">
        <v>0</v>
      </c>
      <c r="J53" s="99">
        <v>3.7018257196387272</v>
      </c>
      <c r="K53" s="99">
        <v>1505.9027027490342</v>
      </c>
      <c r="L53" s="99">
        <v>2.584764184765993</v>
      </c>
      <c r="M53" s="99">
        <v>1051.4820703628061</v>
      </c>
      <c r="N53" s="99">
        <v>4</v>
      </c>
      <c r="O53" s="99">
        <v>1627.2</v>
      </c>
      <c r="P53" s="99">
        <v>4</v>
      </c>
      <c r="Q53" s="99">
        <v>1627.2</v>
      </c>
      <c r="R53" s="99">
        <v>4</v>
      </c>
      <c r="S53" s="99">
        <v>1627.2</v>
      </c>
      <c r="T53" s="99">
        <v>4</v>
      </c>
      <c r="U53" s="99">
        <v>1627.2</v>
      </c>
      <c r="V53" s="99">
        <v>5</v>
      </c>
      <c r="W53" s="99">
        <v>2034</v>
      </c>
      <c r="X53" s="99">
        <v>4</v>
      </c>
      <c r="Y53" s="99">
        <v>1627.2</v>
      </c>
      <c r="Z53" s="99">
        <v>5</v>
      </c>
      <c r="AA53" s="99">
        <v>2034</v>
      </c>
      <c r="AB53" s="99">
        <v>5</v>
      </c>
      <c r="AC53" s="99">
        <v>2034</v>
      </c>
      <c r="AD53" s="99">
        <v>4</v>
      </c>
      <c r="AE53" s="99">
        <v>1627.2</v>
      </c>
      <c r="AF53" s="99">
        <v>4</v>
      </c>
      <c r="AG53" s="99">
        <v>1627.2</v>
      </c>
      <c r="AH53" s="99">
        <v>4</v>
      </c>
      <c r="AI53" s="99">
        <v>1627.2</v>
      </c>
      <c r="AJ53" s="99">
        <v>4</v>
      </c>
      <c r="AK53" s="99">
        <v>1627.2</v>
      </c>
      <c r="AL53" s="99">
        <v>3</v>
      </c>
      <c r="AM53" s="99">
        <v>1220.4000000000001</v>
      </c>
      <c r="AN53" s="99">
        <v>4</v>
      </c>
      <c r="AO53" s="99">
        <v>1627.2</v>
      </c>
      <c r="AP53" s="99">
        <v>6</v>
      </c>
      <c r="AQ53" s="99">
        <v>2440.8000000000002</v>
      </c>
      <c r="AR53" s="99">
        <v>5</v>
      </c>
      <c r="AS53" s="99">
        <v>2034</v>
      </c>
      <c r="AT53" s="99">
        <v>5</v>
      </c>
      <c r="AU53" s="99">
        <v>2034</v>
      </c>
      <c r="AV53" s="99">
        <v>4</v>
      </c>
      <c r="AW53" s="99">
        <v>1627.2</v>
      </c>
      <c r="AX53" s="99">
        <v>4</v>
      </c>
      <c r="AY53" s="99">
        <v>1627.2</v>
      </c>
      <c r="AZ53" s="99">
        <v>5</v>
      </c>
      <c r="BA53" s="99">
        <v>2034</v>
      </c>
      <c r="BB53" s="99">
        <v>6</v>
      </c>
      <c r="BC53" s="99">
        <v>2440.8000000000002</v>
      </c>
      <c r="BD53" s="99">
        <v>5</v>
      </c>
      <c r="BE53" s="99">
        <v>2034</v>
      </c>
      <c r="BF53" s="99">
        <v>6</v>
      </c>
      <c r="BG53" s="99">
        <v>2440.8000000000002</v>
      </c>
      <c r="BH53" s="99">
        <v>5</v>
      </c>
      <c r="BI53" s="99">
        <v>2034</v>
      </c>
      <c r="BJ53" s="99">
        <v>5</v>
      </c>
      <c r="BK53" s="99">
        <v>2034</v>
      </c>
      <c r="BL53" s="99">
        <v>7</v>
      </c>
      <c r="BM53" s="99">
        <v>2847.6</v>
      </c>
      <c r="BN53" s="99">
        <v>3</v>
      </c>
      <c r="BO53" s="99">
        <v>1220.4000000000001</v>
      </c>
      <c r="BP53" s="99">
        <v>5</v>
      </c>
      <c r="BQ53" s="99">
        <v>2034</v>
      </c>
      <c r="BR53" s="99">
        <v>4</v>
      </c>
      <c r="BS53" s="99">
        <v>1627.2</v>
      </c>
      <c r="BT53" s="99">
        <v>4</v>
      </c>
      <c r="BU53" s="99">
        <v>1627.2</v>
      </c>
      <c r="BV53" s="99">
        <v>5</v>
      </c>
      <c r="BW53" s="99">
        <v>2034</v>
      </c>
      <c r="BX53" s="99">
        <v>5</v>
      </c>
      <c r="BY53" s="99">
        <v>2034</v>
      </c>
      <c r="BZ53" s="99">
        <v>5</v>
      </c>
      <c r="CA53" s="99">
        <v>2034</v>
      </c>
      <c r="CB53" s="99">
        <v>3</v>
      </c>
      <c r="CC53" s="99">
        <v>1220.4000000000001</v>
      </c>
      <c r="CD53" s="99">
        <v>5</v>
      </c>
      <c r="CE53" s="99">
        <v>2034</v>
      </c>
      <c r="CF53" s="99">
        <v>5</v>
      </c>
      <c r="CG53" s="99">
        <v>2034</v>
      </c>
      <c r="CH53" s="99">
        <v>4</v>
      </c>
      <c r="CI53" s="99">
        <v>1627.2</v>
      </c>
      <c r="CJ53" s="99">
        <v>5</v>
      </c>
      <c r="CK53" s="99">
        <v>2034</v>
      </c>
      <c r="CL53" s="99">
        <v>6</v>
      </c>
      <c r="CM53" s="99">
        <v>2440.8000000000002</v>
      </c>
      <c r="CN53" s="99">
        <v>6</v>
      </c>
      <c r="CO53" s="99">
        <v>2440.8000000000002</v>
      </c>
      <c r="CP53" s="99">
        <v>5</v>
      </c>
      <c r="CQ53" s="99">
        <v>2034</v>
      </c>
      <c r="CR53" s="99">
        <v>5</v>
      </c>
      <c r="CS53" s="99">
        <v>2034</v>
      </c>
      <c r="CT53" s="99">
        <v>5</v>
      </c>
      <c r="CU53" s="99">
        <v>2034</v>
      </c>
    </row>
    <row r="54" spans="2:99">
      <c r="C54" s="98" t="s">
        <v>219</v>
      </c>
      <c r="D54" s="99">
        <v>0</v>
      </c>
      <c r="E54" s="99">
        <v>0</v>
      </c>
      <c r="F54" s="99">
        <v>0</v>
      </c>
      <c r="G54" s="99">
        <v>0</v>
      </c>
      <c r="H54" s="99">
        <v>0</v>
      </c>
      <c r="I54" s="99">
        <v>0</v>
      </c>
      <c r="J54" s="99">
        <v>3.7018257196387272</v>
      </c>
      <c r="K54" s="99">
        <v>1239.371250935046</v>
      </c>
      <c r="L54" s="99">
        <v>2.584764184765993</v>
      </c>
      <c r="M54" s="99">
        <v>865.37904905965445</v>
      </c>
      <c r="N54" s="99">
        <v>4</v>
      </c>
      <c r="O54" s="99">
        <v>1339.2</v>
      </c>
      <c r="P54" s="99">
        <v>4</v>
      </c>
      <c r="Q54" s="99">
        <v>1339.2</v>
      </c>
      <c r="R54" s="99">
        <v>3</v>
      </c>
      <c r="S54" s="99">
        <v>1004.4000000000001</v>
      </c>
      <c r="T54" s="99">
        <v>3</v>
      </c>
      <c r="U54" s="99">
        <v>1004.4000000000001</v>
      </c>
      <c r="V54" s="99">
        <v>4</v>
      </c>
      <c r="W54" s="99">
        <v>1339.2</v>
      </c>
      <c r="X54" s="99">
        <v>5</v>
      </c>
      <c r="Y54" s="99">
        <v>1674</v>
      </c>
      <c r="Z54" s="99">
        <v>5</v>
      </c>
      <c r="AA54" s="99">
        <v>1674</v>
      </c>
      <c r="AB54" s="99">
        <v>5</v>
      </c>
      <c r="AC54" s="99">
        <v>1674</v>
      </c>
      <c r="AD54" s="99">
        <v>4</v>
      </c>
      <c r="AE54" s="99">
        <v>1339.2</v>
      </c>
      <c r="AF54" s="99">
        <v>4</v>
      </c>
      <c r="AG54" s="99">
        <v>1339.2</v>
      </c>
      <c r="AH54" s="99">
        <v>4</v>
      </c>
      <c r="AI54" s="99">
        <v>1339.2</v>
      </c>
      <c r="AJ54" s="99">
        <v>5</v>
      </c>
      <c r="AK54" s="99">
        <v>1674</v>
      </c>
      <c r="AL54" s="99">
        <v>3</v>
      </c>
      <c r="AM54" s="99">
        <v>1004.4000000000001</v>
      </c>
      <c r="AN54" s="99">
        <v>4</v>
      </c>
      <c r="AO54" s="99">
        <v>1339.2</v>
      </c>
      <c r="AP54" s="99">
        <v>6</v>
      </c>
      <c r="AQ54" s="99">
        <v>2008.8000000000002</v>
      </c>
      <c r="AR54" s="99">
        <v>6</v>
      </c>
      <c r="AS54" s="99">
        <v>2008.8000000000002</v>
      </c>
      <c r="AT54" s="99">
        <v>5</v>
      </c>
      <c r="AU54" s="99">
        <v>1674</v>
      </c>
      <c r="AV54" s="99">
        <v>5</v>
      </c>
      <c r="AW54" s="99">
        <v>1674</v>
      </c>
      <c r="AX54" s="99">
        <v>5</v>
      </c>
      <c r="AY54" s="99">
        <v>1674</v>
      </c>
      <c r="AZ54" s="99">
        <v>5</v>
      </c>
      <c r="BA54" s="99">
        <v>1674</v>
      </c>
      <c r="BB54" s="99">
        <v>6</v>
      </c>
      <c r="BC54" s="99">
        <v>2008.8000000000002</v>
      </c>
      <c r="BD54" s="99">
        <v>4</v>
      </c>
      <c r="BE54" s="99">
        <v>1339.2</v>
      </c>
      <c r="BF54" s="99">
        <v>6</v>
      </c>
      <c r="BG54" s="99">
        <v>2008.8000000000002</v>
      </c>
      <c r="BH54" s="99">
        <v>5</v>
      </c>
      <c r="BI54" s="99">
        <v>1674</v>
      </c>
      <c r="BJ54" s="99">
        <v>5</v>
      </c>
      <c r="BK54" s="99">
        <v>1674</v>
      </c>
      <c r="BL54" s="99">
        <v>6</v>
      </c>
      <c r="BM54" s="99">
        <v>2008.8000000000002</v>
      </c>
      <c r="BN54" s="99">
        <v>4</v>
      </c>
      <c r="BO54" s="99">
        <v>1339.2</v>
      </c>
      <c r="BP54" s="99">
        <v>4</v>
      </c>
      <c r="BQ54" s="99">
        <v>1339.2</v>
      </c>
      <c r="BR54" s="99">
        <v>4</v>
      </c>
      <c r="BS54" s="99">
        <v>1339.2</v>
      </c>
      <c r="BT54" s="99">
        <v>4</v>
      </c>
      <c r="BU54" s="99">
        <v>1339.2</v>
      </c>
      <c r="BV54" s="99">
        <v>5</v>
      </c>
      <c r="BW54" s="99">
        <v>1674</v>
      </c>
      <c r="BX54" s="99">
        <v>5</v>
      </c>
      <c r="BY54" s="99">
        <v>1674</v>
      </c>
      <c r="BZ54" s="99">
        <v>4</v>
      </c>
      <c r="CA54" s="99">
        <v>1339.2</v>
      </c>
      <c r="CB54" s="99">
        <v>3</v>
      </c>
      <c r="CC54" s="99">
        <v>1004.4000000000001</v>
      </c>
      <c r="CD54" s="99">
        <v>4</v>
      </c>
      <c r="CE54" s="99">
        <v>1339.2</v>
      </c>
      <c r="CF54" s="99">
        <v>6</v>
      </c>
      <c r="CG54" s="99">
        <v>2008.8000000000002</v>
      </c>
      <c r="CH54" s="99">
        <v>4</v>
      </c>
      <c r="CI54" s="99">
        <v>1339.2</v>
      </c>
      <c r="CJ54" s="99">
        <v>5</v>
      </c>
      <c r="CK54" s="99">
        <v>1674</v>
      </c>
      <c r="CL54" s="99">
        <v>6</v>
      </c>
      <c r="CM54" s="99">
        <v>2008.8000000000002</v>
      </c>
      <c r="CN54" s="99">
        <v>6</v>
      </c>
      <c r="CO54" s="99">
        <v>2008.8000000000002</v>
      </c>
      <c r="CP54" s="99">
        <v>5</v>
      </c>
      <c r="CQ54" s="99">
        <v>1674</v>
      </c>
      <c r="CR54" s="99">
        <v>5</v>
      </c>
      <c r="CS54" s="99">
        <v>1674</v>
      </c>
      <c r="CT54" s="99">
        <v>5</v>
      </c>
      <c r="CU54" s="99">
        <v>1674</v>
      </c>
    </row>
    <row r="55" spans="2:99">
      <c r="C55" s="98" t="s">
        <v>220</v>
      </c>
      <c r="D55" s="99">
        <v>0</v>
      </c>
      <c r="E55" s="99">
        <v>0</v>
      </c>
      <c r="F55" s="99">
        <v>0</v>
      </c>
      <c r="G55" s="99">
        <v>0</v>
      </c>
      <c r="H55" s="99">
        <v>0</v>
      </c>
      <c r="I55" s="99">
        <v>0</v>
      </c>
      <c r="J55" s="99">
        <v>3.7018257196387272</v>
      </c>
      <c r="K55" s="99">
        <v>2456.5315475522593</v>
      </c>
      <c r="L55" s="99">
        <v>2.584764184765993</v>
      </c>
      <c r="M55" s="99">
        <v>1715.2495130107129</v>
      </c>
      <c r="N55" s="99">
        <v>4</v>
      </c>
      <c r="O55" s="99">
        <v>2654.4</v>
      </c>
      <c r="P55" s="99">
        <v>3</v>
      </c>
      <c r="Q55" s="99">
        <v>1990.8000000000002</v>
      </c>
      <c r="R55" s="99">
        <v>3</v>
      </c>
      <c r="S55" s="99">
        <v>1990.8000000000002</v>
      </c>
      <c r="T55" s="99">
        <v>3</v>
      </c>
      <c r="U55" s="99">
        <v>1990.8000000000002</v>
      </c>
      <c r="V55" s="99">
        <v>4</v>
      </c>
      <c r="W55" s="99">
        <v>2654.4</v>
      </c>
      <c r="X55" s="99">
        <v>4</v>
      </c>
      <c r="Y55" s="99">
        <v>2654.4</v>
      </c>
      <c r="Z55" s="99">
        <v>5</v>
      </c>
      <c r="AA55" s="99">
        <v>3318</v>
      </c>
      <c r="AB55" s="99">
        <v>5</v>
      </c>
      <c r="AC55" s="99">
        <v>3318</v>
      </c>
      <c r="AD55" s="99">
        <v>4</v>
      </c>
      <c r="AE55" s="99">
        <v>2654.4</v>
      </c>
      <c r="AF55" s="99">
        <v>4</v>
      </c>
      <c r="AG55" s="99">
        <v>2654.4</v>
      </c>
      <c r="AH55" s="99">
        <v>4</v>
      </c>
      <c r="AI55" s="99">
        <v>2654.4</v>
      </c>
      <c r="AJ55" s="99">
        <v>4</v>
      </c>
      <c r="AK55" s="99">
        <v>2654.4</v>
      </c>
      <c r="AL55" s="99">
        <v>3</v>
      </c>
      <c r="AM55" s="99">
        <v>1990.8000000000002</v>
      </c>
      <c r="AN55" s="99">
        <v>4</v>
      </c>
      <c r="AO55" s="99">
        <v>2654.4</v>
      </c>
      <c r="AP55" s="99">
        <v>5</v>
      </c>
      <c r="AQ55" s="99">
        <v>3318</v>
      </c>
      <c r="AR55" s="99">
        <v>5</v>
      </c>
      <c r="AS55" s="99">
        <v>3318</v>
      </c>
      <c r="AT55" s="99">
        <v>5</v>
      </c>
      <c r="AU55" s="99">
        <v>3318</v>
      </c>
      <c r="AV55" s="99">
        <v>4</v>
      </c>
      <c r="AW55" s="99">
        <v>2654.4</v>
      </c>
      <c r="AX55" s="99">
        <v>4</v>
      </c>
      <c r="AY55" s="99">
        <v>2654.4</v>
      </c>
      <c r="AZ55" s="99">
        <v>5</v>
      </c>
      <c r="BA55" s="99">
        <v>3318</v>
      </c>
      <c r="BB55" s="99">
        <v>6</v>
      </c>
      <c r="BC55" s="99">
        <v>3981.6000000000004</v>
      </c>
      <c r="BD55" s="99">
        <v>4</v>
      </c>
      <c r="BE55" s="99">
        <v>2654.4</v>
      </c>
      <c r="BF55" s="99">
        <v>6</v>
      </c>
      <c r="BG55" s="99">
        <v>3981.6000000000004</v>
      </c>
      <c r="BH55" s="99">
        <v>5</v>
      </c>
      <c r="BI55" s="99">
        <v>3318</v>
      </c>
      <c r="BJ55" s="99">
        <v>5</v>
      </c>
      <c r="BK55" s="99">
        <v>3318</v>
      </c>
      <c r="BL55" s="99">
        <v>6</v>
      </c>
      <c r="BM55" s="99">
        <v>3981.6000000000004</v>
      </c>
      <c r="BN55" s="99">
        <v>3</v>
      </c>
      <c r="BO55" s="99">
        <v>1990.8000000000002</v>
      </c>
      <c r="BP55" s="99">
        <v>4</v>
      </c>
      <c r="BQ55" s="99">
        <v>2654.4</v>
      </c>
      <c r="BR55" s="99">
        <v>4</v>
      </c>
      <c r="BS55" s="99">
        <v>2654.4</v>
      </c>
      <c r="BT55" s="99">
        <v>4</v>
      </c>
      <c r="BU55" s="99">
        <v>2654.4</v>
      </c>
      <c r="BV55" s="99">
        <v>6</v>
      </c>
      <c r="BW55" s="99">
        <v>3981.6000000000004</v>
      </c>
      <c r="BX55" s="99">
        <v>4</v>
      </c>
      <c r="BY55" s="99">
        <v>2654.4</v>
      </c>
      <c r="BZ55" s="99">
        <v>5</v>
      </c>
      <c r="CA55" s="99">
        <v>3318</v>
      </c>
      <c r="CB55" s="99">
        <v>4</v>
      </c>
      <c r="CC55" s="99">
        <v>2654.4</v>
      </c>
      <c r="CD55" s="99">
        <v>5</v>
      </c>
      <c r="CE55" s="99">
        <v>3318</v>
      </c>
      <c r="CF55" s="99">
        <v>6</v>
      </c>
      <c r="CG55" s="99">
        <v>3981.6000000000004</v>
      </c>
      <c r="CH55" s="99">
        <v>5</v>
      </c>
      <c r="CI55" s="99">
        <v>3318</v>
      </c>
      <c r="CJ55" s="99">
        <v>5</v>
      </c>
      <c r="CK55" s="99">
        <v>3318</v>
      </c>
      <c r="CL55" s="99">
        <v>6</v>
      </c>
      <c r="CM55" s="99">
        <v>3981.6000000000004</v>
      </c>
      <c r="CN55" s="99">
        <v>5</v>
      </c>
      <c r="CO55" s="99">
        <v>3318</v>
      </c>
      <c r="CP55" s="99">
        <v>5</v>
      </c>
      <c r="CQ55" s="99">
        <v>3318</v>
      </c>
      <c r="CR55" s="99">
        <v>5</v>
      </c>
      <c r="CS55" s="99">
        <v>3318</v>
      </c>
      <c r="CT55" s="99">
        <v>5</v>
      </c>
      <c r="CU55" s="99">
        <v>3318</v>
      </c>
    </row>
    <row r="56" spans="2:99">
      <c r="C56" s="98" t="s">
        <v>221</v>
      </c>
      <c r="D56" s="99">
        <v>0</v>
      </c>
      <c r="E56" s="99">
        <v>0</v>
      </c>
      <c r="F56" s="99">
        <v>0</v>
      </c>
      <c r="G56" s="99">
        <v>0</v>
      </c>
      <c r="H56" s="99">
        <v>0</v>
      </c>
      <c r="I56" s="99">
        <v>0</v>
      </c>
      <c r="J56" s="99">
        <v>5</v>
      </c>
      <c r="K56" s="99">
        <v>5754</v>
      </c>
      <c r="L56" s="99">
        <v>5</v>
      </c>
      <c r="M56" s="99">
        <v>5754</v>
      </c>
      <c r="N56" s="99">
        <v>4</v>
      </c>
      <c r="O56" s="99">
        <v>4603.2</v>
      </c>
      <c r="P56" s="99">
        <v>4</v>
      </c>
      <c r="Q56" s="99">
        <v>4603.2</v>
      </c>
      <c r="R56" s="99">
        <v>4</v>
      </c>
      <c r="S56" s="99">
        <v>4603.2</v>
      </c>
      <c r="T56" s="99">
        <v>3</v>
      </c>
      <c r="U56" s="99">
        <v>3452.3999999999996</v>
      </c>
      <c r="V56" s="99">
        <v>5</v>
      </c>
      <c r="W56" s="99">
        <v>5754</v>
      </c>
      <c r="X56" s="99">
        <v>4</v>
      </c>
      <c r="Y56" s="99">
        <v>4603.2</v>
      </c>
      <c r="Z56" s="99">
        <v>5</v>
      </c>
      <c r="AA56" s="99">
        <v>5754</v>
      </c>
      <c r="AB56" s="99">
        <v>5</v>
      </c>
      <c r="AC56" s="99">
        <v>5754</v>
      </c>
      <c r="AD56" s="99">
        <v>4</v>
      </c>
      <c r="AE56" s="99">
        <v>4603.2</v>
      </c>
      <c r="AF56" s="99">
        <v>4</v>
      </c>
      <c r="AG56" s="99">
        <v>4603.2</v>
      </c>
      <c r="AH56" s="99">
        <v>4</v>
      </c>
      <c r="AI56" s="99">
        <v>4603.2</v>
      </c>
      <c r="AJ56" s="99">
        <v>4</v>
      </c>
      <c r="AK56" s="99">
        <v>4603.2</v>
      </c>
      <c r="AL56" s="99">
        <v>3</v>
      </c>
      <c r="AM56" s="99">
        <v>3452.3999999999996</v>
      </c>
      <c r="AN56" s="99">
        <v>4</v>
      </c>
      <c r="AO56" s="99">
        <v>4603.2</v>
      </c>
      <c r="AP56" s="99">
        <v>5</v>
      </c>
      <c r="AQ56" s="99">
        <v>5754</v>
      </c>
      <c r="AR56" s="99">
        <v>5</v>
      </c>
      <c r="AS56" s="99">
        <v>5754</v>
      </c>
      <c r="AT56" s="99">
        <v>5</v>
      </c>
      <c r="AU56" s="99">
        <v>5754</v>
      </c>
      <c r="AV56" s="99">
        <v>4</v>
      </c>
      <c r="AW56" s="99">
        <v>4603.2</v>
      </c>
      <c r="AX56" s="99">
        <v>5</v>
      </c>
      <c r="AY56" s="99">
        <v>5754</v>
      </c>
      <c r="AZ56" s="99">
        <v>5</v>
      </c>
      <c r="BA56" s="99">
        <v>5754</v>
      </c>
      <c r="BB56" s="99">
        <v>6</v>
      </c>
      <c r="BC56" s="99">
        <v>6904.7999999999993</v>
      </c>
      <c r="BD56" s="99">
        <v>4</v>
      </c>
      <c r="BE56" s="99">
        <v>4603.2</v>
      </c>
      <c r="BF56" s="99">
        <v>6</v>
      </c>
      <c r="BG56" s="99">
        <v>6904.7999999999993</v>
      </c>
      <c r="BH56" s="99">
        <v>5</v>
      </c>
      <c r="BI56" s="99">
        <v>5754</v>
      </c>
      <c r="BJ56" s="99">
        <v>5</v>
      </c>
      <c r="BK56" s="99">
        <v>5754</v>
      </c>
      <c r="BL56" s="99">
        <v>6</v>
      </c>
      <c r="BM56" s="99">
        <v>6904.7999999999993</v>
      </c>
      <c r="BN56" s="99">
        <v>4</v>
      </c>
      <c r="BO56" s="99">
        <v>4603.2</v>
      </c>
      <c r="BP56" s="99">
        <v>5</v>
      </c>
      <c r="BQ56" s="99">
        <v>5754</v>
      </c>
      <c r="BR56" s="99">
        <v>4</v>
      </c>
      <c r="BS56" s="99">
        <v>4603.2</v>
      </c>
      <c r="BT56" s="99">
        <v>4</v>
      </c>
      <c r="BU56" s="99">
        <v>4603.2</v>
      </c>
      <c r="BV56" s="99">
        <v>5</v>
      </c>
      <c r="BW56" s="99">
        <v>5754</v>
      </c>
      <c r="BX56" s="99">
        <v>4</v>
      </c>
      <c r="BY56" s="99">
        <v>4603.2</v>
      </c>
      <c r="BZ56" s="99">
        <v>4</v>
      </c>
      <c r="CA56" s="99">
        <v>4603.2</v>
      </c>
      <c r="CB56" s="99">
        <v>3</v>
      </c>
      <c r="CC56" s="99">
        <v>3452.3999999999996</v>
      </c>
      <c r="CD56" s="99">
        <v>4</v>
      </c>
      <c r="CE56" s="99">
        <v>4603.2</v>
      </c>
      <c r="CF56" s="99">
        <v>5</v>
      </c>
      <c r="CG56" s="99">
        <v>5754</v>
      </c>
      <c r="CH56" s="99">
        <v>4</v>
      </c>
      <c r="CI56" s="99">
        <v>4603.2</v>
      </c>
      <c r="CJ56" s="99">
        <v>6</v>
      </c>
      <c r="CK56" s="99">
        <v>6904.7999999999993</v>
      </c>
      <c r="CL56" s="99">
        <v>6</v>
      </c>
      <c r="CM56" s="99">
        <v>6904.7999999999993</v>
      </c>
      <c r="CN56" s="99">
        <v>6</v>
      </c>
      <c r="CO56" s="99">
        <v>6904.7999999999993</v>
      </c>
      <c r="CP56" s="99">
        <v>6</v>
      </c>
      <c r="CQ56" s="99">
        <v>6904.7999999999993</v>
      </c>
      <c r="CR56" s="99">
        <v>5</v>
      </c>
      <c r="CS56" s="99">
        <v>5754</v>
      </c>
      <c r="CT56" s="99">
        <v>5</v>
      </c>
      <c r="CU56" s="99">
        <v>5754</v>
      </c>
    </row>
    <row r="57" spans="2:99">
      <c r="C57" s="98" t="s">
        <v>222</v>
      </c>
      <c r="D57" s="99">
        <v>0</v>
      </c>
      <c r="E57" s="99">
        <v>0</v>
      </c>
      <c r="F57" s="99">
        <v>0</v>
      </c>
      <c r="G57" s="99">
        <v>0</v>
      </c>
      <c r="H57" s="99">
        <v>0</v>
      </c>
      <c r="I57" s="99">
        <v>0</v>
      </c>
      <c r="J57" s="99">
        <v>3.7018257196387272</v>
      </c>
      <c r="K57" s="99">
        <v>5224.0164555541724</v>
      </c>
      <c r="L57" s="99">
        <v>2.584764184765993</v>
      </c>
      <c r="M57" s="99">
        <v>3647.6192175417696</v>
      </c>
      <c r="N57" s="99">
        <v>4</v>
      </c>
      <c r="O57" s="99">
        <v>5644.8</v>
      </c>
      <c r="P57" s="99">
        <v>4</v>
      </c>
      <c r="Q57" s="99">
        <v>5644.8</v>
      </c>
      <c r="R57" s="99">
        <v>4</v>
      </c>
      <c r="S57" s="99">
        <v>5644.8</v>
      </c>
      <c r="T57" s="99">
        <v>3</v>
      </c>
      <c r="U57" s="99">
        <v>4233.6000000000004</v>
      </c>
      <c r="V57" s="99">
        <v>4</v>
      </c>
      <c r="W57" s="99">
        <v>5644.8</v>
      </c>
      <c r="X57" s="99">
        <v>4</v>
      </c>
      <c r="Y57" s="99">
        <v>5644.8</v>
      </c>
      <c r="Z57" s="99">
        <v>4</v>
      </c>
      <c r="AA57" s="99">
        <v>5644.8</v>
      </c>
      <c r="AB57" s="99">
        <v>5</v>
      </c>
      <c r="AC57" s="99">
        <v>7056</v>
      </c>
      <c r="AD57" s="99">
        <v>3</v>
      </c>
      <c r="AE57" s="99">
        <v>4233.6000000000004</v>
      </c>
      <c r="AF57" s="99">
        <v>4</v>
      </c>
      <c r="AG57" s="99">
        <v>5644.8</v>
      </c>
      <c r="AH57" s="99">
        <v>4</v>
      </c>
      <c r="AI57" s="99">
        <v>5644.8</v>
      </c>
      <c r="AJ57" s="99">
        <v>4</v>
      </c>
      <c r="AK57" s="99">
        <v>5644.8</v>
      </c>
      <c r="AL57" s="99">
        <v>3</v>
      </c>
      <c r="AM57" s="99">
        <v>4233.6000000000004</v>
      </c>
      <c r="AN57" s="99">
        <v>4</v>
      </c>
      <c r="AO57" s="99">
        <v>5644.8</v>
      </c>
      <c r="AP57" s="99">
        <v>5</v>
      </c>
      <c r="AQ57" s="99">
        <v>7056</v>
      </c>
      <c r="AR57" s="99">
        <v>5</v>
      </c>
      <c r="AS57" s="99">
        <v>7056</v>
      </c>
      <c r="AT57" s="99">
        <v>5</v>
      </c>
      <c r="AU57" s="99">
        <v>7056</v>
      </c>
      <c r="AV57" s="99">
        <v>4</v>
      </c>
      <c r="AW57" s="99">
        <v>5644.8</v>
      </c>
      <c r="AX57" s="99">
        <v>5</v>
      </c>
      <c r="AY57" s="99">
        <v>7056</v>
      </c>
      <c r="AZ57" s="99">
        <v>4</v>
      </c>
      <c r="BA57" s="99">
        <v>5644.8</v>
      </c>
      <c r="BB57" s="99">
        <v>6</v>
      </c>
      <c r="BC57" s="99">
        <v>8467.2000000000007</v>
      </c>
      <c r="BD57" s="99">
        <v>4</v>
      </c>
      <c r="BE57" s="99">
        <v>5644.8</v>
      </c>
      <c r="BF57" s="99">
        <v>6</v>
      </c>
      <c r="BG57" s="99">
        <v>8467.2000000000007</v>
      </c>
      <c r="BH57" s="99">
        <v>5</v>
      </c>
      <c r="BI57" s="99">
        <v>7056</v>
      </c>
      <c r="BJ57" s="99">
        <v>5</v>
      </c>
      <c r="BK57" s="99">
        <v>7056</v>
      </c>
      <c r="BL57" s="99">
        <v>6</v>
      </c>
      <c r="BM57" s="99">
        <v>8467.2000000000007</v>
      </c>
      <c r="BN57" s="99">
        <v>4</v>
      </c>
      <c r="BO57" s="99">
        <v>5644.8</v>
      </c>
      <c r="BP57" s="99">
        <v>4</v>
      </c>
      <c r="BQ57" s="99">
        <v>5644.8</v>
      </c>
      <c r="BR57" s="99">
        <v>4</v>
      </c>
      <c r="BS57" s="99">
        <v>5644.8</v>
      </c>
      <c r="BT57" s="99">
        <v>3</v>
      </c>
      <c r="BU57" s="99">
        <v>4233.6000000000004</v>
      </c>
      <c r="BV57" s="99">
        <v>5</v>
      </c>
      <c r="BW57" s="99">
        <v>7056</v>
      </c>
      <c r="BX57" s="99">
        <v>4</v>
      </c>
      <c r="BY57" s="99">
        <v>5644.8</v>
      </c>
      <c r="BZ57" s="99">
        <v>4</v>
      </c>
      <c r="CA57" s="99">
        <v>5644.8</v>
      </c>
      <c r="CB57" s="99">
        <v>3</v>
      </c>
      <c r="CC57" s="99">
        <v>4233.6000000000004</v>
      </c>
      <c r="CD57" s="99">
        <v>5</v>
      </c>
      <c r="CE57" s="99">
        <v>7056</v>
      </c>
      <c r="CF57" s="99">
        <v>5</v>
      </c>
      <c r="CG57" s="99">
        <v>7056</v>
      </c>
      <c r="CH57" s="99">
        <v>4</v>
      </c>
      <c r="CI57" s="99">
        <v>5644.8</v>
      </c>
      <c r="CJ57" s="99">
        <v>6</v>
      </c>
      <c r="CK57" s="99">
        <v>8467.2000000000007</v>
      </c>
      <c r="CL57" s="99">
        <v>6</v>
      </c>
      <c r="CM57" s="99">
        <v>8467.2000000000007</v>
      </c>
      <c r="CN57" s="99">
        <v>6</v>
      </c>
      <c r="CO57" s="99">
        <v>8467.2000000000007</v>
      </c>
      <c r="CP57" s="99">
        <v>5</v>
      </c>
      <c r="CQ57" s="99">
        <v>7056</v>
      </c>
      <c r="CR57" s="99">
        <v>5</v>
      </c>
      <c r="CS57" s="99">
        <v>7056</v>
      </c>
      <c r="CT57" s="99">
        <v>5</v>
      </c>
      <c r="CU57" s="99">
        <v>7056</v>
      </c>
    </row>
    <row r="58" spans="2:99">
      <c r="C58" s="98" t="s">
        <v>223</v>
      </c>
      <c r="D58" s="99">
        <v>0</v>
      </c>
      <c r="E58" s="99">
        <v>0</v>
      </c>
      <c r="F58" s="99">
        <v>0</v>
      </c>
      <c r="G58" s="99">
        <v>0</v>
      </c>
      <c r="H58" s="99">
        <v>0</v>
      </c>
      <c r="I58" s="99">
        <v>0</v>
      </c>
      <c r="J58" s="99">
        <v>5</v>
      </c>
      <c r="K58" s="99">
        <v>5886</v>
      </c>
      <c r="L58" s="99">
        <v>5</v>
      </c>
      <c r="M58" s="99">
        <v>5886</v>
      </c>
      <c r="N58" s="99">
        <v>4</v>
      </c>
      <c r="O58" s="99">
        <v>4708.8</v>
      </c>
      <c r="P58" s="99">
        <v>4</v>
      </c>
      <c r="Q58" s="99">
        <v>4708.8</v>
      </c>
      <c r="R58" s="99">
        <v>4</v>
      </c>
      <c r="S58" s="99">
        <v>4708.8</v>
      </c>
      <c r="T58" s="99">
        <v>3</v>
      </c>
      <c r="U58" s="99">
        <v>3531.6000000000004</v>
      </c>
      <c r="V58" s="99">
        <v>4</v>
      </c>
      <c r="W58" s="99">
        <v>4708.8</v>
      </c>
      <c r="X58" s="99">
        <v>5</v>
      </c>
      <c r="Y58" s="99">
        <v>5886</v>
      </c>
      <c r="Z58" s="99">
        <v>4</v>
      </c>
      <c r="AA58" s="99">
        <v>4708.8</v>
      </c>
      <c r="AB58" s="99">
        <v>4</v>
      </c>
      <c r="AC58" s="99">
        <v>4708.8</v>
      </c>
      <c r="AD58" s="99">
        <v>4</v>
      </c>
      <c r="AE58" s="99">
        <v>4708.8</v>
      </c>
      <c r="AF58" s="99">
        <v>4</v>
      </c>
      <c r="AG58" s="99">
        <v>4708.8</v>
      </c>
      <c r="AH58" s="99">
        <v>4</v>
      </c>
      <c r="AI58" s="99">
        <v>4708.8</v>
      </c>
      <c r="AJ58" s="99">
        <v>4</v>
      </c>
      <c r="AK58" s="99">
        <v>4708.8</v>
      </c>
      <c r="AL58" s="99">
        <v>3</v>
      </c>
      <c r="AM58" s="99">
        <v>3531.6000000000004</v>
      </c>
      <c r="AN58" s="99">
        <v>4</v>
      </c>
      <c r="AO58" s="99">
        <v>4708.8</v>
      </c>
      <c r="AP58" s="99">
        <v>5</v>
      </c>
      <c r="AQ58" s="99">
        <v>5886</v>
      </c>
      <c r="AR58" s="99">
        <v>5</v>
      </c>
      <c r="AS58" s="99">
        <v>5886</v>
      </c>
      <c r="AT58" s="99">
        <v>5</v>
      </c>
      <c r="AU58" s="99">
        <v>5886</v>
      </c>
      <c r="AV58" s="99">
        <v>4</v>
      </c>
      <c r="AW58" s="99">
        <v>4708.8</v>
      </c>
      <c r="AX58" s="99">
        <v>4</v>
      </c>
      <c r="AY58" s="99">
        <v>4708.8</v>
      </c>
      <c r="AZ58" s="99">
        <v>4</v>
      </c>
      <c r="BA58" s="99">
        <v>4708.8</v>
      </c>
      <c r="BB58" s="99">
        <v>6</v>
      </c>
      <c r="BC58" s="99">
        <v>7063.2000000000007</v>
      </c>
      <c r="BD58" s="99">
        <v>4</v>
      </c>
      <c r="BE58" s="99">
        <v>4708.8</v>
      </c>
      <c r="BF58" s="99">
        <v>6</v>
      </c>
      <c r="BG58" s="99">
        <v>7063.2000000000007</v>
      </c>
      <c r="BH58" s="99">
        <v>5</v>
      </c>
      <c r="BI58" s="99">
        <v>5886</v>
      </c>
      <c r="BJ58" s="99">
        <v>5</v>
      </c>
      <c r="BK58" s="99">
        <v>5886</v>
      </c>
      <c r="BL58" s="99">
        <v>6</v>
      </c>
      <c r="BM58" s="99">
        <v>7063.2000000000007</v>
      </c>
      <c r="BN58" s="99">
        <v>3</v>
      </c>
      <c r="BO58" s="99">
        <v>3531.6000000000004</v>
      </c>
      <c r="BP58" s="99">
        <v>4</v>
      </c>
      <c r="BQ58" s="99">
        <v>4708.8</v>
      </c>
      <c r="BR58" s="99">
        <v>4</v>
      </c>
      <c r="BS58" s="99">
        <v>4708.8</v>
      </c>
      <c r="BT58" s="99">
        <v>3</v>
      </c>
      <c r="BU58" s="99">
        <v>3531.6000000000004</v>
      </c>
      <c r="BV58" s="99">
        <v>5</v>
      </c>
      <c r="BW58" s="99">
        <v>5886</v>
      </c>
      <c r="BX58" s="99">
        <v>4</v>
      </c>
      <c r="BY58" s="99">
        <v>4708.8</v>
      </c>
      <c r="BZ58" s="99">
        <v>5</v>
      </c>
      <c r="CA58" s="99">
        <v>5886</v>
      </c>
      <c r="CB58" s="99">
        <v>3</v>
      </c>
      <c r="CC58" s="99">
        <v>3531.6000000000004</v>
      </c>
      <c r="CD58" s="99">
        <v>4</v>
      </c>
      <c r="CE58" s="99">
        <v>4708.8</v>
      </c>
      <c r="CF58" s="99">
        <v>5</v>
      </c>
      <c r="CG58" s="99">
        <v>5886</v>
      </c>
      <c r="CH58" s="99">
        <v>4</v>
      </c>
      <c r="CI58" s="99">
        <v>4708.8</v>
      </c>
      <c r="CJ58" s="99">
        <v>6</v>
      </c>
      <c r="CK58" s="99">
        <v>7063.2000000000007</v>
      </c>
      <c r="CL58" s="99">
        <v>6</v>
      </c>
      <c r="CM58" s="99">
        <v>7063.2000000000007</v>
      </c>
      <c r="CN58" s="99">
        <v>5</v>
      </c>
      <c r="CO58" s="99">
        <v>5886</v>
      </c>
      <c r="CP58" s="99">
        <v>5</v>
      </c>
      <c r="CQ58" s="99">
        <v>5886</v>
      </c>
      <c r="CR58" s="99">
        <v>5</v>
      </c>
      <c r="CS58" s="99">
        <v>5886</v>
      </c>
      <c r="CT58" s="99">
        <v>5</v>
      </c>
      <c r="CU58" s="99">
        <v>5886</v>
      </c>
    </row>
    <row r="59" spans="2:99">
      <c r="C59" s="98" t="s">
        <v>224</v>
      </c>
      <c r="D59" s="99">
        <v>0</v>
      </c>
      <c r="E59" s="99">
        <v>0</v>
      </c>
      <c r="F59" s="99">
        <v>0</v>
      </c>
      <c r="G59" s="99">
        <v>0</v>
      </c>
      <c r="H59" s="99">
        <v>0</v>
      </c>
      <c r="I59" s="99">
        <v>0</v>
      </c>
      <c r="J59" s="99">
        <v>3.7018257196387272</v>
      </c>
      <c r="K59" s="99">
        <v>1123.8742884823175</v>
      </c>
      <c r="L59" s="99">
        <v>2.584764184765993</v>
      </c>
      <c r="M59" s="99">
        <v>784.73440649495535</v>
      </c>
      <c r="N59" s="99">
        <v>4</v>
      </c>
      <c r="O59" s="99">
        <v>1214.3999999999999</v>
      </c>
      <c r="P59" s="99">
        <v>3</v>
      </c>
      <c r="Q59" s="99">
        <v>910.8</v>
      </c>
      <c r="R59" s="99">
        <v>4</v>
      </c>
      <c r="S59" s="99">
        <v>1214.3999999999999</v>
      </c>
      <c r="T59" s="99">
        <v>4</v>
      </c>
      <c r="U59" s="99">
        <v>1214.3999999999999</v>
      </c>
      <c r="V59" s="99">
        <v>4</v>
      </c>
      <c r="W59" s="99">
        <v>1214.3999999999999</v>
      </c>
      <c r="X59" s="99">
        <v>4</v>
      </c>
      <c r="Y59" s="99">
        <v>1214.3999999999999</v>
      </c>
      <c r="Z59" s="99">
        <v>4</v>
      </c>
      <c r="AA59" s="99">
        <v>1214.3999999999999</v>
      </c>
      <c r="AB59" s="99">
        <v>5</v>
      </c>
      <c r="AC59" s="99">
        <v>1517.9999999999998</v>
      </c>
      <c r="AD59" s="99">
        <v>4</v>
      </c>
      <c r="AE59" s="99">
        <v>1214.3999999999999</v>
      </c>
      <c r="AF59" s="99">
        <v>4</v>
      </c>
      <c r="AG59" s="99">
        <v>1214.3999999999999</v>
      </c>
      <c r="AH59" s="99">
        <v>4</v>
      </c>
      <c r="AI59" s="99">
        <v>1214.3999999999999</v>
      </c>
      <c r="AJ59" s="99">
        <v>4</v>
      </c>
      <c r="AK59" s="99">
        <v>1214.3999999999999</v>
      </c>
      <c r="AL59" s="99">
        <v>4</v>
      </c>
      <c r="AM59" s="99">
        <v>1214.3999999999999</v>
      </c>
      <c r="AN59" s="99">
        <v>4</v>
      </c>
      <c r="AO59" s="99">
        <v>1214.3999999999999</v>
      </c>
      <c r="AP59" s="99">
        <v>6</v>
      </c>
      <c r="AQ59" s="99">
        <v>1821.6</v>
      </c>
      <c r="AR59" s="99">
        <v>5</v>
      </c>
      <c r="AS59" s="99">
        <v>1517.9999999999998</v>
      </c>
      <c r="AT59" s="99">
        <v>5</v>
      </c>
      <c r="AU59" s="99">
        <v>1517.9999999999998</v>
      </c>
      <c r="AV59" s="99">
        <v>4</v>
      </c>
      <c r="AW59" s="99">
        <v>1214.3999999999999</v>
      </c>
      <c r="AX59" s="99">
        <v>4</v>
      </c>
      <c r="AY59" s="99">
        <v>1214.3999999999999</v>
      </c>
      <c r="AZ59" s="99">
        <v>5</v>
      </c>
      <c r="BA59" s="99">
        <v>1517.9999999999998</v>
      </c>
      <c r="BB59" s="99">
        <v>5</v>
      </c>
      <c r="BC59" s="99">
        <v>1517.9999999999998</v>
      </c>
      <c r="BD59" s="99">
        <v>4</v>
      </c>
      <c r="BE59" s="99">
        <v>1214.3999999999999</v>
      </c>
      <c r="BF59" s="99">
        <v>6</v>
      </c>
      <c r="BG59" s="99">
        <v>1821.6</v>
      </c>
      <c r="BH59" s="99">
        <v>5</v>
      </c>
      <c r="BI59" s="99">
        <v>1517.9999999999998</v>
      </c>
      <c r="BJ59" s="99">
        <v>5</v>
      </c>
      <c r="BK59" s="99">
        <v>1517.9999999999998</v>
      </c>
      <c r="BL59" s="99">
        <v>6</v>
      </c>
      <c r="BM59" s="99">
        <v>1821.6</v>
      </c>
      <c r="BN59" s="99">
        <v>4</v>
      </c>
      <c r="BO59" s="99">
        <v>1214.3999999999999</v>
      </c>
      <c r="BP59" s="99">
        <v>5</v>
      </c>
      <c r="BQ59" s="99">
        <v>1517.9999999999998</v>
      </c>
      <c r="BR59" s="99">
        <v>4</v>
      </c>
      <c r="BS59" s="99">
        <v>1214.3999999999999</v>
      </c>
      <c r="BT59" s="99">
        <v>3</v>
      </c>
      <c r="BU59" s="99">
        <v>910.8</v>
      </c>
      <c r="BV59" s="99">
        <v>6</v>
      </c>
      <c r="BW59" s="99">
        <v>1821.6</v>
      </c>
      <c r="BX59" s="99">
        <v>4</v>
      </c>
      <c r="BY59" s="99">
        <v>1214.3999999999999</v>
      </c>
      <c r="BZ59" s="99">
        <v>5</v>
      </c>
      <c r="CA59" s="99">
        <v>1517.9999999999998</v>
      </c>
      <c r="CB59" s="99">
        <v>4</v>
      </c>
      <c r="CC59" s="99">
        <v>1214.3999999999999</v>
      </c>
      <c r="CD59" s="99">
        <v>5</v>
      </c>
      <c r="CE59" s="99">
        <v>1517.9999999999998</v>
      </c>
      <c r="CF59" s="99">
        <v>6</v>
      </c>
      <c r="CG59" s="99">
        <v>1821.6</v>
      </c>
      <c r="CH59" s="99">
        <v>4</v>
      </c>
      <c r="CI59" s="99">
        <v>1214.3999999999999</v>
      </c>
      <c r="CJ59" s="99">
        <v>5</v>
      </c>
      <c r="CK59" s="99">
        <v>1517.9999999999998</v>
      </c>
      <c r="CL59" s="99">
        <v>6</v>
      </c>
      <c r="CM59" s="99">
        <v>1821.6</v>
      </c>
      <c r="CN59" s="99">
        <v>6</v>
      </c>
      <c r="CO59" s="99">
        <v>1821.6</v>
      </c>
      <c r="CP59" s="99">
        <v>5</v>
      </c>
      <c r="CQ59" s="99">
        <v>1517.9999999999998</v>
      </c>
      <c r="CR59" s="99">
        <v>6</v>
      </c>
      <c r="CS59" s="99">
        <v>1821.6</v>
      </c>
      <c r="CT59" s="99">
        <v>5</v>
      </c>
      <c r="CU59" s="99">
        <v>1517.9999999999998</v>
      </c>
    </row>
    <row r="60" spans="2:99">
      <c r="C60" s="98" t="s">
        <v>225</v>
      </c>
      <c r="D60" s="99">
        <v>0</v>
      </c>
      <c r="E60" s="99">
        <v>0</v>
      </c>
      <c r="F60" s="99">
        <v>0</v>
      </c>
      <c r="G60" s="99">
        <v>0</v>
      </c>
      <c r="H60" s="99">
        <v>0</v>
      </c>
      <c r="I60" s="99">
        <v>0</v>
      </c>
      <c r="J60" s="99">
        <v>3.7018257196387272</v>
      </c>
      <c r="K60" s="99">
        <v>2412.1096389165946</v>
      </c>
      <c r="L60" s="99">
        <v>2.584764184765993</v>
      </c>
      <c r="M60" s="99">
        <v>1684.2323427935212</v>
      </c>
      <c r="N60" s="99">
        <v>4</v>
      </c>
      <c r="O60" s="99">
        <v>2606.4</v>
      </c>
      <c r="P60" s="99">
        <v>4</v>
      </c>
      <c r="Q60" s="99">
        <v>2606.4</v>
      </c>
      <c r="R60" s="99">
        <v>4</v>
      </c>
      <c r="S60" s="99">
        <v>2606.4</v>
      </c>
      <c r="T60" s="99">
        <v>3</v>
      </c>
      <c r="U60" s="99">
        <v>1954.8000000000002</v>
      </c>
      <c r="V60" s="99">
        <v>4</v>
      </c>
      <c r="W60" s="99">
        <v>2606.4</v>
      </c>
      <c r="X60" s="99">
        <v>5</v>
      </c>
      <c r="Y60" s="99">
        <v>3258</v>
      </c>
      <c r="Z60" s="99">
        <v>5</v>
      </c>
      <c r="AA60" s="99">
        <v>3258</v>
      </c>
      <c r="AB60" s="99">
        <v>5</v>
      </c>
      <c r="AC60" s="99">
        <v>3258</v>
      </c>
      <c r="AD60" s="99">
        <v>4</v>
      </c>
      <c r="AE60" s="99">
        <v>2606.4</v>
      </c>
      <c r="AF60" s="99">
        <v>4</v>
      </c>
      <c r="AG60" s="99">
        <v>2606.4</v>
      </c>
      <c r="AH60" s="99">
        <v>4</v>
      </c>
      <c r="AI60" s="99">
        <v>2606.4</v>
      </c>
      <c r="AJ60" s="99">
        <v>4</v>
      </c>
      <c r="AK60" s="99">
        <v>2606.4</v>
      </c>
      <c r="AL60" s="99">
        <v>3</v>
      </c>
      <c r="AM60" s="99">
        <v>1954.8000000000002</v>
      </c>
      <c r="AN60" s="99">
        <v>3</v>
      </c>
      <c r="AO60" s="99">
        <v>1954.8000000000002</v>
      </c>
      <c r="AP60" s="99">
        <v>6</v>
      </c>
      <c r="AQ60" s="99">
        <v>3909.6000000000004</v>
      </c>
      <c r="AR60" s="99">
        <v>6</v>
      </c>
      <c r="AS60" s="99">
        <v>3909.6000000000004</v>
      </c>
      <c r="AT60" s="99">
        <v>5</v>
      </c>
      <c r="AU60" s="99">
        <v>3258</v>
      </c>
      <c r="AV60" s="99">
        <v>5</v>
      </c>
      <c r="AW60" s="99">
        <v>3258</v>
      </c>
      <c r="AX60" s="99">
        <v>4</v>
      </c>
      <c r="AY60" s="99">
        <v>2606.4</v>
      </c>
      <c r="AZ60" s="99">
        <v>5</v>
      </c>
      <c r="BA60" s="99">
        <v>3258</v>
      </c>
      <c r="BB60" s="99">
        <v>5</v>
      </c>
      <c r="BC60" s="99">
        <v>3258</v>
      </c>
      <c r="BD60" s="99">
        <v>4</v>
      </c>
      <c r="BE60" s="99">
        <v>2606.4</v>
      </c>
      <c r="BF60" s="99">
        <v>7</v>
      </c>
      <c r="BG60" s="99">
        <v>4561.2</v>
      </c>
      <c r="BH60" s="99">
        <v>5</v>
      </c>
      <c r="BI60" s="99">
        <v>3258</v>
      </c>
      <c r="BJ60" s="99">
        <v>5</v>
      </c>
      <c r="BK60" s="99">
        <v>3258</v>
      </c>
      <c r="BL60" s="99">
        <v>6</v>
      </c>
      <c r="BM60" s="99">
        <v>3909.6000000000004</v>
      </c>
      <c r="BN60" s="99">
        <v>3</v>
      </c>
      <c r="BO60" s="99">
        <v>1954.8000000000002</v>
      </c>
      <c r="BP60" s="99">
        <v>4</v>
      </c>
      <c r="BQ60" s="99">
        <v>2606.4</v>
      </c>
      <c r="BR60" s="99">
        <v>4</v>
      </c>
      <c r="BS60" s="99">
        <v>2606.4</v>
      </c>
      <c r="BT60" s="99">
        <v>4</v>
      </c>
      <c r="BU60" s="99">
        <v>2606.4</v>
      </c>
      <c r="BV60" s="99">
        <v>6</v>
      </c>
      <c r="BW60" s="99">
        <v>3909.6000000000004</v>
      </c>
      <c r="BX60" s="99">
        <v>5</v>
      </c>
      <c r="BY60" s="99">
        <v>3258</v>
      </c>
      <c r="BZ60" s="99">
        <v>5</v>
      </c>
      <c r="CA60" s="99">
        <v>3258</v>
      </c>
      <c r="CB60" s="99">
        <v>3</v>
      </c>
      <c r="CC60" s="99">
        <v>1954.8000000000002</v>
      </c>
      <c r="CD60" s="99">
        <v>4</v>
      </c>
      <c r="CE60" s="99">
        <v>2606.4</v>
      </c>
      <c r="CF60" s="99">
        <v>6</v>
      </c>
      <c r="CG60" s="99">
        <v>3909.6000000000004</v>
      </c>
      <c r="CH60" s="99">
        <v>4</v>
      </c>
      <c r="CI60" s="99">
        <v>2606.4</v>
      </c>
      <c r="CJ60" s="99">
        <v>5</v>
      </c>
      <c r="CK60" s="99">
        <v>3258</v>
      </c>
      <c r="CL60" s="99">
        <v>6</v>
      </c>
      <c r="CM60" s="99">
        <v>3909.6000000000004</v>
      </c>
      <c r="CN60" s="99">
        <v>6</v>
      </c>
      <c r="CO60" s="99">
        <v>3909.6000000000004</v>
      </c>
      <c r="CP60" s="99">
        <v>5</v>
      </c>
      <c r="CQ60" s="99">
        <v>3258</v>
      </c>
      <c r="CR60" s="99">
        <v>6</v>
      </c>
      <c r="CS60" s="99">
        <v>3909.6000000000004</v>
      </c>
      <c r="CT60" s="99">
        <v>5</v>
      </c>
      <c r="CU60" s="99">
        <v>3258</v>
      </c>
    </row>
    <row r="61" spans="2:99">
      <c r="C61" s="98" t="s">
        <v>226</v>
      </c>
      <c r="D61" s="99">
        <v>0</v>
      </c>
      <c r="E61" s="99">
        <v>0</v>
      </c>
      <c r="F61" s="99">
        <v>0</v>
      </c>
      <c r="G61" s="99">
        <v>0</v>
      </c>
      <c r="H61" s="99">
        <v>0</v>
      </c>
      <c r="I61" s="99">
        <v>0</v>
      </c>
      <c r="J61" s="99">
        <v>3.7018257196387272</v>
      </c>
      <c r="K61" s="99">
        <v>3522.6573548082124</v>
      </c>
      <c r="L61" s="99">
        <v>2.584764184765993</v>
      </c>
      <c r="M61" s="99">
        <v>2459.6615982233188</v>
      </c>
      <c r="N61" s="99">
        <v>4</v>
      </c>
      <c r="O61" s="99">
        <v>3806.3999999999996</v>
      </c>
      <c r="P61" s="99">
        <v>4</v>
      </c>
      <c r="Q61" s="99">
        <v>3806.3999999999996</v>
      </c>
      <c r="R61" s="99">
        <v>3</v>
      </c>
      <c r="S61" s="99">
        <v>2854.7999999999997</v>
      </c>
      <c r="T61" s="99">
        <v>3</v>
      </c>
      <c r="U61" s="99">
        <v>2854.7999999999997</v>
      </c>
      <c r="V61" s="99">
        <v>4</v>
      </c>
      <c r="W61" s="99">
        <v>3806.3999999999996</v>
      </c>
      <c r="X61" s="99">
        <v>4</v>
      </c>
      <c r="Y61" s="99">
        <v>3806.3999999999996</v>
      </c>
      <c r="Z61" s="99">
        <v>5</v>
      </c>
      <c r="AA61" s="99">
        <v>4758</v>
      </c>
      <c r="AB61" s="99">
        <v>4</v>
      </c>
      <c r="AC61" s="99">
        <v>3806.3999999999996</v>
      </c>
      <c r="AD61" s="99">
        <v>4</v>
      </c>
      <c r="AE61" s="99">
        <v>3806.3999999999996</v>
      </c>
      <c r="AF61" s="99">
        <v>4</v>
      </c>
      <c r="AG61" s="99">
        <v>3806.3999999999996</v>
      </c>
      <c r="AH61" s="99">
        <v>3</v>
      </c>
      <c r="AI61" s="99">
        <v>2854.7999999999997</v>
      </c>
      <c r="AJ61" s="99">
        <v>4</v>
      </c>
      <c r="AK61" s="99">
        <v>3806.3999999999996</v>
      </c>
      <c r="AL61" s="99">
        <v>4</v>
      </c>
      <c r="AM61" s="99">
        <v>3806.3999999999996</v>
      </c>
      <c r="AN61" s="99">
        <v>4</v>
      </c>
      <c r="AO61" s="99">
        <v>3806.3999999999996</v>
      </c>
      <c r="AP61" s="99">
        <v>5</v>
      </c>
      <c r="AQ61" s="99">
        <v>4758</v>
      </c>
      <c r="AR61" s="99">
        <v>5</v>
      </c>
      <c r="AS61" s="99">
        <v>4758</v>
      </c>
      <c r="AT61" s="99">
        <v>5</v>
      </c>
      <c r="AU61" s="99">
        <v>4758</v>
      </c>
      <c r="AV61" s="99">
        <v>4</v>
      </c>
      <c r="AW61" s="99">
        <v>3806.3999999999996</v>
      </c>
      <c r="AX61" s="99">
        <v>5</v>
      </c>
      <c r="AY61" s="99">
        <v>4758</v>
      </c>
      <c r="AZ61" s="99">
        <v>5</v>
      </c>
      <c r="BA61" s="99">
        <v>4758</v>
      </c>
      <c r="BB61" s="99">
        <v>6</v>
      </c>
      <c r="BC61" s="99">
        <v>5709.5999999999995</v>
      </c>
      <c r="BD61" s="99">
        <v>4</v>
      </c>
      <c r="BE61" s="99">
        <v>3806.3999999999996</v>
      </c>
      <c r="BF61" s="99">
        <v>6</v>
      </c>
      <c r="BG61" s="99">
        <v>5709.5999999999995</v>
      </c>
      <c r="BH61" s="99">
        <v>5</v>
      </c>
      <c r="BI61" s="99">
        <v>4758</v>
      </c>
      <c r="BJ61" s="99">
        <v>5</v>
      </c>
      <c r="BK61" s="99">
        <v>4758</v>
      </c>
      <c r="BL61" s="99">
        <v>6</v>
      </c>
      <c r="BM61" s="99">
        <v>5709.5999999999995</v>
      </c>
      <c r="BN61" s="99">
        <v>4</v>
      </c>
      <c r="BO61" s="99">
        <v>3806.3999999999996</v>
      </c>
      <c r="BP61" s="99">
        <v>4</v>
      </c>
      <c r="BQ61" s="99">
        <v>3806.3999999999996</v>
      </c>
      <c r="BR61" s="99">
        <v>4</v>
      </c>
      <c r="BS61" s="99">
        <v>3806.3999999999996</v>
      </c>
      <c r="BT61" s="99">
        <v>3</v>
      </c>
      <c r="BU61" s="99">
        <v>2854.7999999999997</v>
      </c>
      <c r="BV61" s="99">
        <v>5</v>
      </c>
      <c r="BW61" s="99">
        <v>4758</v>
      </c>
      <c r="BX61" s="99">
        <v>5</v>
      </c>
      <c r="BY61" s="99">
        <v>4758</v>
      </c>
      <c r="BZ61" s="99">
        <v>4</v>
      </c>
      <c r="CA61" s="99">
        <v>3806.3999999999996</v>
      </c>
      <c r="CB61" s="99">
        <v>3</v>
      </c>
      <c r="CC61" s="99">
        <v>2854.7999999999997</v>
      </c>
      <c r="CD61" s="99">
        <v>4</v>
      </c>
      <c r="CE61" s="99">
        <v>3806.3999999999996</v>
      </c>
      <c r="CF61" s="99">
        <v>6</v>
      </c>
      <c r="CG61" s="99">
        <v>5709.5999999999995</v>
      </c>
      <c r="CH61" s="99">
        <v>4</v>
      </c>
      <c r="CI61" s="99">
        <v>3806.3999999999996</v>
      </c>
      <c r="CJ61" s="99">
        <v>5</v>
      </c>
      <c r="CK61" s="99">
        <v>4758</v>
      </c>
      <c r="CL61" s="99">
        <v>6</v>
      </c>
      <c r="CM61" s="99">
        <v>5709.5999999999995</v>
      </c>
      <c r="CN61" s="99">
        <v>6</v>
      </c>
      <c r="CO61" s="99">
        <v>5709.5999999999995</v>
      </c>
      <c r="CP61" s="99">
        <v>5</v>
      </c>
      <c r="CQ61" s="99">
        <v>4758</v>
      </c>
      <c r="CR61" s="99">
        <v>6</v>
      </c>
      <c r="CS61" s="99">
        <v>5709.5999999999995</v>
      </c>
      <c r="CT61" s="99">
        <v>5</v>
      </c>
      <c r="CU61" s="99">
        <v>4758</v>
      </c>
    </row>
    <row r="62" spans="2:99">
      <c r="C62" s="98" t="s">
        <v>227</v>
      </c>
      <c r="D62" s="99">
        <v>0</v>
      </c>
      <c r="E62" s="99">
        <v>0</v>
      </c>
      <c r="F62" s="99">
        <v>0</v>
      </c>
      <c r="G62" s="99">
        <v>0</v>
      </c>
      <c r="H62" s="99">
        <v>0</v>
      </c>
      <c r="I62" s="99">
        <v>0</v>
      </c>
      <c r="J62" s="99">
        <v>3.7018257196387272</v>
      </c>
      <c r="K62" s="99">
        <v>6312.3532171279576</v>
      </c>
      <c r="L62" s="99">
        <v>2.584764184765993</v>
      </c>
      <c r="M62" s="99">
        <v>4407.5398878629712</v>
      </c>
      <c r="N62" s="99">
        <v>4</v>
      </c>
      <c r="O62" s="99">
        <v>6820.8</v>
      </c>
      <c r="P62" s="99">
        <v>4</v>
      </c>
      <c r="Q62" s="99">
        <v>6820.8</v>
      </c>
      <c r="R62" s="99">
        <v>3</v>
      </c>
      <c r="S62" s="99">
        <v>5115.6000000000004</v>
      </c>
      <c r="T62" s="99">
        <v>3</v>
      </c>
      <c r="U62" s="99">
        <v>5115.6000000000004</v>
      </c>
      <c r="V62" s="99">
        <v>4</v>
      </c>
      <c r="W62" s="99">
        <v>6820.8</v>
      </c>
      <c r="X62" s="99">
        <v>4</v>
      </c>
      <c r="Y62" s="99">
        <v>6820.8</v>
      </c>
      <c r="Z62" s="99">
        <v>5</v>
      </c>
      <c r="AA62" s="99">
        <v>8526</v>
      </c>
      <c r="AB62" s="99">
        <v>5</v>
      </c>
      <c r="AC62" s="99">
        <v>8526</v>
      </c>
      <c r="AD62" s="99">
        <v>4</v>
      </c>
      <c r="AE62" s="99">
        <v>6820.8</v>
      </c>
      <c r="AF62" s="99">
        <v>3</v>
      </c>
      <c r="AG62" s="99">
        <v>5115.6000000000004</v>
      </c>
      <c r="AH62" s="99">
        <v>4</v>
      </c>
      <c r="AI62" s="99">
        <v>6820.8</v>
      </c>
      <c r="AJ62" s="99">
        <v>4</v>
      </c>
      <c r="AK62" s="99">
        <v>6820.8</v>
      </c>
      <c r="AL62" s="99">
        <v>3</v>
      </c>
      <c r="AM62" s="99">
        <v>5115.6000000000004</v>
      </c>
      <c r="AN62" s="99">
        <v>4</v>
      </c>
      <c r="AO62" s="99">
        <v>6820.8</v>
      </c>
      <c r="AP62" s="99">
        <v>5</v>
      </c>
      <c r="AQ62" s="99">
        <v>8526</v>
      </c>
      <c r="AR62" s="99">
        <v>5</v>
      </c>
      <c r="AS62" s="99">
        <v>8526</v>
      </c>
      <c r="AT62" s="99">
        <v>5</v>
      </c>
      <c r="AU62" s="99">
        <v>8526</v>
      </c>
      <c r="AV62" s="99">
        <v>4</v>
      </c>
      <c r="AW62" s="99">
        <v>6820.8</v>
      </c>
      <c r="AX62" s="99">
        <v>4</v>
      </c>
      <c r="AY62" s="99">
        <v>6820.8</v>
      </c>
      <c r="AZ62" s="99">
        <v>5</v>
      </c>
      <c r="BA62" s="99">
        <v>8526</v>
      </c>
      <c r="BB62" s="99">
        <v>5</v>
      </c>
      <c r="BC62" s="99">
        <v>8526</v>
      </c>
      <c r="BD62" s="99">
        <v>4</v>
      </c>
      <c r="BE62" s="99">
        <v>6820.8</v>
      </c>
      <c r="BF62" s="99">
        <v>6</v>
      </c>
      <c r="BG62" s="99">
        <v>10231.200000000001</v>
      </c>
      <c r="BH62" s="99">
        <v>4</v>
      </c>
      <c r="BI62" s="99">
        <v>6820.8</v>
      </c>
      <c r="BJ62" s="99">
        <v>5</v>
      </c>
      <c r="BK62" s="99">
        <v>8526</v>
      </c>
      <c r="BL62" s="99">
        <v>7</v>
      </c>
      <c r="BM62" s="99">
        <v>11936.4</v>
      </c>
      <c r="BN62" s="99">
        <v>3</v>
      </c>
      <c r="BO62" s="99">
        <v>5115.6000000000004</v>
      </c>
      <c r="BP62" s="99">
        <v>4</v>
      </c>
      <c r="BQ62" s="99">
        <v>6820.8</v>
      </c>
      <c r="BR62" s="99">
        <v>4</v>
      </c>
      <c r="BS62" s="99">
        <v>6820.8</v>
      </c>
      <c r="BT62" s="99">
        <v>4</v>
      </c>
      <c r="BU62" s="99">
        <v>6820.8</v>
      </c>
      <c r="BV62" s="99">
        <v>5</v>
      </c>
      <c r="BW62" s="99">
        <v>8526</v>
      </c>
      <c r="BX62" s="99">
        <v>4</v>
      </c>
      <c r="BY62" s="99">
        <v>6820.8</v>
      </c>
      <c r="BZ62" s="99">
        <v>5</v>
      </c>
      <c r="CA62" s="99">
        <v>8526</v>
      </c>
      <c r="CB62" s="99">
        <v>3</v>
      </c>
      <c r="CC62" s="99">
        <v>5115.6000000000004</v>
      </c>
      <c r="CD62" s="99">
        <v>4</v>
      </c>
      <c r="CE62" s="99">
        <v>6820.8</v>
      </c>
      <c r="CF62" s="99">
        <v>5</v>
      </c>
      <c r="CG62" s="99">
        <v>8526</v>
      </c>
      <c r="CH62" s="99">
        <v>4</v>
      </c>
      <c r="CI62" s="99">
        <v>6820.8</v>
      </c>
      <c r="CJ62" s="99">
        <v>5</v>
      </c>
      <c r="CK62" s="99">
        <v>8526</v>
      </c>
      <c r="CL62" s="99">
        <v>5</v>
      </c>
      <c r="CM62" s="99">
        <v>8526</v>
      </c>
      <c r="CN62" s="99">
        <v>6</v>
      </c>
      <c r="CO62" s="99">
        <v>10231.200000000001</v>
      </c>
      <c r="CP62" s="99">
        <v>5</v>
      </c>
      <c r="CQ62" s="99">
        <v>8526</v>
      </c>
      <c r="CR62" s="99">
        <v>6</v>
      </c>
      <c r="CS62" s="99">
        <v>10231.200000000001</v>
      </c>
      <c r="CT62" s="99">
        <v>5</v>
      </c>
      <c r="CU62" s="99">
        <v>8526</v>
      </c>
    </row>
    <row r="63" spans="2:99">
      <c r="C63" s="98" t="s">
        <v>228</v>
      </c>
      <c r="D63" s="99">
        <v>0</v>
      </c>
      <c r="E63" s="99">
        <v>0</v>
      </c>
      <c r="F63" s="99">
        <v>0</v>
      </c>
      <c r="G63" s="99">
        <v>0</v>
      </c>
      <c r="H63" s="99">
        <v>0</v>
      </c>
      <c r="I63" s="99">
        <v>0</v>
      </c>
      <c r="J63" s="99">
        <v>3.7018257196387272</v>
      </c>
      <c r="K63" s="99">
        <v>2945.1725425445716</v>
      </c>
      <c r="L63" s="99">
        <v>2.584764184765993</v>
      </c>
      <c r="M63" s="99">
        <v>2056.4383853998243</v>
      </c>
      <c r="N63" s="99">
        <v>4</v>
      </c>
      <c r="O63" s="99">
        <v>3182.4</v>
      </c>
      <c r="P63" s="99">
        <v>3</v>
      </c>
      <c r="Q63" s="99">
        <v>2386.8000000000002</v>
      </c>
      <c r="R63" s="99">
        <v>4</v>
      </c>
      <c r="S63" s="99">
        <v>3182.4</v>
      </c>
      <c r="T63" s="99">
        <v>4</v>
      </c>
      <c r="U63" s="99">
        <v>3182.4</v>
      </c>
      <c r="V63" s="99">
        <v>5</v>
      </c>
      <c r="W63" s="99">
        <v>3978</v>
      </c>
      <c r="X63" s="99">
        <v>4</v>
      </c>
      <c r="Y63" s="99">
        <v>3182.4</v>
      </c>
      <c r="Z63" s="99">
        <v>4</v>
      </c>
      <c r="AA63" s="99">
        <v>3182.4</v>
      </c>
      <c r="AB63" s="99">
        <v>5</v>
      </c>
      <c r="AC63" s="99">
        <v>3978</v>
      </c>
      <c r="AD63" s="99">
        <v>4</v>
      </c>
      <c r="AE63" s="99">
        <v>3182.4</v>
      </c>
      <c r="AF63" s="99">
        <v>4</v>
      </c>
      <c r="AG63" s="99">
        <v>3182.4</v>
      </c>
      <c r="AH63" s="99">
        <v>4</v>
      </c>
      <c r="AI63" s="99">
        <v>3182.4</v>
      </c>
      <c r="AJ63" s="99">
        <v>4</v>
      </c>
      <c r="AK63" s="99">
        <v>3182.4</v>
      </c>
      <c r="AL63" s="99">
        <v>4</v>
      </c>
      <c r="AM63" s="99">
        <v>3182.4</v>
      </c>
      <c r="AN63" s="99">
        <v>4</v>
      </c>
      <c r="AO63" s="99">
        <v>3182.4</v>
      </c>
      <c r="AP63" s="99">
        <v>5</v>
      </c>
      <c r="AQ63" s="99">
        <v>3978</v>
      </c>
      <c r="AR63" s="99">
        <v>5</v>
      </c>
      <c r="AS63" s="99">
        <v>3978</v>
      </c>
      <c r="AT63" s="99">
        <v>5</v>
      </c>
      <c r="AU63" s="99">
        <v>3978</v>
      </c>
      <c r="AV63" s="99">
        <v>4</v>
      </c>
      <c r="AW63" s="99">
        <v>3182.4</v>
      </c>
      <c r="AX63" s="99">
        <v>5</v>
      </c>
      <c r="AY63" s="99">
        <v>3978</v>
      </c>
      <c r="AZ63" s="99">
        <v>5</v>
      </c>
      <c r="BA63" s="99">
        <v>3978</v>
      </c>
      <c r="BB63" s="99">
        <v>5</v>
      </c>
      <c r="BC63" s="99">
        <v>3978</v>
      </c>
      <c r="BD63" s="99">
        <v>4</v>
      </c>
      <c r="BE63" s="99">
        <v>3182.4</v>
      </c>
      <c r="BF63" s="99">
        <v>6</v>
      </c>
      <c r="BG63" s="99">
        <v>4773.6000000000004</v>
      </c>
      <c r="BH63" s="99">
        <v>5</v>
      </c>
      <c r="BI63" s="99">
        <v>3978</v>
      </c>
      <c r="BJ63" s="99">
        <v>5</v>
      </c>
      <c r="BK63" s="99">
        <v>3978</v>
      </c>
      <c r="BL63" s="99">
        <v>7</v>
      </c>
      <c r="BM63" s="99">
        <v>5569.2</v>
      </c>
      <c r="BN63" s="99">
        <v>4</v>
      </c>
      <c r="BO63" s="99">
        <v>3182.4</v>
      </c>
      <c r="BP63" s="99">
        <v>5</v>
      </c>
      <c r="BQ63" s="99">
        <v>3978</v>
      </c>
      <c r="BR63" s="99">
        <v>4</v>
      </c>
      <c r="BS63" s="99">
        <v>3182.4</v>
      </c>
      <c r="BT63" s="99">
        <v>4</v>
      </c>
      <c r="BU63" s="99">
        <v>3182.4</v>
      </c>
      <c r="BV63" s="99">
        <v>5</v>
      </c>
      <c r="BW63" s="99">
        <v>3978</v>
      </c>
      <c r="BX63" s="99">
        <v>4</v>
      </c>
      <c r="BY63" s="99">
        <v>3182.4</v>
      </c>
      <c r="BZ63" s="99">
        <v>4</v>
      </c>
      <c r="CA63" s="99">
        <v>3182.4</v>
      </c>
      <c r="CB63" s="99">
        <v>3</v>
      </c>
      <c r="CC63" s="99">
        <v>2386.8000000000002</v>
      </c>
      <c r="CD63" s="99">
        <v>5</v>
      </c>
      <c r="CE63" s="99">
        <v>3978</v>
      </c>
      <c r="CF63" s="99">
        <v>5</v>
      </c>
      <c r="CG63" s="99">
        <v>3978</v>
      </c>
      <c r="CH63" s="99">
        <v>4</v>
      </c>
      <c r="CI63" s="99">
        <v>3182.4</v>
      </c>
      <c r="CJ63" s="99">
        <v>6</v>
      </c>
      <c r="CK63" s="99">
        <v>4773.6000000000004</v>
      </c>
      <c r="CL63" s="99">
        <v>6</v>
      </c>
      <c r="CM63" s="99">
        <v>4773.6000000000004</v>
      </c>
      <c r="CN63" s="99">
        <v>6</v>
      </c>
      <c r="CO63" s="99">
        <v>4773.6000000000004</v>
      </c>
      <c r="CP63" s="99">
        <v>5</v>
      </c>
      <c r="CQ63" s="99">
        <v>3978</v>
      </c>
      <c r="CR63" s="99">
        <v>6</v>
      </c>
      <c r="CS63" s="99">
        <v>4773.6000000000004</v>
      </c>
      <c r="CT63" s="99">
        <v>5</v>
      </c>
      <c r="CU63" s="99">
        <v>3978</v>
      </c>
    </row>
    <row r="64" spans="2:99">
      <c r="C64" s="98" t="s">
        <v>229</v>
      </c>
      <c r="D64" s="99">
        <v>0</v>
      </c>
      <c r="E64" s="99">
        <v>0</v>
      </c>
      <c r="F64" s="99">
        <v>0</v>
      </c>
      <c r="G64" s="99">
        <v>0</v>
      </c>
      <c r="H64" s="99">
        <v>0</v>
      </c>
      <c r="I64" s="99">
        <v>0</v>
      </c>
      <c r="J64" s="99">
        <v>3.7018257196387272</v>
      </c>
      <c r="K64" s="99">
        <v>3735.882516259403</v>
      </c>
      <c r="L64" s="99">
        <v>2.584764184765993</v>
      </c>
      <c r="M64" s="99">
        <v>2608.5440152658398</v>
      </c>
      <c r="N64" s="99">
        <v>4</v>
      </c>
      <c r="O64" s="99">
        <v>4036.7999999999993</v>
      </c>
      <c r="P64" s="99">
        <v>4</v>
      </c>
      <c r="Q64" s="99">
        <v>4036.7999999999993</v>
      </c>
      <c r="R64" s="99">
        <v>3</v>
      </c>
      <c r="S64" s="99">
        <v>3027.5999999999995</v>
      </c>
      <c r="T64" s="99">
        <v>4</v>
      </c>
      <c r="U64" s="99">
        <v>4036.7999999999993</v>
      </c>
      <c r="V64" s="99">
        <v>4</v>
      </c>
      <c r="W64" s="99">
        <v>4036.7999999999993</v>
      </c>
      <c r="X64" s="99">
        <v>4</v>
      </c>
      <c r="Y64" s="99">
        <v>4036.7999999999993</v>
      </c>
      <c r="Z64" s="99">
        <v>5</v>
      </c>
      <c r="AA64" s="99">
        <v>5045.9999999999991</v>
      </c>
      <c r="AB64" s="99">
        <v>5</v>
      </c>
      <c r="AC64" s="99">
        <v>5045.9999999999991</v>
      </c>
      <c r="AD64" s="99">
        <v>3</v>
      </c>
      <c r="AE64" s="99">
        <v>3027.5999999999995</v>
      </c>
      <c r="AF64" s="99">
        <v>4</v>
      </c>
      <c r="AG64" s="99">
        <v>4036.7999999999993</v>
      </c>
      <c r="AH64" s="99">
        <v>4</v>
      </c>
      <c r="AI64" s="99">
        <v>4036.7999999999993</v>
      </c>
      <c r="AJ64" s="99">
        <v>4</v>
      </c>
      <c r="AK64" s="99">
        <v>4036.7999999999993</v>
      </c>
      <c r="AL64" s="99">
        <v>3</v>
      </c>
      <c r="AM64" s="99">
        <v>3027.5999999999995</v>
      </c>
      <c r="AN64" s="99">
        <v>4</v>
      </c>
      <c r="AO64" s="99">
        <v>4036.7999999999993</v>
      </c>
      <c r="AP64" s="99">
        <v>5</v>
      </c>
      <c r="AQ64" s="99">
        <v>5045.9999999999991</v>
      </c>
      <c r="AR64" s="99">
        <v>6</v>
      </c>
      <c r="AS64" s="99">
        <v>6055.1999999999989</v>
      </c>
      <c r="AT64" s="99">
        <v>4</v>
      </c>
      <c r="AU64" s="99">
        <v>4036.7999999999993</v>
      </c>
      <c r="AV64" s="99">
        <v>4</v>
      </c>
      <c r="AW64" s="99">
        <v>4036.7999999999993</v>
      </c>
      <c r="AX64" s="99">
        <v>4</v>
      </c>
      <c r="AY64" s="99">
        <v>4036.7999999999993</v>
      </c>
      <c r="AZ64" s="99">
        <v>5</v>
      </c>
      <c r="BA64" s="99">
        <v>5045.9999999999991</v>
      </c>
      <c r="BB64" s="99">
        <v>5</v>
      </c>
      <c r="BC64" s="99">
        <v>5045.9999999999991</v>
      </c>
      <c r="BD64" s="99">
        <v>5</v>
      </c>
      <c r="BE64" s="99">
        <v>5045.9999999999991</v>
      </c>
      <c r="BF64" s="99">
        <v>7</v>
      </c>
      <c r="BG64" s="99">
        <v>7064.3999999999987</v>
      </c>
      <c r="BH64" s="99">
        <v>4</v>
      </c>
      <c r="BI64" s="99">
        <v>4036.7999999999993</v>
      </c>
      <c r="BJ64" s="99">
        <v>5</v>
      </c>
      <c r="BK64" s="99">
        <v>5045.9999999999991</v>
      </c>
      <c r="BL64" s="99">
        <v>7</v>
      </c>
      <c r="BM64" s="99">
        <v>7064.3999999999987</v>
      </c>
      <c r="BN64" s="99">
        <v>3</v>
      </c>
      <c r="BO64" s="99">
        <v>3027.5999999999995</v>
      </c>
      <c r="BP64" s="99">
        <v>4</v>
      </c>
      <c r="BQ64" s="99">
        <v>4036.7999999999993</v>
      </c>
      <c r="BR64" s="99">
        <v>4</v>
      </c>
      <c r="BS64" s="99">
        <v>4036.7999999999993</v>
      </c>
      <c r="BT64" s="99">
        <v>4</v>
      </c>
      <c r="BU64" s="99">
        <v>4036.7999999999993</v>
      </c>
      <c r="BV64" s="99">
        <v>5</v>
      </c>
      <c r="BW64" s="99">
        <v>5045.9999999999991</v>
      </c>
      <c r="BX64" s="99">
        <v>5</v>
      </c>
      <c r="BY64" s="99">
        <v>5045.9999999999991</v>
      </c>
      <c r="BZ64" s="99">
        <v>4</v>
      </c>
      <c r="CA64" s="99">
        <v>4036.7999999999993</v>
      </c>
      <c r="CB64" s="99">
        <v>3</v>
      </c>
      <c r="CC64" s="99">
        <v>3027.5999999999995</v>
      </c>
      <c r="CD64" s="99">
        <v>5</v>
      </c>
      <c r="CE64" s="99">
        <v>5045.9999999999991</v>
      </c>
      <c r="CF64" s="99">
        <v>6</v>
      </c>
      <c r="CG64" s="99">
        <v>6055.1999999999989</v>
      </c>
      <c r="CH64" s="99">
        <v>4</v>
      </c>
      <c r="CI64" s="99">
        <v>4036.7999999999993</v>
      </c>
      <c r="CJ64" s="99">
        <v>5</v>
      </c>
      <c r="CK64" s="99">
        <v>5045.9999999999991</v>
      </c>
      <c r="CL64" s="99">
        <v>6</v>
      </c>
      <c r="CM64" s="99">
        <v>6055.1999999999989</v>
      </c>
      <c r="CN64" s="99">
        <v>6</v>
      </c>
      <c r="CO64" s="99">
        <v>6055.1999999999989</v>
      </c>
      <c r="CP64" s="99">
        <v>6</v>
      </c>
      <c r="CQ64" s="99">
        <v>6055.1999999999989</v>
      </c>
      <c r="CR64" s="99">
        <v>5</v>
      </c>
      <c r="CS64" s="99">
        <v>5045.9999999999991</v>
      </c>
      <c r="CT64" s="99">
        <v>5</v>
      </c>
      <c r="CU64" s="99">
        <v>5045.9999999999991</v>
      </c>
    </row>
    <row r="65" spans="2:99">
      <c r="C65" s="98" t="s">
        <v>230</v>
      </c>
      <c r="D65" s="99">
        <v>0</v>
      </c>
      <c r="E65" s="99">
        <v>0</v>
      </c>
      <c r="F65" s="99">
        <v>0</v>
      </c>
      <c r="G65" s="99">
        <v>0</v>
      </c>
      <c r="H65" s="99">
        <v>0</v>
      </c>
      <c r="I65" s="99">
        <v>0</v>
      </c>
      <c r="J65" s="99">
        <v>2.9614605757109818</v>
      </c>
      <c r="K65" s="99">
        <v>3038.4585506794674</v>
      </c>
      <c r="L65" s="99">
        <v>2.0678113478127944</v>
      </c>
      <c r="M65" s="99">
        <v>2121.5744428559269</v>
      </c>
      <c r="N65" s="99">
        <v>4</v>
      </c>
      <c r="O65" s="99">
        <v>4104</v>
      </c>
      <c r="P65" s="99">
        <v>3</v>
      </c>
      <c r="Q65" s="99">
        <v>3078</v>
      </c>
      <c r="R65" s="99">
        <v>4</v>
      </c>
      <c r="S65" s="99">
        <v>4104</v>
      </c>
      <c r="T65" s="99">
        <v>4</v>
      </c>
      <c r="U65" s="99">
        <v>4104</v>
      </c>
      <c r="V65" s="99">
        <v>4</v>
      </c>
      <c r="W65" s="99">
        <v>4104</v>
      </c>
      <c r="X65" s="99">
        <v>4</v>
      </c>
      <c r="Y65" s="99">
        <v>4104</v>
      </c>
      <c r="Z65" s="99">
        <v>4</v>
      </c>
      <c r="AA65" s="99">
        <v>4104</v>
      </c>
      <c r="AB65" s="99">
        <v>5</v>
      </c>
      <c r="AC65" s="99">
        <v>5130</v>
      </c>
      <c r="AD65" s="99">
        <v>4</v>
      </c>
      <c r="AE65" s="99">
        <v>4104</v>
      </c>
      <c r="AF65" s="99">
        <v>4</v>
      </c>
      <c r="AG65" s="99">
        <v>4104</v>
      </c>
      <c r="AH65" s="99">
        <v>4</v>
      </c>
      <c r="AI65" s="99">
        <v>4104</v>
      </c>
      <c r="AJ65" s="99">
        <v>4</v>
      </c>
      <c r="AK65" s="99">
        <v>4104</v>
      </c>
      <c r="AL65" s="99">
        <v>3</v>
      </c>
      <c r="AM65" s="99">
        <v>3078</v>
      </c>
      <c r="AN65" s="99">
        <v>4</v>
      </c>
      <c r="AO65" s="99">
        <v>4104</v>
      </c>
      <c r="AP65" s="99">
        <v>5</v>
      </c>
      <c r="AQ65" s="99">
        <v>5130</v>
      </c>
      <c r="AR65" s="99">
        <v>5</v>
      </c>
      <c r="AS65" s="99">
        <v>5130</v>
      </c>
      <c r="AT65" s="99">
        <v>5</v>
      </c>
      <c r="AU65" s="99">
        <v>5130</v>
      </c>
      <c r="AV65" s="99">
        <v>5</v>
      </c>
      <c r="AW65" s="99">
        <v>5130</v>
      </c>
      <c r="AX65" s="99">
        <v>5</v>
      </c>
      <c r="AY65" s="99">
        <v>5130</v>
      </c>
      <c r="AZ65" s="99">
        <v>5</v>
      </c>
      <c r="BA65" s="99">
        <v>5130</v>
      </c>
      <c r="BB65" s="99">
        <v>5</v>
      </c>
      <c r="BC65" s="99">
        <v>5130</v>
      </c>
      <c r="BD65" s="99">
        <v>4</v>
      </c>
      <c r="BE65" s="99">
        <v>4104</v>
      </c>
      <c r="BF65" s="99">
        <v>6</v>
      </c>
      <c r="BG65" s="99">
        <v>6156</v>
      </c>
      <c r="BH65" s="99">
        <v>5</v>
      </c>
      <c r="BI65" s="99">
        <v>5130</v>
      </c>
      <c r="BJ65" s="99">
        <v>5</v>
      </c>
      <c r="BK65" s="99">
        <v>5130</v>
      </c>
      <c r="BL65" s="99">
        <v>7</v>
      </c>
      <c r="BM65" s="99">
        <v>7182</v>
      </c>
      <c r="BN65" s="99">
        <v>3</v>
      </c>
      <c r="BO65" s="99">
        <v>3078</v>
      </c>
      <c r="BP65" s="99">
        <v>4</v>
      </c>
      <c r="BQ65" s="99">
        <v>4104</v>
      </c>
      <c r="BR65" s="99">
        <v>4</v>
      </c>
      <c r="BS65" s="99">
        <v>4104</v>
      </c>
      <c r="BT65" s="99">
        <v>4</v>
      </c>
      <c r="BU65" s="99">
        <v>4104</v>
      </c>
      <c r="BV65" s="99">
        <v>5</v>
      </c>
      <c r="BW65" s="99">
        <v>5130</v>
      </c>
      <c r="BX65" s="99">
        <v>4</v>
      </c>
      <c r="BY65" s="99">
        <v>4104</v>
      </c>
      <c r="BZ65" s="99">
        <v>4</v>
      </c>
      <c r="CA65" s="99">
        <v>4104</v>
      </c>
      <c r="CB65" s="99">
        <v>3</v>
      </c>
      <c r="CC65" s="99">
        <v>3078</v>
      </c>
      <c r="CD65" s="99">
        <v>4</v>
      </c>
      <c r="CE65" s="99">
        <v>4104</v>
      </c>
      <c r="CF65" s="99">
        <v>5</v>
      </c>
      <c r="CG65" s="99">
        <v>5130</v>
      </c>
      <c r="CH65" s="99">
        <v>4</v>
      </c>
      <c r="CI65" s="99">
        <v>4104</v>
      </c>
      <c r="CJ65" s="99">
        <v>5</v>
      </c>
      <c r="CK65" s="99">
        <v>5130</v>
      </c>
      <c r="CL65" s="99">
        <v>6</v>
      </c>
      <c r="CM65" s="99">
        <v>6156</v>
      </c>
      <c r="CN65" s="99">
        <v>5</v>
      </c>
      <c r="CO65" s="99">
        <v>5130</v>
      </c>
      <c r="CP65" s="99">
        <v>5</v>
      </c>
      <c r="CQ65" s="99">
        <v>5130</v>
      </c>
      <c r="CR65" s="99">
        <v>6</v>
      </c>
      <c r="CS65" s="99">
        <v>6156</v>
      </c>
      <c r="CT65" s="99">
        <v>5</v>
      </c>
      <c r="CU65" s="99">
        <v>5130</v>
      </c>
    </row>
    <row r="66" spans="2:99">
      <c r="C66" s="98" t="s">
        <v>231</v>
      </c>
      <c r="D66" s="99">
        <v>0</v>
      </c>
      <c r="E66" s="99">
        <v>0</v>
      </c>
      <c r="F66" s="99">
        <v>0</v>
      </c>
      <c r="G66" s="99">
        <v>0</v>
      </c>
      <c r="H66" s="99">
        <v>0</v>
      </c>
      <c r="I66" s="99">
        <v>0</v>
      </c>
      <c r="J66" s="99">
        <v>3.7018257196387272</v>
      </c>
      <c r="K66" s="99">
        <v>4406.6533366579406</v>
      </c>
      <c r="L66" s="99">
        <v>2.584764184765993</v>
      </c>
      <c r="M66" s="99">
        <v>3076.9032855454379</v>
      </c>
      <c r="N66" s="99">
        <v>4</v>
      </c>
      <c r="O66" s="99">
        <v>4761.5999999999995</v>
      </c>
      <c r="P66" s="99">
        <v>4</v>
      </c>
      <c r="Q66" s="99">
        <v>4761.5999999999995</v>
      </c>
      <c r="R66" s="99">
        <v>3</v>
      </c>
      <c r="S66" s="99">
        <v>3571.2</v>
      </c>
      <c r="T66" s="99">
        <v>4</v>
      </c>
      <c r="U66" s="99">
        <v>4761.5999999999995</v>
      </c>
      <c r="V66" s="99">
        <v>4</v>
      </c>
      <c r="W66" s="99">
        <v>4761.5999999999995</v>
      </c>
      <c r="X66" s="99">
        <v>5</v>
      </c>
      <c r="Y66" s="99">
        <v>5951.9999999999991</v>
      </c>
      <c r="Z66" s="99">
        <v>4</v>
      </c>
      <c r="AA66" s="99">
        <v>4761.5999999999995</v>
      </c>
      <c r="AB66" s="99">
        <v>5</v>
      </c>
      <c r="AC66" s="99">
        <v>5951.9999999999991</v>
      </c>
      <c r="AD66" s="99">
        <v>4</v>
      </c>
      <c r="AE66" s="99">
        <v>4761.5999999999995</v>
      </c>
      <c r="AF66" s="99">
        <v>4</v>
      </c>
      <c r="AG66" s="99">
        <v>4761.5999999999995</v>
      </c>
      <c r="AH66" s="99">
        <v>4</v>
      </c>
      <c r="AI66" s="99">
        <v>4761.5999999999995</v>
      </c>
      <c r="AJ66" s="99">
        <v>4</v>
      </c>
      <c r="AK66" s="99">
        <v>4761.5999999999995</v>
      </c>
      <c r="AL66" s="99">
        <v>3</v>
      </c>
      <c r="AM66" s="99">
        <v>3571.2</v>
      </c>
      <c r="AN66" s="99">
        <v>4</v>
      </c>
      <c r="AO66" s="99">
        <v>4761.5999999999995</v>
      </c>
      <c r="AP66" s="99">
        <v>5</v>
      </c>
      <c r="AQ66" s="99">
        <v>5951.9999999999991</v>
      </c>
      <c r="AR66" s="99">
        <v>6</v>
      </c>
      <c r="AS66" s="99">
        <v>7142.4</v>
      </c>
      <c r="AT66" s="99">
        <v>5</v>
      </c>
      <c r="AU66" s="99">
        <v>5951.9999999999991</v>
      </c>
      <c r="AV66" s="99">
        <v>4</v>
      </c>
      <c r="AW66" s="99">
        <v>4761.5999999999995</v>
      </c>
      <c r="AX66" s="99">
        <v>4</v>
      </c>
      <c r="AY66" s="99">
        <v>4761.5999999999995</v>
      </c>
      <c r="AZ66" s="99">
        <v>4</v>
      </c>
      <c r="BA66" s="99">
        <v>4761.5999999999995</v>
      </c>
      <c r="BB66" s="99">
        <v>5</v>
      </c>
      <c r="BC66" s="99">
        <v>5951.9999999999991</v>
      </c>
      <c r="BD66" s="99">
        <v>4</v>
      </c>
      <c r="BE66" s="99">
        <v>4761.5999999999995</v>
      </c>
      <c r="BF66" s="99">
        <v>6</v>
      </c>
      <c r="BG66" s="99">
        <v>7142.4</v>
      </c>
      <c r="BH66" s="99">
        <v>5</v>
      </c>
      <c r="BI66" s="99">
        <v>5951.9999999999991</v>
      </c>
      <c r="BJ66" s="99">
        <v>5</v>
      </c>
      <c r="BK66" s="99">
        <v>5951.9999999999991</v>
      </c>
      <c r="BL66" s="99">
        <v>7</v>
      </c>
      <c r="BM66" s="99">
        <v>8332.7999999999993</v>
      </c>
      <c r="BN66" s="99">
        <v>4</v>
      </c>
      <c r="BO66" s="99">
        <v>4761.5999999999995</v>
      </c>
      <c r="BP66" s="99">
        <v>5</v>
      </c>
      <c r="BQ66" s="99">
        <v>5951.9999999999991</v>
      </c>
      <c r="BR66" s="99">
        <v>4</v>
      </c>
      <c r="BS66" s="99">
        <v>4761.5999999999995</v>
      </c>
      <c r="BT66" s="99">
        <v>3</v>
      </c>
      <c r="BU66" s="99">
        <v>3571.2</v>
      </c>
      <c r="BV66" s="99">
        <v>5</v>
      </c>
      <c r="BW66" s="99">
        <v>5951.9999999999991</v>
      </c>
      <c r="BX66" s="99">
        <v>4</v>
      </c>
      <c r="BY66" s="99">
        <v>4761.5999999999995</v>
      </c>
      <c r="BZ66" s="99">
        <v>5</v>
      </c>
      <c r="CA66" s="99">
        <v>5951.9999999999991</v>
      </c>
      <c r="CB66" s="99">
        <v>3</v>
      </c>
      <c r="CC66" s="99">
        <v>3571.2</v>
      </c>
      <c r="CD66" s="99">
        <v>4</v>
      </c>
      <c r="CE66" s="99">
        <v>4761.5999999999995</v>
      </c>
      <c r="CF66" s="99">
        <v>5</v>
      </c>
      <c r="CG66" s="99">
        <v>5951.9999999999991</v>
      </c>
      <c r="CH66" s="99">
        <v>4</v>
      </c>
      <c r="CI66" s="99">
        <v>4761.5999999999995</v>
      </c>
      <c r="CJ66" s="99">
        <v>6</v>
      </c>
      <c r="CK66" s="99">
        <v>7142.4</v>
      </c>
      <c r="CL66" s="99">
        <v>6</v>
      </c>
      <c r="CM66" s="99">
        <v>7142.4</v>
      </c>
      <c r="CN66" s="99">
        <v>5</v>
      </c>
      <c r="CO66" s="99">
        <v>5951.9999999999991</v>
      </c>
      <c r="CP66" s="99">
        <v>5</v>
      </c>
      <c r="CQ66" s="99">
        <v>5951.9999999999991</v>
      </c>
      <c r="CR66" s="99">
        <v>6</v>
      </c>
      <c r="CS66" s="99">
        <v>7142.4</v>
      </c>
      <c r="CT66" s="99">
        <v>5</v>
      </c>
      <c r="CU66" s="99">
        <v>5951.9999999999991</v>
      </c>
    </row>
    <row r="67" spans="2:99">
      <c r="C67" s="98" t="s">
        <v>232</v>
      </c>
      <c r="D67" s="99">
        <v>0</v>
      </c>
      <c r="E67" s="99">
        <v>0</v>
      </c>
      <c r="F67" s="99">
        <v>0</v>
      </c>
      <c r="G67" s="99">
        <v>0</v>
      </c>
      <c r="H67" s="99">
        <v>0</v>
      </c>
      <c r="I67" s="99">
        <v>0</v>
      </c>
      <c r="J67" s="99">
        <v>2.9614605757109818</v>
      </c>
      <c r="K67" s="99">
        <v>3326.3125186385751</v>
      </c>
      <c r="L67" s="99">
        <v>2.584764184765993</v>
      </c>
      <c r="M67" s="99">
        <v>2903.2071323291634</v>
      </c>
      <c r="N67" s="99">
        <v>4</v>
      </c>
      <c r="O67" s="99">
        <v>4492.8</v>
      </c>
      <c r="P67" s="99">
        <v>4</v>
      </c>
      <c r="Q67" s="99">
        <v>4492.8</v>
      </c>
      <c r="R67" s="99">
        <v>3</v>
      </c>
      <c r="S67" s="99">
        <v>3369.6000000000004</v>
      </c>
      <c r="T67" s="99">
        <v>3</v>
      </c>
      <c r="U67" s="99">
        <v>3369.6000000000004</v>
      </c>
      <c r="V67" s="99">
        <v>4</v>
      </c>
      <c r="W67" s="99">
        <v>4492.8</v>
      </c>
      <c r="X67" s="99">
        <v>5</v>
      </c>
      <c r="Y67" s="99">
        <v>5616</v>
      </c>
      <c r="Z67" s="99">
        <v>4</v>
      </c>
      <c r="AA67" s="99">
        <v>4492.8</v>
      </c>
      <c r="AB67" s="99">
        <v>5</v>
      </c>
      <c r="AC67" s="99">
        <v>5616</v>
      </c>
      <c r="AD67" s="99">
        <v>4</v>
      </c>
      <c r="AE67" s="99">
        <v>4492.8</v>
      </c>
      <c r="AF67" s="99">
        <v>4</v>
      </c>
      <c r="AG67" s="99">
        <v>4492.8</v>
      </c>
      <c r="AH67" s="99">
        <v>4</v>
      </c>
      <c r="AI67" s="99">
        <v>4492.8</v>
      </c>
      <c r="AJ67" s="99">
        <v>4</v>
      </c>
      <c r="AK67" s="99">
        <v>4492.8</v>
      </c>
      <c r="AL67" s="99">
        <v>3</v>
      </c>
      <c r="AM67" s="99">
        <v>3369.6000000000004</v>
      </c>
      <c r="AN67" s="99">
        <v>4</v>
      </c>
      <c r="AO67" s="99">
        <v>4492.8</v>
      </c>
      <c r="AP67" s="99">
        <v>5</v>
      </c>
      <c r="AQ67" s="99">
        <v>5616</v>
      </c>
      <c r="AR67" s="99">
        <v>6</v>
      </c>
      <c r="AS67" s="99">
        <v>6739.2000000000007</v>
      </c>
      <c r="AT67" s="99">
        <v>5</v>
      </c>
      <c r="AU67" s="99">
        <v>5616</v>
      </c>
      <c r="AV67" s="99">
        <v>4</v>
      </c>
      <c r="AW67" s="99">
        <v>4492.8</v>
      </c>
      <c r="AX67" s="99">
        <v>4</v>
      </c>
      <c r="AY67" s="99">
        <v>4492.8</v>
      </c>
      <c r="AZ67" s="99">
        <v>5</v>
      </c>
      <c r="BA67" s="99">
        <v>5616</v>
      </c>
      <c r="BB67" s="99">
        <v>6</v>
      </c>
      <c r="BC67" s="99">
        <v>6739.2000000000007</v>
      </c>
      <c r="BD67" s="99">
        <v>5</v>
      </c>
      <c r="BE67" s="99">
        <v>5616</v>
      </c>
      <c r="BF67" s="99">
        <v>6</v>
      </c>
      <c r="BG67" s="99">
        <v>6739.2000000000007</v>
      </c>
      <c r="BH67" s="99">
        <v>5</v>
      </c>
      <c r="BI67" s="99">
        <v>5616</v>
      </c>
      <c r="BJ67" s="99">
        <v>5</v>
      </c>
      <c r="BK67" s="99">
        <v>5616</v>
      </c>
      <c r="BL67" s="99">
        <v>6</v>
      </c>
      <c r="BM67" s="99">
        <v>6739.2000000000007</v>
      </c>
      <c r="BN67" s="99">
        <v>4</v>
      </c>
      <c r="BO67" s="99">
        <v>4492.8</v>
      </c>
      <c r="BP67" s="99">
        <v>4</v>
      </c>
      <c r="BQ67" s="99">
        <v>4492.8</v>
      </c>
      <c r="BR67" s="99">
        <v>4</v>
      </c>
      <c r="BS67" s="99">
        <v>4492.8</v>
      </c>
      <c r="BT67" s="99">
        <v>4</v>
      </c>
      <c r="BU67" s="99">
        <v>4492.8</v>
      </c>
      <c r="BV67" s="99">
        <v>5</v>
      </c>
      <c r="BW67" s="99">
        <v>5616</v>
      </c>
      <c r="BX67" s="99">
        <v>4</v>
      </c>
      <c r="BY67" s="99">
        <v>4492.8</v>
      </c>
      <c r="BZ67" s="99">
        <v>4</v>
      </c>
      <c r="CA67" s="99">
        <v>4492.8</v>
      </c>
      <c r="CB67" s="99">
        <v>3</v>
      </c>
      <c r="CC67" s="99">
        <v>3369.6000000000004</v>
      </c>
      <c r="CD67" s="99">
        <v>4</v>
      </c>
      <c r="CE67" s="99">
        <v>4492.8</v>
      </c>
      <c r="CF67" s="99">
        <v>5</v>
      </c>
      <c r="CG67" s="99">
        <v>5616</v>
      </c>
      <c r="CH67" s="99">
        <v>4</v>
      </c>
      <c r="CI67" s="99">
        <v>4492.8</v>
      </c>
      <c r="CJ67" s="99">
        <v>5</v>
      </c>
      <c r="CK67" s="99">
        <v>5616</v>
      </c>
      <c r="CL67" s="99">
        <v>6</v>
      </c>
      <c r="CM67" s="99">
        <v>6739.2000000000007</v>
      </c>
      <c r="CN67" s="99">
        <v>5</v>
      </c>
      <c r="CO67" s="99">
        <v>5616</v>
      </c>
      <c r="CP67" s="99">
        <v>6</v>
      </c>
      <c r="CQ67" s="99">
        <v>6739.2000000000007</v>
      </c>
      <c r="CR67" s="99">
        <v>6</v>
      </c>
      <c r="CS67" s="99">
        <v>6739.2000000000007</v>
      </c>
      <c r="CT67" s="99">
        <v>5</v>
      </c>
      <c r="CU67" s="99">
        <v>5616</v>
      </c>
    </row>
    <row r="68" spans="2:99">
      <c r="C68" s="98" t="s">
        <v>233</v>
      </c>
      <c r="D68" s="99">
        <v>0</v>
      </c>
      <c r="E68" s="99">
        <v>0</v>
      </c>
      <c r="F68" s="99">
        <v>0</v>
      </c>
      <c r="G68" s="99">
        <v>0</v>
      </c>
      <c r="H68" s="99">
        <v>0</v>
      </c>
      <c r="I68" s="99">
        <v>0</v>
      </c>
      <c r="J68" s="99">
        <v>3.7018257196387272</v>
      </c>
      <c r="K68" s="99">
        <v>3824.726333530733</v>
      </c>
      <c r="L68" s="99">
        <v>2.584764184765993</v>
      </c>
      <c r="M68" s="99">
        <v>2670.5783557002242</v>
      </c>
      <c r="N68" s="99">
        <v>4</v>
      </c>
      <c r="O68" s="99">
        <v>4132.8</v>
      </c>
      <c r="P68" s="99">
        <v>4</v>
      </c>
      <c r="Q68" s="99">
        <v>4132.8</v>
      </c>
      <c r="R68" s="99">
        <v>3</v>
      </c>
      <c r="S68" s="99">
        <v>3099.6000000000004</v>
      </c>
      <c r="T68" s="99">
        <v>4</v>
      </c>
      <c r="U68" s="99">
        <v>4132.8</v>
      </c>
      <c r="V68" s="99">
        <v>4</v>
      </c>
      <c r="W68" s="99">
        <v>4132.8</v>
      </c>
      <c r="X68" s="99">
        <v>4</v>
      </c>
      <c r="Y68" s="99">
        <v>4132.8</v>
      </c>
      <c r="Z68" s="99">
        <v>5</v>
      </c>
      <c r="AA68" s="99">
        <v>5166</v>
      </c>
      <c r="AB68" s="99">
        <v>5</v>
      </c>
      <c r="AC68" s="99">
        <v>5166</v>
      </c>
      <c r="AD68" s="99">
        <v>3</v>
      </c>
      <c r="AE68" s="99">
        <v>3099.6000000000004</v>
      </c>
      <c r="AF68" s="99">
        <v>4</v>
      </c>
      <c r="AG68" s="99">
        <v>4132.8</v>
      </c>
      <c r="AH68" s="99">
        <v>4</v>
      </c>
      <c r="AI68" s="99">
        <v>4132.8</v>
      </c>
      <c r="AJ68" s="99">
        <v>4</v>
      </c>
      <c r="AK68" s="99">
        <v>4132.8</v>
      </c>
      <c r="AL68" s="99">
        <v>3</v>
      </c>
      <c r="AM68" s="99">
        <v>3099.6000000000004</v>
      </c>
      <c r="AN68" s="99">
        <v>4</v>
      </c>
      <c r="AO68" s="99">
        <v>4132.8</v>
      </c>
      <c r="AP68" s="99">
        <v>5</v>
      </c>
      <c r="AQ68" s="99">
        <v>5166</v>
      </c>
      <c r="AR68" s="99">
        <v>5</v>
      </c>
      <c r="AS68" s="99">
        <v>5166</v>
      </c>
      <c r="AT68" s="99">
        <v>5</v>
      </c>
      <c r="AU68" s="99">
        <v>5166</v>
      </c>
      <c r="AV68" s="99">
        <v>4</v>
      </c>
      <c r="AW68" s="99">
        <v>4132.8</v>
      </c>
      <c r="AX68" s="99">
        <v>4</v>
      </c>
      <c r="AY68" s="99">
        <v>4132.8</v>
      </c>
      <c r="AZ68" s="99">
        <v>5</v>
      </c>
      <c r="BA68" s="99">
        <v>5166</v>
      </c>
      <c r="BB68" s="99">
        <v>6</v>
      </c>
      <c r="BC68" s="99">
        <v>6199.2000000000007</v>
      </c>
      <c r="BD68" s="99">
        <v>4</v>
      </c>
      <c r="BE68" s="99">
        <v>4132.8</v>
      </c>
      <c r="BF68" s="99">
        <v>6</v>
      </c>
      <c r="BG68" s="99">
        <v>6199.2000000000007</v>
      </c>
      <c r="BH68" s="99">
        <v>5</v>
      </c>
      <c r="BI68" s="99">
        <v>5166</v>
      </c>
      <c r="BJ68" s="99">
        <v>5</v>
      </c>
      <c r="BK68" s="99">
        <v>5166</v>
      </c>
      <c r="BL68" s="99">
        <v>6</v>
      </c>
      <c r="BM68" s="99">
        <v>6199.2000000000007</v>
      </c>
      <c r="BN68" s="99">
        <v>4</v>
      </c>
      <c r="BO68" s="99">
        <v>4132.8</v>
      </c>
      <c r="BP68" s="99">
        <v>5</v>
      </c>
      <c r="BQ68" s="99">
        <v>5166</v>
      </c>
      <c r="BR68" s="99">
        <v>4</v>
      </c>
      <c r="BS68" s="99">
        <v>4132.8</v>
      </c>
      <c r="BT68" s="99">
        <v>4</v>
      </c>
      <c r="BU68" s="99">
        <v>4132.8</v>
      </c>
      <c r="BV68" s="99">
        <v>5</v>
      </c>
      <c r="BW68" s="99">
        <v>5166</v>
      </c>
      <c r="BX68" s="99">
        <v>4</v>
      </c>
      <c r="BY68" s="99">
        <v>4132.8</v>
      </c>
      <c r="BZ68" s="99">
        <v>5</v>
      </c>
      <c r="CA68" s="99">
        <v>5166</v>
      </c>
      <c r="CB68" s="99">
        <v>3</v>
      </c>
      <c r="CC68" s="99">
        <v>3099.6000000000004</v>
      </c>
      <c r="CD68" s="99">
        <v>5</v>
      </c>
      <c r="CE68" s="99">
        <v>5166</v>
      </c>
      <c r="CF68" s="99">
        <v>6</v>
      </c>
      <c r="CG68" s="99">
        <v>6199.2000000000007</v>
      </c>
      <c r="CH68" s="99">
        <v>4</v>
      </c>
      <c r="CI68" s="99">
        <v>4132.8</v>
      </c>
      <c r="CJ68" s="99">
        <v>6</v>
      </c>
      <c r="CK68" s="99">
        <v>6199.2000000000007</v>
      </c>
      <c r="CL68" s="99">
        <v>6</v>
      </c>
      <c r="CM68" s="99">
        <v>6199.2000000000007</v>
      </c>
      <c r="CN68" s="99">
        <v>6</v>
      </c>
      <c r="CO68" s="99">
        <v>6199.2000000000007</v>
      </c>
      <c r="CP68" s="99">
        <v>5</v>
      </c>
      <c r="CQ68" s="99">
        <v>5166</v>
      </c>
      <c r="CR68" s="99">
        <v>5</v>
      </c>
      <c r="CS68" s="99">
        <v>5166</v>
      </c>
      <c r="CT68" s="99">
        <v>5</v>
      </c>
      <c r="CU68" s="99">
        <v>5166</v>
      </c>
    </row>
    <row r="69" spans="2:99">
      <c r="C69" s="98" t="s">
        <v>234</v>
      </c>
      <c r="D69" s="99">
        <v>0</v>
      </c>
      <c r="E69" s="99">
        <v>0</v>
      </c>
      <c r="F69" s="99">
        <v>0</v>
      </c>
      <c r="G69" s="99">
        <v>0</v>
      </c>
      <c r="H69" s="99">
        <v>0</v>
      </c>
      <c r="I69" s="99">
        <v>0</v>
      </c>
      <c r="J69" s="99">
        <v>3.7018257196387272</v>
      </c>
      <c r="K69" s="99">
        <v>2807.4646257740105</v>
      </c>
      <c r="L69" s="99">
        <v>2.584764184765993</v>
      </c>
      <c r="M69" s="99">
        <v>1960.285157726529</v>
      </c>
      <c r="N69" s="99">
        <v>4</v>
      </c>
      <c r="O69" s="99">
        <v>3033.6</v>
      </c>
      <c r="P69" s="99">
        <v>4</v>
      </c>
      <c r="Q69" s="99">
        <v>3033.6</v>
      </c>
      <c r="R69" s="99">
        <v>3</v>
      </c>
      <c r="S69" s="99">
        <v>2275.1999999999998</v>
      </c>
      <c r="T69" s="99">
        <v>4</v>
      </c>
      <c r="U69" s="99">
        <v>3033.6</v>
      </c>
      <c r="V69" s="99">
        <v>4</v>
      </c>
      <c r="W69" s="99">
        <v>3033.6</v>
      </c>
      <c r="X69" s="99">
        <v>5</v>
      </c>
      <c r="Y69" s="99">
        <v>3792</v>
      </c>
      <c r="Z69" s="99">
        <v>4</v>
      </c>
      <c r="AA69" s="99">
        <v>3033.6</v>
      </c>
      <c r="AB69" s="99">
        <v>5</v>
      </c>
      <c r="AC69" s="99">
        <v>3792</v>
      </c>
      <c r="AD69" s="99">
        <v>4</v>
      </c>
      <c r="AE69" s="99">
        <v>3033.6</v>
      </c>
      <c r="AF69" s="99">
        <v>4</v>
      </c>
      <c r="AG69" s="99">
        <v>3033.6</v>
      </c>
      <c r="AH69" s="99">
        <v>4</v>
      </c>
      <c r="AI69" s="99">
        <v>3033.6</v>
      </c>
      <c r="AJ69" s="99">
        <v>4</v>
      </c>
      <c r="AK69" s="99">
        <v>3033.6</v>
      </c>
      <c r="AL69" s="99">
        <v>3</v>
      </c>
      <c r="AM69" s="99">
        <v>2275.1999999999998</v>
      </c>
      <c r="AN69" s="99">
        <v>4</v>
      </c>
      <c r="AO69" s="99">
        <v>3033.6</v>
      </c>
      <c r="AP69" s="99">
        <v>5</v>
      </c>
      <c r="AQ69" s="99">
        <v>3792</v>
      </c>
      <c r="AR69" s="99">
        <v>5</v>
      </c>
      <c r="AS69" s="99">
        <v>3792</v>
      </c>
      <c r="AT69" s="99">
        <v>5</v>
      </c>
      <c r="AU69" s="99">
        <v>3792</v>
      </c>
      <c r="AV69" s="99">
        <v>4</v>
      </c>
      <c r="AW69" s="99">
        <v>3033.6</v>
      </c>
      <c r="AX69" s="99">
        <v>4</v>
      </c>
      <c r="AY69" s="99">
        <v>3033.6</v>
      </c>
      <c r="AZ69" s="99">
        <v>5</v>
      </c>
      <c r="BA69" s="99">
        <v>3792</v>
      </c>
      <c r="BB69" s="99">
        <v>5</v>
      </c>
      <c r="BC69" s="99">
        <v>3792</v>
      </c>
      <c r="BD69" s="99">
        <v>5</v>
      </c>
      <c r="BE69" s="99">
        <v>3792</v>
      </c>
      <c r="BF69" s="99">
        <v>6</v>
      </c>
      <c r="BG69" s="99">
        <v>4550.3999999999996</v>
      </c>
      <c r="BH69" s="99">
        <v>5</v>
      </c>
      <c r="BI69" s="99">
        <v>3792</v>
      </c>
      <c r="BJ69" s="99">
        <v>5</v>
      </c>
      <c r="BK69" s="99">
        <v>3792</v>
      </c>
      <c r="BL69" s="99">
        <v>6</v>
      </c>
      <c r="BM69" s="99">
        <v>4550.3999999999996</v>
      </c>
      <c r="BN69" s="99">
        <v>4</v>
      </c>
      <c r="BO69" s="99">
        <v>3033.6</v>
      </c>
      <c r="BP69" s="99">
        <v>4</v>
      </c>
      <c r="BQ69" s="99">
        <v>3033.6</v>
      </c>
      <c r="BR69" s="99">
        <v>4</v>
      </c>
      <c r="BS69" s="99">
        <v>3033.6</v>
      </c>
      <c r="BT69" s="99">
        <v>4</v>
      </c>
      <c r="BU69" s="99">
        <v>3033.6</v>
      </c>
      <c r="BV69" s="99">
        <v>5</v>
      </c>
      <c r="BW69" s="99">
        <v>3792</v>
      </c>
      <c r="BX69" s="99">
        <v>4</v>
      </c>
      <c r="BY69" s="99">
        <v>3033.6</v>
      </c>
      <c r="BZ69" s="99">
        <v>5</v>
      </c>
      <c r="CA69" s="99">
        <v>3792</v>
      </c>
      <c r="CB69" s="99">
        <v>3</v>
      </c>
      <c r="CC69" s="99">
        <v>2275.1999999999998</v>
      </c>
      <c r="CD69" s="99">
        <v>5</v>
      </c>
      <c r="CE69" s="99">
        <v>3792</v>
      </c>
      <c r="CF69" s="99">
        <v>5</v>
      </c>
      <c r="CG69" s="99">
        <v>3792</v>
      </c>
      <c r="CH69" s="99">
        <v>4</v>
      </c>
      <c r="CI69" s="99">
        <v>3033.6</v>
      </c>
      <c r="CJ69" s="99">
        <v>5</v>
      </c>
      <c r="CK69" s="99">
        <v>3792</v>
      </c>
      <c r="CL69" s="99">
        <v>6</v>
      </c>
      <c r="CM69" s="99">
        <v>4550.3999999999996</v>
      </c>
      <c r="CN69" s="99">
        <v>6</v>
      </c>
      <c r="CO69" s="99">
        <v>4550.3999999999996</v>
      </c>
      <c r="CP69" s="99">
        <v>6</v>
      </c>
      <c r="CQ69" s="99">
        <v>4550.3999999999996</v>
      </c>
      <c r="CR69" s="99">
        <v>6</v>
      </c>
      <c r="CS69" s="99">
        <v>4550.3999999999996</v>
      </c>
      <c r="CT69" s="99">
        <v>5</v>
      </c>
      <c r="CU69" s="99">
        <v>3792</v>
      </c>
    </row>
    <row r="70" spans="2:99">
      <c r="C70" s="98" t="s">
        <v>235</v>
      </c>
      <c r="D70" s="99">
        <v>0</v>
      </c>
      <c r="E70" s="99">
        <v>0</v>
      </c>
      <c r="F70" s="99">
        <v>0</v>
      </c>
      <c r="G70" s="99">
        <v>0</v>
      </c>
      <c r="H70" s="99">
        <v>0</v>
      </c>
      <c r="I70" s="99">
        <v>0</v>
      </c>
      <c r="J70" s="99">
        <v>3.7018257196387272</v>
      </c>
      <c r="K70" s="99">
        <v>1981.2171251506466</v>
      </c>
      <c r="L70" s="99">
        <v>2.584764184765993</v>
      </c>
      <c r="M70" s="99">
        <v>1383.3657916867594</v>
      </c>
      <c r="N70" s="99">
        <v>4</v>
      </c>
      <c r="O70" s="99">
        <v>2140.7999999999997</v>
      </c>
      <c r="P70" s="99">
        <v>4</v>
      </c>
      <c r="Q70" s="99">
        <v>2140.7999999999997</v>
      </c>
      <c r="R70" s="99">
        <v>4</v>
      </c>
      <c r="S70" s="99">
        <v>2140.7999999999997</v>
      </c>
      <c r="T70" s="99">
        <v>3</v>
      </c>
      <c r="U70" s="99">
        <v>1605.6</v>
      </c>
      <c r="V70" s="99">
        <v>4</v>
      </c>
      <c r="W70" s="99">
        <v>2140.7999999999997</v>
      </c>
      <c r="X70" s="99">
        <v>4</v>
      </c>
      <c r="Y70" s="99">
        <v>2140.7999999999997</v>
      </c>
      <c r="Z70" s="99">
        <v>5</v>
      </c>
      <c r="AA70" s="99">
        <v>2675.9999999999995</v>
      </c>
      <c r="AB70" s="99">
        <v>5</v>
      </c>
      <c r="AC70" s="99">
        <v>2675.9999999999995</v>
      </c>
      <c r="AD70" s="99">
        <v>4</v>
      </c>
      <c r="AE70" s="99">
        <v>2140.7999999999997</v>
      </c>
      <c r="AF70" s="99">
        <v>4</v>
      </c>
      <c r="AG70" s="99">
        <v>2140.7999999999997</v>
      </c>
      <c r="AH70" s="99">
        <v>4</v>
      </c>
      <c r="AI70" s="99">
        <v>2140.7999999999997</v>
      </c>
      <c r="AJ70" s="99">
        <v>4</v>
      </c>
      <c r="AK70" s="99">
        <v>2140.7999999999997</v>
      </c>
      <c r="AL70" s="99">
        <v>4</v>
      </c>
      <c r="AM70" s="99">
        <v>2140.7999999999997</v>
      </c>
      <c r="AN70" s="99">
        <v>4</v>
      </c>
      <c r="AO70" s="99">
        <v>2140.7999999999997</v>
      </c>
      <c r="AP70" s="99">
        <v>5</v>
      </c>
      <c r="AQ70" s="99">
        <v>2675.9999999999995</v>
      </c>
      <c r="AR70" s="99">
        <v>6</v>
      </c>
      <c r="AS70" s="99">
        <v>3211.2</v>
      </c>
      <c r="AT70" s="99">
        <v>5</v>
      </c>
      <c r="AU70" s="99">
        <v>2675.9999999999995</v>
      </c>
      <c r="AV70" s="99">
        <v>4</v>
      </c>
      <c r="AW70" s="99">
        <v>2140.7999999999997</v>
      </c>
      <c r="AX70" s="99">
        <v>4</v>
      </c>
      <c r="AY70" s="99">
        <v>2140.7999999999997</v>
      </c>
      <c r="AZ70" s="99">
        <v>5</v>
      </c>
      <c r="BA70" s="99">
        <v>2675.9999999999995</v>
      </c>
      <c r="BB70" s="99">
        <v>5</v>
      </c>
      <c r="BC70" s="99">
        <v>2675.9999999999995</v>
      </c>
      <c r="BD70" s="99">
        <v>4</v>
      </c>
      <c r="BE70" s="99">
        <v>2140.7999999999997</v>
      </c>
      <c r="BF70" s="99">
        <v>7</v>
      </c>
      <c r="BG70" s="99">
        <v>3746.3999999999996</v>
      </c>
      <c r="BH70" s="99">
        <v>5</v>
      </c>
      <c r="BI70" s="99">
        <v>2675.9999999999995</v>
      </c>
      <c r="BJ70" s="99">
        <v>5</v>
      </c>
      <c r="BK70" s="99">
        <v>2675.9999999999995</v>
      </c>
      <c r="BL70" s="99">
        <v>6</v>
      </c>
      <c r="BM70" s="99">
        <v>3211.2</v>
      </c>
      <c r="BN70" s="99">
        <v>3</v>
      </c>
      <c r="BO70" s="99">
        <v>1605.6</v>
      </c>
      <c r="BP70" s="99">
        <v>4</v>
      </c>
      <c r="BQ70" s="99">
        <v>2140.7999999999997</v>
      </c>
      <c r="BR70" s="99">
        <v>4</v>
      </c>
      <c r="BS70" s="99">
        <v>2140.7999999999997</v>
      </c>
      <c r="BT70" s="99">
        <v>4</v>
      </c>
      <c r="BU70" s="99">
        <v>2140.7999999999997</v>
      </c>
      <c r="BV70" s="99">
        <v>5</v>
      </c>
      <c r="BW70" s="99">
        <v>2675.9999999999995</v>
      </c>
      <c r="BX70" s="99">
        <v>5</v>
      </c>
      <c r="BY70" s="99">
        <v>2675.9999999999995</v>
      </c>
      <c r="BZ70" s="99">
        <v>5</v>
      </c>
      <c r="CA70" s="99">
        <v>2675.9999999999995</v>
      </c>
      <c r="CB70" s="99">
        <v>3</v>
      </c>
      <c r="CC70" s="99">
        <v>1605.6</v>
      </c>
      <c r="CD70" s="99">
        <v>5</v>
      </c>
      <c r="CE70" s="99">
        <v>2675.9999999999995</v>
      </c>
      <c r="CF70" s="99">
        <v>5</v>
      </c>
      <c r="CG70" s="99">
        <v>2675.9999999999995</v>
      </c>
      <c r="CH70" s="99">
        <v>4</v>
      </c>
      <c r="CI70" s="99">
        <v>2140.7999999999997</v>
      </c>
      <c r="CJ70" s="99">
        <v>5</v>
      </c>
      <c r="CK70" s="99">
        <v>2675.9999999999995</v>
      </c>
      <c r="CL70" s="99">
        <v>6</v>
      </c>
      <c r="CM70" s="99">
        <v>3211.2</v>
      </c>
      <c r="CN70" s="99">
        <v>6</v>
      </c>
      <c r="CO70" s="99">
        <v>3211.2</v>
      </c>
      <c r="CP70" s="99">
        <v>5</v>
      </c>
      <c r="CQ70" s="99">
        <v>2675.9999999999995</v>
      </c>
      <c r="CR70" s="99">
        <v>5</v>
      </c>
      <c r="CS70" s="99">
        <v>2675.9999999999995</v>
      </c>
      <c r="CT70" s="99">
        <v>5</v>
      </c>
      <c r="CU70" s="99">
        <v>2675.9999999999995</v>
      </c>
    </row>
    <row r="71" spans="2:99">
      <c r="B71" s="98" t="s">
        <v>130</v>
      </c>
      <c r="C71" s="98" t="s">
        <v>236</v>
      </c>
      <c r="D71" s="99">
        <v>0</v>
      </c>
      <c r="E71" s="99">
        <v>0</v>
      </c>
      <c r="F71" s="99">
        <v>0</v>
      </c>
      <c r="G71" s="99">
        <v>0</v>
      </c>
      <c r="H71" s="99">
        <v>0</v>
      </c>
      <c r="I71" s="99">
        <v>0</v>
      </c>
      <c r="J71" s="99">
        <v>4</v>
      </c>
      <c r="K71" s="99">
        <v>2256</v>
      </c>
      <c r="L71" s="99">
        <v>4</v>
      </c>
      <c r="M71" s="99">
        <v>2256</v>
      </c>
      <c r="N71" s="99">
        <v>6</v>
      </c>
      <c r="O71" s="99">
        <v>3384</v>
      </c>
      <c r="P71" s="99">
        <v>6</v>
      </c>
      <c r="Q71" s="99">
        <v>3384</v>
      </c>
      <c r="R71" s="99">
        <v>5</v>
      </c>
      <c r="S71" s="99">
        <v>2820</v>
      </c>
      <c r="T71" s="99">
        <v>5</v>
      </c>
      <c r="U71" s="99">
        <v>2820</v>
      </c>
      <c r="V71" s="99">
        <v>5</v>
      </c>
      <c r="W71" s="99">
        <v>2820</v>
      </c>
      <c r="X71" s="99">
        <v>3</v>
      </c>
      <c r="Y71" s="99">
        <v>1692</v>
      </c>
      <c r="Z71" s="99">
        <v>4</v>
      </c>
      <c r="AA71" s="99">
        <v>2256</v>
      </c>
      <c r="AB71" s="99">
        <v>4</v>
      </c>
      <c r="AC71" s="99">
        <v>2256</v>
      </c>
      <c r="AD71" s="99">
        <v>5</v>
      </c>
      <c r="AE71" s="99">
        <v>2820</v>
      </c>
      <c r="AF71" s="99">
        <v>6</v>
      </c>
      <c r="AG71" s="99">
        <v>3384</v>
      </c>
      <c r="AH71" s="99">
        <v>3</v>
      </c>
      <c r="AI71" s="99">
        <v>1692</v>
      </c>
      <c r="AJ71" s="99">
        <v>5</v>
      </c>
      <c r="AK71" s="99">
        <v>2820</v>
      </c>
      <c r="AL71" s="99">
        <v>4</v>
      </c>
      <c r="AM71" s="99">
        <v>2256</v>
      </c>
      <c r="AN71" s="99">
        <v>5</v>
      </c>
      <c r="AO71" s="99">
        <v>2820</v>
      </c>
      <c r="AP71" s="99">
        <v>5</v>
      </c>
      <c r="AQ71" s="99">
        <v>2820</v>
      </c>
      <c r="AR71" s="99">
        <v>6</v>
      </c>
      <c r="AS71" s="99">
        <v>3384</v>
      </c>
      <c r="AT71" s="99">
        <v>3</v>
      </c>
      <c r="AU71" s="99">
        <v>1692</v>
      </c>
      <c r="AV71" s="99">
        <v>4</v>
      </c>
      <c r="AW71" s="99">
        <v>2256</v>
      </c>
      <c r="AX71" s="99">
        <v>6</v>
      </c>
      <c r="AY71" s="99">
        <v>3384</v>
      </c>
      <c r="AZ71" s="99">
        <v>3</v>
      </c>
      <c r="BA71" s="99">
        <v>1692</v>
      </c>
      <c r="BB71" s="99">
        <v>4</v>
      </c>
      <c r="BC71" s="99">
        <v>2256</v>
      </c>
      <c r="BD71" s="99">
        <v>6</v>
      </c>
      <c r="BE71" s="99">
        <v>3384</v>
      </c>
      <c r="BF71" s="99">
        <v>5</v>
      </c>
      <c r="BG71" s="99">
        <v>2820</v>
      </c>
      <c r="BH71" s="99">
        <v>5</v>
      </c>
      <c r="BI71" s="99">
        <v>2820</v>
      </c>
      <c r="BJ71" s="99">
        <v>5</v>
      </c>
      <c r="BK71" s="99">
        <v>2820</v>
      </c>
      <c r="BL71" s="99">
        <v>3</v>
      </c>
      <c r="BM71" s="99">
        <v>1692</v>
      </c>
      <c r="BN71" s="99">
        <v>4</v>
      </c>
      <c r="BO71" s="99">
        <v>2256</v>
      </c>
      <c r="BP71" s="99">
        <v>4</v>
      </c>
      <c r="BQ71" s="99">
        <v>2256</v>
      </c>
      <c r="BR71" s="99">
        <v>5</v>
      </c>
      <c r="BS71" s="99">
        <v>2820</v>
      </c>
      <c r="BT71" s="99">
        <v>5</v>
      </c>
      <c r="BU71" s="99">
        <v>2820</v>
      </c>
      <c r="BV71" s="99">
        <v>3</v>
      </c>
      <c r="BW71" s="99">
        <v>1692</v>
      </c>
      <c r="BX71" s="99">
        <v>4</v>
      </c>
      <c r="BY71" s="99">
        <v>2256</v>
      </c>
      <c r="BZ71" s="99">
        <v>6</v>
      </c>
      <c r="CA71" s="99">
        <v>3384</v>
      </c>
      <c r="CB71" s="99">
        <v>6</v>
      </c>
      <c r="CC71" s="99">
        <v>3384</v>
      </c>
      <c r="CD71" s="99">
        <v>5</v>
      </c>
      <c r="CE71" s="99">
        <v>2820</v>
      </c>
      <c r="CF71" s="99">
        <v>6</v>
      </c>
      <c r="CG71" s="99">
        <v>3384</v>
      </c>
      <c r="CH71" s="99">
        <v>4</v>
      </c>
      <c r="CI71" s="99">
        <v>2256</v>
      </c>
      <c r="CJ71" s="99">
        <v>3</v>
      </c>
      <c r="CK71" s="99">
        <v>1692</v>
      </c>
      <c r="CL71" s="99">
        <v>4</v>
      </c>
      <c r="CM71" s="99">
        <v>2256</v>
      </c>
      <c r="CN71" s="99">
        <v>6</v>
      </c>
      <c r="CO71" s="99">
        <v>3384</v>
      </c>
      <c r="CP71" s="99">
        <v>4</v>
      </c>
      <c r="CQ71" s="99">
        <v>2256</v>
      </c>
      <c r="CR71" s="99">
        <v>3</v>
      </c>
      <c r="CS71" s="99">
        <v>1692</v>
      </c>
      <c r="CT71" s="99">
        <v>5</v>
      </c>
      <c r="CU71" s="99">
        <v>2820</v>
      </c>
    </row>
    <row r="72" spans="2:99">
      <c r="C72" s="98" t="s">
        <v>237</v>
      </c>
      <c r="D72" s="99">
        <v>0</v>
      </c>
      <c r="E72" s="99">
        <v>0</v>
      </c>
      <c r="F72" s="99">
        <v>0</v>
      </c>
      <c r="G72" s="99">
        <v>0</v>
      </c>
      <c r="H72" s="99">
        <v>0</v>
      </c>
      <c r="I72" s="99">
        <v>0</v>
      </c>
      <c r="J72" s="99">
        <v>4</v>
      </c>
      <c r="K72" s="99">
        <v>297.59999999999997</v>
      </c>
      <c r="L72" s="99">
        <v>4</v>
      </c>
      <c r="M72" s="99">
        <v>297.59999999999997</v>
      </c>
      <c r="N72" s="99">
        <v>5</v>
      </c>
      <c r="O72" s="99">
        <v>371.99999999999994</v>
      </c>
      <c r="P72" s="99">
        <v>6</v>
      </c>
      <c r="Q72" s="99">
        <v>446.4</v>
      </c>
      <c r="R72" s="99">
        <v>5</v>
      </c>
      <c r="S72" s="99">
        <v>371.99999999999994</v>
      </c>
      <c r="T72" s="99">
        <v>6</v>
      </c>
      <c r="U72" s="99">
        <v>446.4</v>
      </c>
      <c r="V72" s="99">
        <v>5</v>
      </c>
      <c r="W72" s="99">
        <v>371.99999999999994</v>
      </c>
      <c r="X72" s="99">
        <v>3</v>
      </c>
      <c r="Y72" s="99">
        <v>223.2</v>
      </c>
      <c r="Z72" s="99">
        <v>5</v>
      </c>
      <c r="AA72" s="99">
        <v>371.99999999999994</v>
      </c>
      <c r="AB72" s="99">
        <v>4</v>
      </c>
      <c r="AC72" s="99">
        <v>297.59999999999997</v>
      </c>
      <c r="AD72" s="99">
        <v>5</v>
      </c>
      <c r="AE72" s="99">
        <v>371.99999999999994</v>
      </c>
      <c r="AF72" s="99">
        <v>5</v>
      </c>
      <c r="AG72" s="99">
        <v>371.99999999999994</v>
      </c>
      <c r="AH72" s="99">
        <v>3</v>
      </c>
      <c r="AI72" s="99">
        <v>223.2</v>
      </c>
      <c r="AJ72" s="99">
        <v>5</v>
      </c>
      <c r="AK72" s="99">
        <v>371.99999999999994</v>
      </c>
      <c r="AL72" s="99">
        <v>4</v>
      </c>
      <c r="AM72" s="99">
        <v>297.59999999999997</v>
      </c>
      <c r="AN72" s="99">
        <v>5</v>
      </c>
      <c r="AO72" s="99">
        <v>371.99999999999994</v>
      </c>
      <c r="AP72" s="99">
        <v>5</v>
      </c>
      <c r="AQ72" s="99">
        <v>371.99999999999994</v>
      </c>
      <c r="AR72" s="99">
        <v>5</v>
      </c>
      <c r="AS72" s="99">
        <v>371.99999999999994</v>
      </c>
      <c r="AT72" s="99">
        <v>3</v>
      </c>
      <c r="AU72" s="99">
        <v>223.2</v>
      </c>
      <c r="AV72" s="99">
        <v>4</v>
      </c>
      <c r="AW72" s="99">
        <v>297.59999999999997</v>
      </c>
      <c r="AX72" s="99">
        <v>6</v>
      </c>
      <c r="AY72" s="99">
        <v>446.4</v>
      </c>
      <c r="AZ72" s="99">
        <v>3</v>
      </c>
      <c r="BA72" s="99">
        <v>223.2</v>
      </c>
      <c r="BB72" s="99">
        <v>4</v>
      </c>
      <c r="BC72" s="99">
        <v>297.59999999999997</v>
      </c>
      <c r="BD72" s="99">
        <v>6</v>
      </c>
      <c r="BE72" s="99">
        <v>446.4</v>
      </c>
      <c r="BF72" s="99">
        <v>5</v>
      </c>
      <c r="BG72" s="99">
        <v>371.99999999999994</v>
      </c>
      <c r="BH72" s="99">
        <v>5</v>
      </c>
      <c r="BI72" s="99">
        <v>371.99999999999994</v>
      </c>
      <c r="BJ72" s="99">
        <v>5</v>
      </c>
      <c r="BK72" s="99">
        <v>371.99999999999994</v>
      </c>
      <c r="BL72" s="99">
        <v>3</v>
      </c>
      <c r="BM72" s="99">
        <v>223.2</v>
      </c>
      <c r="BN72" s="99">
        <v>3</v>
      </c>
      <c r="BO72" s="99">
        <v>223.2</v>
      </c>
      <c r="BP72" s="99">
        <v>4</v>
      </c>
      <c r="BQ72" s="99">
        <v>297.59999999999997</v>
      </c>
      <c r="BR72" s="99">
        <v>5</v>
      </c>
      <c r="BS72" s="99">
        <v>371.99999999999994</v>
      </c>
      <c r="BT72" s="99">
        <v>6</v>
      </c>
      <c r="BU72" s="99">
        <v>446.4</v>
      </c>
      <c r="BV72" s="99">
        <v>3</v>
      </c>
      <c r="BW72" s="99">
        <v>223.2</v>
      </c>
      <c r="BX72" s="99">
        <v>5</v>
      </c>
      <c r="BY72" s="99">
        <v>371.99999999999994</v>
      </c>
      <c r="BZ72" s="99">
        <v>6</v>
      </c>
      <c r="CA72" s="99">
        <v>446.4</v>
      </c>
      <c r="CB72" s="99">
        <v>6</v>
      </c>
      <c r="CC72" s="99">
        <v>446.4</v>
      </c>
      <c r="CD72" s="99">
        <v>5</v>
      </c>
      <c r="CE72" s="99">
        <v>371.99999999999994</v>
      </c>
      <c r="CF72" s="99">
        <v>6</v>
      </c>
      <c r="CG72" s="99">
        <v>446.4</v>
      </c>
      <c r="CH72" s="99">
        <v>4</v>
      </c>
      <c r="CI72" s="99">
        <v>297.59999999999997</v>
      </c>
      <c r="CJ72" s="99">
        <v>3</v>
      </c>
      <c r="CK72" s="99">
        <v>223.2</v>
      </c>
      <c r="CL72" s="99">
        <v>4</v>
      </c>
      <c r="CM72" s="99">
        <v>297.59999999999997</v>
      </c>
      <c r="CN72" s="99">
        <v>6</v>
      </c>
      <c r="CO72" s="99">
        <v>446.4</v>
      </c>
      <c r="CP72" s="99">
        <v>4</v>
      </c>
      <c r="CQ72" s="99">
        <v>297.59999999999997</v>
      </c>
      <c r="CR72" s="99">
        <v>4</v>
      </c>
      <c r="CS72" s="99">
        <v>297.59999999999997</v>
      </c>
      <c r="CT72" s="99">
        <v>4</v>
      </c>
      <c r="CU72" s="99">
        <v>297.59999999999997</v>
      </c>
    </row>
    <row r="73" spans="2:99">
      <c r="C73" s="98" t="s">
        <v>238</v>
      </c>
      <c r="D73" s="99">
        <v>0</v>
      </c>
      <c r="E73" s="99">
        <v>0</v>
      </c>
      <c r="F73" s="99">
        <v>0</v>
      </c>
      <c r="G73" s="99">
        <v>0</v>
      </c>
      <c r="H73" s="99">
        <v>0</v>
      </c>
      <c r="I73" s="99">
        <v>0</v>
      </c>
      <c r="J73" s="99">
        <v>4</v>
      </c>
      <c r="K73" s="99">
        <v>2236.7999999999997</v>
      </c>
      <c r="L73" s="99">
        <v>4</v>
      </c>
      <c r="M73" s="99">
        <v>2236.7999999999997</v>
      </c>
      <c r="N73" s="99">
        <v>6</v>
      </c>
      <c r="O73" s="99">
        <v>3355.2</v>
      </c>
      <c r="P73" s="99">
        <v>6</v>
      </c>
      <c r="Q73" s="99">
        <v>3355.2</v>
      </c>
      <c r="R73" s="99">
        <v>5</v>
      </c>
      <c r="S73" s="99">
        <v>2795.9999999999995</v>
      </c>
      <c r="T73" s="99">
        <v>5</v>
      </c>
      <c r="U73" s="99">
        <v>2795.9999999999995</v>
      </c>
      <c r="V73" s="99">
        <v>5</v>
      </c>
      <c r="W73" s="99">
        <v>2795.9999999999995</v>
      </c>
      <c r="X73" s="99">
        <v>3</v>
      </c>
      <c r="Y73" s="99">
        <v>1677.6</v>
      </c>
      <c r="Z73" s="99">
        <v>5</v>
      </c>
      <c r="AA73" s="99">
        <v>2795.9999999999995</v>
      </c>
      <c r="AB73" s="99">
        <v>4</v>
      </c>
      <c r="AC73" s="99">
        <v>2236.7999999999997</v>
      </c>
      <c r="AD73" s="99">
        <v>5</v>
      </c>
      <c r="AE73" s="99">
        <v>2795.9999999999995</v>
      </c>
      <c r="AF73" s="99">
        <v>6</v>
      </c>
      <c r="AG73" s="99">
        <v>3355.2</v>
      </c>
      <c r="AH73" s="99">
        <v>3</v>
      </c>
      <c r="AI73" s="99">
        <v>1677.6</v>
      </c>
      <c r="AJ73" s="99">
        <v>5</v>
      </c>
      <c r="AK73" s="99">
        <v>2795.9999999999995</v>
      </c>
      <c r="AL73" s="99">
        <v>4</v>
      </c>
      <c r="AM73" s="99">
        <v>2236.7999999999997</v>
      </c>
      <c r="AN73" s="99">
        <v>5</v>
      </c>
      <c r="AO73" s="99">
        <v>2795.9999999999995</v>
      </c>
      <c r="AP73" s="99">
        <v>5</v>
      </c>
      <c r="AQ73" s="99">
        <v>2795.9999999999995</v>
      </c>
      <c r="AR73" s="99">
        <v>5</v>
      </c>
      <c r="AS73" s="99">
        <v>2795.9999999999995</v>
      </c>
      <c r="AT73" s="99">
        <v>3</v>
      </c>
      <c r="AU73" s="99">
        <v>1677.6</v>
      </c>
      <c r="AV73" s="99">
        <v>4</v>
      </c>
      <c r="AW73" s="99">
        <v>2236.7999999999997</v>
      </c>
      <c r="AX73" s="99">
        <v>5</v>
      </c>
      <c r="AY73" s="99">
        <v>2795.9999999999995</v>
      </c>
      <c r="AZ73" s="99">
        <v>3</v>
      </c>
      <c r="BA73" s="99">
        <v>1677.6</v>
      </c>
      <c r="BB73" s="99">
        <v>4</v>
      </c>
      <c r="BC73" s="99">
        <v>2236.7999999999997</v>
      </c>
      <c r="BD73" s="99">
        <v>5</v>
      </c>
      <c r="BE73" s="99">
        <v>2795.9999999999995</v>
      </c>
      <c r="BF73" s="99">
        <v>5</v>
      </c>
      <c r="BG73" s="99">
        <v>2795.9999999999995</v>
      </c>
      <c r="BH73" s="99">
        <v>4</v>
      </c>
      <c r="BI73" s="99">
        <v>2236.7999999999997</v>
      </c>
      <c r="BJ73" s="99">
        <v>4</v>
      </c>
      <c r="BK73" s="99">
        <v>2236.7999999999997</v>
      </c>
      <c r="BL73" s="99">
        <v>3</v>
      </c>
      <c r="BM73" s="99">
        <v>1677.6</v>
      </c>
      <c r="BN73" s="99">
        <v>4</v>
      </c>
      <c r="BO73" s="99">
        <v>2236.7999999999997</v>
      </c>
      <c r="BP73" s="99">
        <v>4</v>
      </c>
      <c r="BQ73" s="99">
        <v>2236.7999999999997</v>
      </c>
      <c r="BR73" s="99">
        <v>5</v>
      </c>
      <c r="BS73" s="99">
        <v>2795.9999999999995</v>
      </c>
      <c r="BT73" s="99">
        <v>6</v>
      </c>
      <c r="BU73" s="99">
        <v>3355.2</v>
      </c>
      <c r="BV73" s="99">
        <v>3</v>
      </c>
      <c r="BW73" s="99">
        <v>1677.6</v>
      </c>
      <c r="BX73" s="99">
        <v>4</v>
      </c>
      <c r="BY73" s="99">
        <v>2236.7999999999997</v>
      </c>
      <c r="BZ73" s="99">
        <v>6</v>
      </c>
      <c r="CA73" s="99">
        <v>3355.2</v>
      </c>
      <c r="CB73" s="99">
        <v>6</v>
      </c>
      <c r="CC73" s="99">
        <v>3355.2</v>
      </c>
      <c r="CD73" s="99">
        <v>6</v>
      </c>
      <c r="CE73" s="99">
        <v>3355.2</v>
      </c>
      <c r="CF73" s="99">
        <v>6</v>
      </c>
      <c r="CG73" s="99">
        <v>3355.2</v>
      </c>
      <c r="CH73" s="99">
        <v>4</v>
      </c>
      <c r="CI73" s="99">
        <v>2236.7999999999997</v>
      </c>
      <c r="CJ73" s="99">
        <v>3</v>
      </c>
      <c r="CK73" s="99">
        <v>1677.6</v>
      </c>
      <c r="CL73" s="99">
        <v>4</v>
      </c>
      <c r="CM73" s="99">
        <v>2236.7999999999997</v>
      </c>
      <c r="CN73" s="99">
        <v>6</v>
      </c>
      <c r="CO73" s="99">
        <v>3355.2</v>
      </c>
      <c r="CP73" s="99">
        <v>3</v>
      </c>
      <c r="CQ73" s="99">
        <v>1677.6</v>
      </c>
      <c r="CR73" s="99">
        <v>3</v>
      </c>
      <c r="CS73" s="99">
        <v>1677.6</v>
      </c>
      <c r="CT73" s="99">
        <v>5</v>
      </c>
      <c r="CU73" s="99">
        <v>2795.9999999999995</v>
      </c>
    </row>
    <row r="74" spans="2:99">
      <c r="C74" s="98" t="s">
        <v>239</v>
      </c>
      <c r="D74" s="99">
        <v>0</v>
      </c>
      <c r="E74" s="99">
        <v>0</v>
      </c>
      <c r="F74" s="99">
        <v>0</v>
      </c>
      <c r="G74" s="99">
        <v>0</v>
      </c>
      <c r="H74" s="99">
        <v>0</v>
      </c>
      <c r="I74" s="99">
        <v>0</v>
      </c>
      <c r="J74" s="99">
        <v>4</v>
      </c>
      <c r="K74" s="99">
        <v>1612.8</v>
      </c>
      <c r="L74" s="99">
        <v>4</v>
      </c>
      <c r="M74" s="99">
        <v>1612.8</v>
      </c>
      <c r="N74" s="99">
        <v>6</v>
      </c>
      <c r="O74" s="99">
        <v>2419.1999999999998</v>
      </c>
      <c r="P74" s="99">
        <v>6</v>
      </c>
      <c r="Q74" s="99">
        <v>2419.1999999999998</v>
      </c>
      <c r="R74" s="99">
        <v>5</v>
      </c>
      <c r="S74" s="99">
        <v>2016</v>
      </c>
      <c r="T74" s="99">
        <v>6</v>
      </c>
      <c r="U74" s="99">
        <v>2419.1999999999998</v>
      </c>
      <c r="V74" s="99">
        <v>6</v>
      </c>
      <c r="W74" s="99">
        <v>2419.1999999999998</v>
      </c>
      <c r="X74" s="99">
        <v>3</v>
      </c>
      <c r="Y74" s="99">
        <v>1209.5999999999999</v>
      </c>
      <c r="Z74" s="99">
        <v>4</v>
      </c>
      <c r="AA74" s="99">
        <v>1612.8</v>
      </c>
      <c r="AB74" s="99">
        <v>4</v>
      </c>
      <c r="AC74" s="99">
        <v>1612.8</v>
      </c>
      <c r="AD74" s="99">
        <v>4</v>
      </c>
      <c r="AE74" s="99">
        <v>1612.8</v>
      </c>
      <c r="AF74" s="99">
        <v>5</v>
      </c>
      <c r="AG74" s="99">
        <v>2016</v>
      </c>
      <c r="AH74" s="99">
        <v>3</v>
      </c>
      <c r="AI74" s="99">
        <v>1209.5999999999999</v>
      </c>
      <c r="AJ74" s="99">
        <v>4</v>
      </c>
      <c r="AK74" s="99">
        <v>1612.8</v>
      </c>
      <c r="AL74" s="99">
        <v>4</v>
      </c>
      <c r="AM74" s="99">
        <v>1612.8</v>
      </c>
      <c r="AN74" s="99">
        <v>4</v>
      </c>
      <c r="AO74" s="99">
        <v>1612.8</v>
      </c>
      <c r="AP74" s="99">
        <v>5</v>
      </c>
      <c r="AQ74" s="99">
        <v>2016</v>
      </c>
      <c r="AR74" s="99">
        <v>6</v>
      </c>
      <c r="AS74" s="99">
        <v>2419.1999999999998</v>
      </c>
      <c r="AT74" s="99">
        <v>3</v>
      </c>
      <c r="AU74" s="99">
        <v>1209.5999999999999</v>
      </c>
      <c r="AV74" s="99">
        <v>4</v>
      </c>
      <c r="AW74" s="99">
        <v>1612.8</v>
      </c>
      <c r="AX74" s="99">
        <v>5</v>
      </c>
      <c r="AY74" s="99">
        <v>2016</v>
      </c>
      <c r="AZ74" s="99">
        <v>3</v>
      </c>
      <c r="BA74" s="99">
        <v>1209.5999999999999</v>
      </c>
      <c r="BB74" s="99">
        <v>4</v>
      </c>
      <c r="BC74" s="99">
        <v>1612.8</v>
      </c>
      <c r="BD74" s="99">
        <v>5</v>
      </c>
      <c r="BE74" s="99">
        <v>2016</v>
      </c>
      <c r="BF74" s="99">
        <v>5</v>
      </c>
      <c r="BG74" s="99">
        <v>2016</v>
      </c>
      <c r="BH74" s="99">
        <v>5</v>
      </c>
      <c r="BI74" s="99">
        <v>2016</v>
      </c>
      <c r="BJ74" s="99">
        <v>5</v>
      </c>
      <c r="BK74" s="99">
        <v>2016</v>
      </c>
      <c r="BL74" s="99">
        <v>3</v>
      </c>
      <c r="BM74" s="99">
        <v>1209.5999999999999</v>
      </c>
      <c r="BN74" s="99">
        <v>4</v>
      </c>
      <c r="BO74" s="99">
        <v>1612.8</v>
      </c>
      <c r="BP74" s="99">
        <v>4</v>
      </c>
      <c r="BQ74" s="99">
        <v>1612.8</v>
      </c>
      <c r="BR74" s="99">
        <v>5</v>
      </c>
      <c r="BS74" s="99">
        <v>2016</v>
      </c>
      <c r="BT74" s="99">
        <v>5</v>
      </c>
      <c r="BU74" s="99">
        <v>2016</v>
      </c>
      <c r="BV74" s="99">
        <v>3</v>
      </c>
      <c r="BW74" s="99">
        <v>1209.5999999999999</v>
      </c>
      <c r="BX74" s="99">
        <v>4</v>
      </c>
      <c r="BY74" s="99">
        <v>1612.8</v>
      </c>
      <c r="BZ74" s="99">
        <v>6</v>
      </c>
      <c r="CA74" s="99">
        <v>2419.1999999999998</v>
      </c>
      <c r="CB74" s="99">
        <v>6</v>
      </c>
      <c r="CC74" s="99">
        <v>2419.1999999999998</v>
      </c>
      <c r="CD74" s="99">
        <v>5</v>
      </c>
      <c r="CE74" s="99">
        <v>2016</v>
      </c>
      <c r="CF74" s="99">
        <v>5</v>
      </c>
      <c r="CG74" s="99">
        <v>2016</v>
      </c>
      <c r="CH74" s="99">
        <v>4</v>
      </c>
      <c r="CI74" s="99">
        <v>1612.8</v>
      </c>
      <c r="CJ74" s="99">
        <v>4</v>
      </c>
      <c r="CK74" s="99">
        <v>1612.8</v>
      </c>
      <c r="CL74" s="99">
        <v>4</v>
      </c>
      <c r="CM74" s="99">
        <v>1612.8</v>
      </c>
      <c r="CN74" s="99">
        <v>6</v>
      </c>
      <c r="CO74" s="99">
        <v>2419.1999999999998</v>
      </c>
      <c r="CP74" s="99">
        <v>4</v>
      </c>
      <c r="CQ74" s="99">
        <v>1612.8</v>
      </c>
      <c r="CR74" s="99">
        <v>3</v>
      </c>
      <c r="CS74" s="99">
        <v>1209.5999999999999</v>
      </c>
      <c r="CT74" s="99">
        <v>5</v>
      </c>
      <c r="CU74" s="99">
        <v>2016</v>
      </c>
    </row>
    <row r="75" spans="2:99">
      <c r="C75" s="98" t="s">
        <v>240</v>
      </c>
      <c r="D75" s="99">
        <v>0</v>
      </c>
      <c r="E75" s="99">
        <v>0</v>
      </c>
      <c r="F75" s="99">
        <v>0</v>
      </c>
      <c r="G75" s="99">
        <v>0</v>
      </c>
      <c r="H75" s="99">
        <v>0</v>
      </c>
      <c r="I75" s="99">
        <v>0</v>
      </c>
      <c r="J75" s="99">
        <v>4</v>
      </c>
      <c r="K75" s="99">
        <v>2572.7999999999997</v>
      </c>
      <c r="L75" s="99">
        <v>4</v>
      </c>
      <c r="M75" s="99">
        <v>2572.7999999999997</v>
      </c>
      <c r="N75" s="99">
        <v>5</v>
      </c>
      <c r="O75" s="99">
        <v>3215.9999999999995</v>
      </c>
      <c r="P75" s="99">
        <v>6</v>
      </c>
      <c r="Q75" s="99">
        <v>3859.2</v>
      </c>
      <c r="R75" s="99">
        <v>5</v>
      </c>
      <c r="S75" s="99">
        <v>3215.9999999999995</v>
      </c>
      <c r="T75" s="99">
        <v>5</v>
      </c>
      <c r="U75" s="99">
        <v>3215.9999999999995</v>
      </c>
      <c r="V75" s="99">
        <v>5</v>
      </c>
      <c r="W75" s="99">
        <v>3215.9999999999995</v>
      </c>
      <c r="X75" s="99">
        <v>3</v>
      </c>
      <c r="Y75" s="99">
        <v>1929.6</v>
      </c>
      <c r="Z75" s="99">
        <v>5</v>
      </c>
      <c r="AA75" s="99">
        <v>3215.9999999999995</v>
      </c>
      <c r="AB75" s="99">
        <v>4</v>
      </c>
      <c r="AC75" s="99">
        <v>2572.7999999999997</v>
      </c>
      <c r="AD75" s="99">
        <v>5</v>
      </c>
      <c r="AE75" s="99">
        <v>3215.9999999999995</v>
      </c>
      <c r="AF75" s="99">
        <v>5</v>
      </c>
      <c r="AG75" s="99">
        <v>3215.9999999999995</v>
      </c>
      <c r="AH75" s="99">
        <v>3</v>
      </c>
      <c r="AI75" s="99">
        <v>1929.6</v>
      </c>
      <c r="AJ75" s="99">
        <v>5</v>
      </c>
      <c r="AK75" s="99">
        <v>3215.9999999999995</v>
      </c>
      <c r="AL75" s="99">
        <v>4</v>
      </c>
      <c r="AM75" s="99">
        <v>2572.7999999999997</v>
      </c>
      <c r="AN75" s="99">
        <v>4</v>
      </c>
      <c r="AO75" s="99">
        <v>2572.7999999999997</v>
      </c>
      <c r="AP75" s="99">
        <v>5</v>
      </c>
      <c r="AQ75" s="99">
        <v>3215.9999999999995</v>
      </c>
      <c r="AR75" s="99">
        <v>5</v>
      </c>
      <c r="AS75" s="99">
        <v>3215.9999999999995</v>
      </c>
      <c r="AT75" s="99">
        <v>3</v>
      </c>
      <c r="AU75" s="99">
        <v>1929.6</v>
      </c>
      <c r="AV75" s="99">
        <v>4</v>
      </c>
      <c r="AW75" s="99">
        <v>2572.7999999999997</v>
      </c>
      <c r="AX75" s="99">
        <v>6</v>
      </c>
      <c r="AY75" s="99">
        <v>3859.2</v>
      </c>
      <c r="AZ75" s="99">
        <v>3</v>
      </c>
      <c r="BA75" s="99">
        <v>1929.6</v>
      </c>
      <c r="BB75" s="99">
        <v>4</v>
      </c>
      <c r="BC75" s="99">
        <v>2572.7999999999997</v>
      </c>
      <c r="BD75" s="99">
        <v>6</v>
      </c>
      <c r="BE75" s="99">
        <v>3859.2</v>
      </c>
      <c r="BF75" s="99">
        <v>5</v>
      </c>
      <c r="BG75" s="99">
        <v>3215.9999999999995</v>
      </c>
      <c r="BH75" s="99">
        <v>5</v>
      </c>
      <c r="BI75" s="99">
        <v>3215.9999999999995</v>
      </c>
      <c r="BJ75" s="99">
        <v>4</v>
      </c>
      <c r="BK75" s="99">
        <v>2572.7999999999997</v>
      </c>
      <c r="BL75" s="99">
        <v>3</v>
      </c>
      <c r="BM75" s="99">
        <v>1929.6</v>
      </c>
      <c r="BN75" s="99">
        <v>4</v>
      </c>
      <c r="BO75" s="99">
        <v>2572.7999999999997</v>
      </c>
      <c r="BP75" s="99">
        <v>4</v>
      </c>
      <c r="BQ75" s="99">
        <v>2572.7999999999997</v>
      </c>
      <c r="BR75" s="99">
        <v>4</v>
      </c>
      <c r="BS75" s="99">
        <v>2572.7999999999997</v>
      </c>
      <c r="BT75" s="99">
        <v>6</v>
      </c>
      <c r="BU75" s="99">
        <v>3859.2</v>
      </c>
      <c r="BV75" s="99">
        <v>3</v>
      </c>
      <c r="BW75" s="99">
        <v>1929.6</v>
      </c>
      <c r="BX75" s="99">
        <v>4</v>
      </c>
      <c r="BY75" s="99">
        <v>2572.7999999999997</v>
      </c>
      <c r="BZ75" s="99">
        <v>6</v>
      </c>
      <c r="CA75" s="99">
        <v>3859.2</v>
      </c>
      <c r="CB75" s="99">
        <v>6</v>
      </c>
      <c r="CC75" s="99">
        <v>3859.2</v>
      </c>
      <c r="CD75" s="99">
        <v>5</v>
      </c>
      <c r="CE75" s="99">
        <v>3215.9999999999995</v>
      </c>
      <c r="CF75" s="99">
        <v>5</v>
      </c>
      <c r="CG75" s="99">
        <v>3215.9999999999995</v>
      </c>
      <c r="CH75" s="99">
        <v>4</v>
      </c>
      <c r="CI75" s="99">
        <v>2572.7999999999997</v>
      </c>
      <c r="CJ75" s="99">
        <v>3</v>
      </c>
      <c r="CK75" s="99">
        <v>1929.6</v>
      </c>
      <c r="CL75" s="99">
        <v>3</v>
      </c>
      <c r="CM75" s="99">
        <v>1929.6</v>
      </c>
      <c r="CN75" s="99">
        <v>6</v>
      </c>
      <c r="CO75" s="99">
        <v>3859.2</v>
      </c>
      <c r="CP75" s="99">
        <v>4</v>
      </c>
      <c r="CQ75" s="99">
        <v>2572.7999999999997</v>
      </c>
      <c r="CR75" s="99">
        <v>4</v>
      </c>
      <c r="CS75" s="99">
        <v>2572.7999999999997</v>
      </c>
      <c r="CT75" s="99">
        <v>5</v>
      </c>
      <c r="CU75" s="99">
        <v>3215.9999999999995</v>
      </c>
    </row>
    <row r="76" spans="2:99">
      <c r="C76" s="98" t="s">
        <v>241</v>
      </c>
      <c r="D76" s="99">
        <v>0</v>
      </c>
      <c r="E76" s="99">
        <v>0</v>
      </c>
      <c r="F76" s="99">
        <v>0</v>
      </c>
      <c r="G76" s="99">
        <v>0</v>
      </c>
      <c r="H76" s="99">
        <v>0</v>
      </c>
      <c r="I76" s="99">
        <v>0</v>
      </c>
      <c r="J76" s="99">
        <v>4</v>
      </c>
      <c r="K76" s="99">
        <v>3115.2</v>
      </c>
      <c r="L76" s="99">
        <v>4</v>
      </c>
      <c r="M76" s="99">
        <v>3115.2</v>
      </c>
      <c r="N76" s="99">
        <v>5</v>
      </c>
      <c r="O76" s="99">
        <v>3894</v>
      </c>
      <c r="P76" s="99">
        <v>5</v>
      </c>
      <c r="Q76" s="99">
        <v>3894</v>
      </c>
      <c r="R76" s="99">
        <v>5</v>
      </c>
      <c r="S76" s="99">
        <v>3894</v>
      </c>
      <c r="T76" s="99">
        <v>6</v>
      </c>
      <c r="U76" s="99">
        <v>4672.7999999999993</v>
      </c>
      <c r="V76" s="99">
        <v>5</v>
      </c>
      <c r="W76" s="99">
        <v>3894</v>
      </c>
      <c r="X76" s="99">
        <v>3</v>
      </c>
      <c r="Y76" s="99">
        <v>2336.3999999999996</v>
      </c>
      <c r="Z76" s="99">
        <v>5</v>
      </c>
      <c r="AA76" s="99">
        <v>3894</v>
      </c>
      <c r="AB76" s="99">
        <v>4</v>
      </c>
      <c r="AC76" s="99">
        <v>3115.2</v>
      </c>
      <c r="AD76" s="99">
        <v>5</v>
      </c>
      <c r="AE76" s="99">
        <v>3894</v>
      </c>
      <c r="AF76" s="99">
        <v>5</v>
      </c>
      <c r="AG76" s="99">
        <v>3894</v>
      </c>
      <c r="AH76" s="99">
        <v>3</v>
      </c>
      <c r="AI76" s="99">
        <v>2336.3999999999996</v>
      </c>
      <c r="AJ76" s="99">
        <v>5</v>
      </c>
      <c r="AK76" s="99">
        <v>3894</v>
      </c>
      <c r="AL76" s="99">
        <v>4</v>
      </c>
      <c r="AM76" s="99">
        <v>3115.2</v>
      </c>
      <c r="AN76" s="99">
        <v>5</v>
      </c>
      <c r="AO76" s="99">
        <v>3894</v>
      </c>
      <c r="AP76" s="99">
        <v>6</v>
      </c>
      <c r="AQ76" s="99">
        <v>4672.7999999999993</v>
      </c>
      <c r="AR76" s="99">
        <v>5</v>
      </c>
      <c r="AS76" s="99">
        <v>3894</v>
      </c>
      <c r="AT76" s="99">
        <v>3</v>
      </c>
      <c r="AU76" s="99">
        <v>2336.3999999999996</v>
      </c>
      <c r="AV76" s="99">
        <v>4</v>
      </c>
      <c r="AW76" s="99">
        <v>3115.2</v>
      </c>
      <c r="AX76" s="99">
        <v>5</v>
      </c>
      <c r="AY76" s="99">
        <v>3894</v>
      </c>
      <c r="AZ76" s="99">
        <v>3</v>
      </c>
      <c r="BA76" s="99">
        <v>2336.3999999999996</v>
      </c>
      <c r="BB76" s="99">
        <v>4</v>
      </c>
      <c r="BC76" s="99">
        <v>3115.2</v>
      </c>
      <c r="BD76" s="99">
        <v>5</v>
      </c>
      <c r="BE76" s="99">
        <v>3894</v>
      </c>
      <c r="BF76" s="99">
        <v>5</v>
      </c>
      <c r="BG76" s="99">
        <v>3894</v>
      </c>
      <c r="BH76" s="99">
        <v>5</v>
      </c>
      <c r="BI76" s="99">
        <v>3894</v>
      </c>
      <c r="BJ76" s="99">
        <v>5</v>
      </c>
      <c r="BK76" s="99">
        <v>3894</v>
      </c>
      <c r="BL76" s="99">
        <v>3</v>
      </c>
      <c r="BM76" s="99">
        <v>2336.3999999999996</v>
      </c>
      <c r="BN76" s="99">
        <v>3</v>
      </c>
      <c r="BO76" s="99">
        <v>2336.3999999999996</v>
      </c>
      <c r="BP76" s="99">
        <v>4</v>
      </c>
      <c r="BQ76" s="99">
        <v>3115.2</v>
      </c>
      <c r="BR76" s="99">
        <v>5</v>
      </c>
      <c r="BS76" s="99">
        <v>3894</v>
      </c>
      <c r="BT76" s="99">
        <v>5</v>
      </c>
      <c r="BU76" s="99">
        <v>3894</v>
      </c>
      <c r="BV76" s="99">
        <v>3</v>
      </c>
      <c r="BW76" s="99">
        <v>2336.3999999999996</v>
      </c>
      <c r="BX76" s="99">
        <v>4</v>
      </c>
      <c r="BY76" s="99">
        <v>3115.2</v>
      </c>
      <c r="BZ76" s="99">
        <v>6</v>
      </c>
      <c r="CA76" s="99">
        <v>4672.7999999999993</v>
      </c>
      <c r="CB76" s="99">
        <v>6</v>
      </c>
      <c r="CC76" s="99">
        <v>4672.7999999999993</v>
      </c>
      <c r="CD76" s="99">
        <v>5</v>
      </c>
      <c r="CE76" s="99">
        <v>3894</v>
      </c>
      <c r="CF76" s="99">
        <v>6</v>
      </c>
      <c r="CG76" s="99">
        <v>4672.7999999999993</v>
      </c>
      <c r="CH76" s="99">
        <v>4</v>
      </c>
      <c r="CI76" s="99">
        <v>3115.2</v>
      </c>
      <c r="CJ76" s="99">
        <v>3</v>
      </c>
      <c r="CK76" s="99">
        <v>2336.3999999999996</v>
      </c>
      <c r="CL76" s="99">
        <v>3</v>
      </c>
      <c r="CM76" s="99">
        <v>2336.3999999999996</v>
      </c>
      <c r="CN76" s="99">
        <v>6</v>
      </c>
      <c r="CO76" s="99">
        <v>4672.7999999999993</v>
      </c>
      <c r="CP76" s="99">
        <v>3</v>
      </c>
      <c r="CQ76" s="99">
        <v>2336.3999999999996</v>
      </c>
      <c r="CR76" s="99">
        <v>3</v>
      </c>
      <c r="CS76" s="99">
        <v>2336.3999999999996</v>
      </c>
      <c r="CT76" s="99">
        <v>4</v>
      </c>
      <c r="CU76" s="99">
        <v>3115.2</v>
      </c>
    </row>
    <row r="77" spans="2:99">
      <c r="C77" s="98" t="s">
        <v>242</v>
      </c>
      <c r="D77" s="99">
        <v>0</v>
      </c>
      <c r="E77" s="99">
        <v>0</v>
      </c>
      <c r="F77" s="99">
        <v>0</v>
      </c>
      <c r="G77" s="99">
        <v>0</v>
      </c>
      <c r="H77" s="99">
        <v>0</v>
      </c>
      <c r="I77" s="99">
        <v>0</v>
      </c>
      <c r="J77" s="99">
        <v>4</v>
      </c>
      <c r="K77" s="99">
        <v>1113.5999999999999</v>
      </c>
      <c r="L77" s="99">
        <v>4</v>
      </c>
      <c r="M77" s="99">
        <v>1113.5999999999999</v>
      </c>
      <c r="N77" s="99">
        <v>6</v>
      </c>
      <c r="O77" s="99">
        <v>1670.3999999999999</v>
      </c>
      <c r="P77" s="99">
        <v>6</v>
      </c>
      <c r="Q77" s="99">
        <v>1670.3999999999999</v>
      </c>
      <c r="R77" s="99">
        <v>5</v>
      </c>
      <c r="S77" s="99">
        <v>1392</v>
      </c>
      <c r="T77" s="99">
        <v>6</v>
      </c>
      <c r="U77" s="99">
        <v>1670.3999999999999</v>
      </c>
      <c r="V77" s="99">
        <v>5</v>
      </c>
      <c r="W77" s="99">
        <v>1392</v>
      </c>
      <c r="X77" s="99">
        <v>3</v>
      </c>
      <c r="Y77" s="99">
        <v>835.19999999999993</v>
      </c>
      <c r="Z77" s="99">
        <v>4</v>
      </c>
      <c r="AA77" s="99">
        <v>1113.5999999999999</v>
      </c>
      <c r="AB77" s="99">
        <v>4</v>
      </c>
      <c r="AC77" s="99">
        <v>1113.5999999999999</v>
      </c>
      <c r="AD77" s="99">
        <v>4</v>
      </c>
      <c r="AE77" s="99">
        <v>1113.5999999999999</v>
      </c>
      <c r="AF77" s="99">
        <v>6</v>
      </c>
      <c r="AG77" s="99">
        <v>1670.3999999999999</v>
      </c>
      <c r="AH77" s="99">
        <v>3</v>
      </c>
      <c r="AI77" s="99">
        <v>835.19999999999993</v>
      </c>
      <c r="AJ77" s="99">
        <v>5</v>
      </c>
      <c r="AK77" s="99">
        <v>1392</v>
      </c>
      <c r="AL77" s="99">
        <v>4</v>
      </c>
      <c r="AM77" s="99">
        <v>1113.5999999999999</v>
      </c>
      <c r="AN77" s="99">
        <v>4</v>
      </c>
      <c r="AO77" s="99">
        <v>1113.5999999999999</v>
      </c>
      <c r="AP77" s="99">
        <v>6</v>
      </c>
      <c r="AQ77" s="99">
        <v>1670.3999999999999</v>
      </c>
      <c r="AR77" s="99">
        <v>5</v>
      </c>
      <c r="AS77" s="99">
        <v>1392</v>
      </c>
      <c r="AT77" s="99">
        <v>3</v>
      </c>
      <c r="AU77" s="99">
        <v>835.19999999999993</v>
      </c>
      <c r="AV77" s="99">
        <v>4</v>
      </c>
      <c r="AW77" s="99">
        <v>1113.5999999999999</v>
      </c>
      <c r="AX77" s="99">
        <v>5</v>
      </c>
      <c r="AY77" s="99">
        <v>1392</v>
      </c>
      <c r="AZ77" s="99">
        <v>3</v>
      </c>
      <c r="BA77" s="99">
        <v>835.19999999999993</v>
      </c>
      <c r="BB77" s="99">
        <v>4</v>
      </c>
      <c r="BC77" s="99">
        <v>1113.5999999999999</v>
      </c>
      <c r="BD77" s="99">
        <v>6</v>
      </c>
      <c r="BE77" s="99">
        <v>1670.3999999999999</v>
      </c>
      <c r="BF77" s="99">
        <v>5</v>
      </c>
      <c r="BG77" s="99">
        <v>1392</v>
      </c>
      <c r="BH77" s="99">
        <v>4</v>
      </c>
      <c r="BI77" s="99">
        <v>1113.5999999999999</v>
      </c>
      <c r="BJ77" s="99">
        <v>5</v>
      </c>
      <c r="BK77" s="99">
        <v>1392</v>
      </c>
      <c r="BL77" s="99">
        <v>3</v>
      </c>
      <c r="BM77" s="99">
        <v>835.19999999999993</v>
      </c>
      <c r="BN77" s="99">
        <v>4</v>
      </c>
      <c r="BO77" s="99">
        <v>1113.5999999999999</v>
      </c>
      <c r="BP77" s="99">
        <v>4</v>
      </c>
      <c r="BQ77" s="99">
        <v>1113.5999999999999</v>
      </c>
      <c r="BR77" s="99">
        <v>5</v>
      </c>
      <c r="BS77" s="99">
        <v>1392</v>
      </c>
      <c r="BT77" s="99">
        <v>5</v>
      </c>
      <c r="BU77" s="99">
        <v>1392</v>
      </c>
      <c r="BV77" s="99">
        <v>3</v>
      </c>
      <c r="BW77" s="99">
        <v>835.19999999999993</v>
      </c>
      <c r="BX77" s="99">
        <v>4</v>
      </c>
      <c r="BY77" s="99">
        <v>1113.5999999999999</v>
      </c>
      <c r="BZ77" s="99">
        <v>6</v>
      </c>
      <c r="CA77" s="99">
        <v>1670.3999999999999</v>
      </c>
      <c r="CB77" s="99">
        <v>6</v>
      </c>
      <c r="CC77" s="99">
        <v>1670.3999999999999</v>
      </c>
      <c r="CD77" s="99">
        <v>5</v>
      </c>
      <c r="CE77" s="99">
        <v>1392</v>
      </c>
      <c r="CF77" s="99">
        <v>6</v>
      </c>
      <c r="CG77" s="99">
        <v>1670.3999999999999</v>
      </c>
      <c r="CH77" s="99">
        <v>4</v>
      </c>
      <c r="CI77" s="99">
        <v>1113.5999999999999</v>
      </c>
      <c r="CJ77" s="99">
        <v>3</v>
      </c>
      <c r="CK77" s="99">
        <v>835.19999999999993</v>
      </c>
      <c r="CL77" s="99">
        <v>3</v>
      </c>
      <c r="CM77" s="99">
        <v>835.19999999999993</v>
      </c>
      <c r="CN77" s="99">
        <v>6</v>
      </c>
      <c r="CO77" s="99">
        <v>1670.3999999999999</v>
      </c>
      <c r="CP77" s="99">
        <v>3</v>
      </c>
      <c r="CQ77" s="99">
        <v>835.19999999999993</v>
      </c>
      <c r="CR77" s="99">
        <v>4</v>
      </c>
      <c r="CS77" s="99">
        <v>1113.5999999999999</v>
      </c>
      <c r="CT77" s="99">
        <v>5</v>
      </c>
      <c r="CU77" s="99">
        <v>1392</v>
      </c>
    </row>
    <row r="78" spans="2:99">
      <c r="C78" s="98" t="s">
        <v>243</v>
      </c>
      <c r="D78" s="99">
        <v>0</v>
      </c>
      <c r="E78" s="99">
        <v>0</v>
      </c>
      <c r="F78" s="99">
        <v>0</v>
      </c>
      <c r="G78" s="99">
        <v>0</v>
      </c>
      <c r="H78" s="99">
        <v>0</v>
      </c>
      <c r="I78" s="99">
        <v>0</v>
      </c>
      <c r="J78" s="99">
        <v>4</v>
      </c>
      <c r="K78" s="99">
        <v>2208</v>
      </c>
      <c r="L78" s="99">
        <v>4</v>
      </c>
      <c r="M78" s="99">
        <v>2208</v>
      </c>
      <c r="N78" s="99">
        <v>6</v>
      </c>
      <c r="O78" s="99">
        <v>3312</v>
      </c>
      <c r="P78" s="99">
        <v>6</v>
      </c>
      <c r="Q78" s="99">
        <v>3312</v>
      </c>
      <c r="R78" s="99">
        <v>5</v>
      </c>
      <c r="S78" s="99">
        <v>2760</v>
      </c>
      <c r="T78" s="99">
        <v>5</v>
      </c>
      <c r="U78" s="99">
        <v>2760</v>
      </c>
      <c r="V78" s="99">
        <v>5</v>
      </c>
      <c r="W78" s="99">
        <v>2760</v>
      </c>
      <c r="X78" s="99">
        <v>3</v>
      </c>
      <c r="Y78" s="99">
        <v>1656</v>
      </c>
      <c r="Z78" s="99">
        <v>5</v>
      </c>
      <c r="AA78" s="99">
        <v>2760</v>
      </c>
      <c r="AB78" s="99">
        <v>4</v>
      </c>
      <c r="AC78" s="99">
        <v>2208</v>
      </c>
      <c r="AD78" s="99">
        <v>4</v>
      </c>
      <c r="AE78" s="99">
        <v>2208</v>
      </c>
      <c r="AF78" s="99">
        <v>5</v>
      </c>
      <c r="AG78" s="99">
        <v>2760</v>
      </c>
      <c r="AH78" s="99">
        <v>3</v>
      </c>
      <c r="AI78" s="99">
        <v>1656</v>
      </c>
      <c r="AJ78" s="99">
        <v>5</v>
      </c>
      <c r="AK78" s="99">
        <v>2760</v>
      </c>
      <c r="AL78" s="99">
        <v>4</v>
      </c>
      <c r="AM78" s="99">
        <v>2208</v>
      </c>
      <c r="AN78" s="99">
        <v>5</v>
      </c>
      <c r="AO78" s="99">
        <v>2760</v>
      </c>
      <c r="AP78" s="99">
        <v>6</v>
      </c>
      <c r="AQ78" s="99">
        <v>3312</v>
      </c>
      <c r="AR78" s="99">
        <v>5</v>
      </c>
      <c r="AS78" s="99">
        <v>2760</v>
      </c>
      <c r="AT78" s="99">
        <v>3</v>
      </c>
      <c r="AU78" s="99">
        <v>1656</v>
      </c>
      <c r="AV78" s="99">
        <v>4</v>
      </c>
      <c r="AW78" s="99">
        <v>2208</v>
      </c>
      <c r="AX78" s="99">
        <v>6</v>
      </c>
      <c r="AY78" s="99">
        <v>3312</v>
      </c>
      <c r="AZ78" s="99">
        <v>3</v>
      </c>
      <c r="BA78" s="99">
        <v>1656</v>
      </c>
      <c r="BB78" s="99">
        <v>4</v>
      </c>
      <c r="BC78" s="99">
        <v>2208</v>
      </c>
      <c r="BD78" s="99">
        <v>5</v>
      </c>
      <c r="BE78" s="99">
        <v>2760</v>
      </c>
      <c r="BF78" s="99">
        <v>5</v>
      </c>
      <c r="BG78" s="99">
        <v>2760</v>
      </c>
      <c r="BH78" s="99">
        <v>4</v>
      </c>
      <c r="BI78" s="99">
        <v>2208</v>
      </c>
      <c r="BJ78" s="99">
        <v>4</v>
      </c>
      <c r="BK78" s="99">
        <v>2208</v>
      </c>
      <c r="BL78" s="99">
        <v>3</v>
      </c>
      <c r="BM78" s="99">
        <v>1656</v>
      </c>
      <c r="BN78" s="99">
        <v>4</v>
      </c>
      <c r="BO78" s="99">
        <v>2208</v>
      </c>
      <c r="BP78" s="99">
        <v>4</v>
      </c>
      <c r="BQ78" s="99">
        <v>2208</v>
      </c>
      <c r="BR78" s="99">
        <v>4</v>
      </c>
      <c r="BS78" s="99">
        <v>2208</v>
      </c>
      <c r="BT78" s="99">
        <v>6</v>
      </c>
      <c r="BU78" s="99">
        <v>3312</v>
      </c>
      <c r="BV78" s="99">
        <v>3</v>
      </c>
      <c r="BW78" s="99">
        <v>1656</v>
      </c>
      <c r="BX78" s="99">
        <v>4</v>
      </c>
      <c r="BY78" s="99">
        <v>2208</v>
      </c>
      <c r="BZ78" s="99">
        <v>6</v>
      </c>
      <c r="CA78" s="99">
        <v>3312</v>
      </c>
      <c r="CB78" s="99">
        <v>6</v>
      </c>
      <c r="CC78" s="99">
        <v>3312</v>
      </c>
      <c r="CD78" s="99">
        <v>5</v>
      </c>
      <c r="CE78" s="99">
        <v>2760</v>
      </c>
      <c r="CF78" s="99">
        <v>6</v>
      </c>
      <c r="CG78" s="99">
        <v>3312</v>
      </c>
      <c r="CH78" s="99">
        <v>4</v>
      </c>
      <c r="CI78" s="99">
        <v>2208</v>
      </c>
      <c r="CJ78" s="99">
        <v>3</v>
      </c>
      <c r="CK78" s="99">
        <v>1656</v>
      </c>
      <c r="CL78" s="99">
        <v>4</v>
      </c>
      <c r="CM78" s="99">
        <v>2208</v>
      </c>
      <c r="CN78" s="99">
        <v>7</v>
      </c>
      <c r="CO78" s="99">
        <v>3864</v>
      </c>
      <c r="CP78" s="99">
        <v>4</v>
      </c>
      <c r="CQ78" s="99">
        <v>2208</v>
      </c>
      <c r="CR78" s="99">
        <v>3</v>
      </c>
      <c r="CS78" s="99">
        <v>1656</v>
      </c>
      <c r="CT78" s="99">
        <v>5</v>
      </c>
      <c r="CU78" s="99">
        <v>2760</v>
      </c>
    </row>
    <row r="79" spans="2:99">
      <c r="C79" s="98" t="s">
        <v>244</v>
      </c>
      <c r="D79" s="99">
        <v>0</v>
      </c>
      <c r="E79" s="99">
        <v>0</v>
      </c>
      <c r="F79" s="99">
        <v>0</v>
      </c>
      <c r="G79" s="99">
        <v>0</v>
      </c>
      <c r="H79" s="99">
        <v>0</v>
      </c>
      <c r="I79" s="99">
        <v>0</v>
      </c>
      <c r="J79" s="99">
        <v>4</v>
      </c>
      <c r="K79" s="99">
        <v>3028.7999999999997</v>
      </c>
      <c r="L79" s="99">
        <v>4</v>
      </c>
      <c r="M79" s="99">
        <v>3028.7999999999997</v>
      </c>
      <c r="N79" s="99">
        <v>5</v>
      </c>
      <c r="O79" s="99">
        <v>3785.9999999999995</v>
      </c>
      <c r="P79" s="99">
        <v>6</v>
      </c>
      <c r="Q79" s="99">
        <v>4543.2</v>
      </c>
      <c r="R79" s="99">
        <v>5</v>
      </c>
      <c r="S79" s="99">
        <v>3785.9999999999995</v>
      </c>
      <c r="T79" s="99">
        <v>6</v>
      </c>
      <c r="U79" s="99">
        <v>4543.2</v>
      </c>
      <c r="V79" s="99">
        <v>5</v>
      </c>
      <c r="W79" s="99">
        <v>3785.9999999999995</v>
      </c>
      <c r="X79" s="99">
        <v>3</v>
      </c>
      <c r="Y79" s="99">
        <v>2271.6</v>
      </c>
      <c r="Z79" s="99">
        <v>4</v>
      </c>
      <c r="AA79" s="99">
        <v>3028.7999999999997</v>
      </c>
      <c r="AB79" s="99">
        <v>4</v>
      </c>
      <c r="AC79" s="99">
        <v>3028.7999999999997</v>
      </c>
      <c r="AD79" s="99">
        <v>5</v>
      </c>
      <c r="AE79" s="99">
        <v>3785.9999999999995</v>
      </c>
      <c r="AF79" s="99">
        <v>5</v>
      </c>
      <c r="AG79" s="99">
        <v>3785.9999999999995</v>
      </c>
      <c r="AH79" s="99">
        <v>3</v>
      </c>
      <c r="AI79" s="99">
        <v>2271.6</v>
      </c>
      <c r="AJ79" s="99">
        <v>5</v>
      </c>
      <c r="AK79" s="99">
        <v>3785.9999999999995</v>
      </c>
      <c r="AL79" s="99">
        <v>4</v>
      </c>
      <c r="AM79" s="99">
        <v>3028.7999999999997</v>
      </c>
      <c r="AN79" s="99">
        <v>5</v>
      </c>
      <c r="AO79" s="99">
        <v>3785.9999999999995</v>
      </c>
      <c r="AP79" s="99">
        <v>5</v>
      </c>
      <c r="AQ79" s="99">
        <v>3785.9999999999995</v>
      </c>
      <c r="AR79" s="99">
        <v>6</v>
      </c>
      <c r="AS79" s="99">
        <v>4543.2</v>
      </c>
      <c r="AT79" s="99">
        <v>3</v>
      </c>
      <c r="AU79" s="99">
        <v>2271.6</v>
      </c>
      <c r="AV79" s="99">
        <v>4</v>
      </c>
      <c r="AW79" s="99">
        <v>3028.7999999999997</v>
      </c>
      <c r="AX79" s="99">
        <v>6</v>
      </c>
      <c r="AY79" s="99">
        <v>4543.2</v>
      </c>
      <c r="AZ79" s="99">
        <v>3</v>
      </c>
      <c r="BA79" s="99">
        <v>2271.6</v>
      </c>
      <c r="BB79" s="99">
        <v>4</v>
      </c>
      <c r="BC79" s="99">
        <v>3028.7999999999997</v>
      </c>
      <c r="BD79" s="99">
        <v>6</v>
      </c>
      <c r="BE79" s="99">
        <v>4543.2</v>
      </c>
      <c r="BF79" s="99">
        <v>5</v>
      </c>
      <c r="BG79" s="99">
        <v>3785.9999999999995</v>
      </c>
      <c r="BH79" s="99">
        <v>4</v>
      </c>
      <c r="BI79" s="99">
        <v>3028.7999999999997</v>
      </c>
      <c r="BJ79" s="99">
        <v>4</v>
      </c>
      <c r="BK79" s="99">
        <v>3028.7999999999997</v>
      </c>
      <c r="BL79" s="99">
        <v>3</v>
      </c>
      <c r="BM79" s="99">
        <v>2271.6</v>
      </c>
      <c r="BN79" s="99">
        <v>4</v>
      </c>
      <c r="BO79" s="99">
        <v>3028.7999999999997</v>
      </c>
      <c r="BP79" s="99">
        <v>4</v>
      </c>
      <c r="BQ79" s="99">
        <v>3028.7999999999997</v>
      </c>
      <c r="BR79" s="99">
        <v>4</v>
      </c>
      <c r="BS79" s="99">
        <v>3028.7999999999997</v>
      </c>
      <c r="BT79" s="99">
        <v>6</v>
      </c>
      <c r="BU79" s="99">
        <v>4543.2</v>
      </c>
      <c r="BV79" s="99">
        <v>3</v>
      </c>
      <c r="BW79" s="99">
        <v>2271.6</v>
      </c>
      <c r="BX79" s="99">
        <v>5</v>
      </c>
      <c r="BY79" s="99">
        <v>3785.9999999999995</v>
      </c>
      <c r="BZ79" s="99">
        <v>7</v>
      </c>
      <c r="CA79" s="99">
        <v>5300.4</v>
      </c>
      <c r="CB79" s="99">
        <v>6</v>
      </c>
      <c r="CC79" s="99">
        <v>4543.2</v>
      </c>
      <c r="CD79" s="99">
        <v>5</v>
      </c>
      <c r="CE79" s="99">
        <v>3785.9999999999995</v>
      </c>
      <c r="CF79" s="99">
        <v>6</v>
      </c>
      <c r="CG79" s="99">
        <v>4543.2</v>
      </c>
      <c r="CH79" s="99">
        <v>4</v>
      </c>
      <c r="CI79" s="99">
        <v>3028.7999999999997</v>
      </c>
      <c r="CJ79" s="99">
        <v>3</v>
      </c>
      <c r="CK79" s="99">
        <v>2271.6</v>
      </c>
      <c r="CL79" s="99">
        <v>3</v>
      </c>
      <c r="CM79" s="99">
        <v>2271.6</v>
      </c>
      <c r="CN79" s="99">
        <v>6</v>
      </c>
      <c r="CO79" s="99">
        <v>4543.2</v>
      </c>
      <c r="CP79" s="99">
        <v>3</v>
      </c>
      <c r="CQ79" s="99">
        <v>2271.6</v>
      </c>
      <c r="CR79" s="99">
        <v>3</v>
      </c>
      <c r="CS79" s="99">
        <v>2271.6</v>
      </c>
      <c r="CT79" s="99">
        <v>4</v>
      </c>
      <c r="CU79" s="99">
        <v>3028.7999999999997</v>
      </c>
    </row>
    <row r="80" spans="2:99">
      <c r="C80" s="98" t="s">
        <v>245</v>
      </c>
      <c r="D80" s="99">
        <v>0</v>
      </c>
      <c r="E80" s="99">
        <v>0</v>
      </c>
      <c r="F80" s="99">
        <v>0</v>
      </c>
      <c r="G80" s="99">
        <v>0</v>
      </c>
      <c r="H80" s="99">
        <v>0</v>
      </c>
      <c r="I80" s="99">
        <v>0</v>
      </c>
      <c r="J80" s="99">
        <v>4</v>
      </c>
      <c r="K80" s="99">
        <v>3220.7999999999997</v>
      </c>
      <c r="L80" s="99">
        <v>4</v>
      </c>
      <c r="M80" s="99">
        <v>3220.7999999999997</v>
      </c>
      <c r="N80" s="99">
        <v>5</v>
      </c>
      <c r="O80" s="99">
        <v>4025.9999999999995</v>
      </c>
      <c r="P80" s="99">
        <v>5</v>
      </c>
      <c r="Q80" s="99">
        <v>4025.9999999999995</v>
      </c>
      <c r="R80" s="99">
        <v>5</v>
      </c>
      <c r="S80" s="99">
        <v>4025.9999999999995</v>
      </c>
      <c r="T80" s="99">
        <v>5</v>
      </c>
      <c r="U80" s="99">
        <v>4025.9999999999995</v>
      </c>
      <c r="V80" s="99">
        <v>5</v>
      </c>
      <c r="W80" s="99">
        <v>4025.9999999999995</v>
      </c>
      <c r="X80" s="99">
        <v>3</v>
      </c>
      <c r="Y80" s="99">
        <v>2415.6</v>
      </c>
      <c r="Z80" s="99">
        <v>5</v>
      </c>
      <c r="AA80" s="99">
        <v>4025.9999999999995</v>
      </c>
      <c r="AB80" s="99">
        <v>4</v>
      </c>
      <c r="AC80" s="99">
        <v>3220.7999999999997</v>
      </c>
      <c r="AD80" s="99">
        <v>5</v>
      </c>
      <c r="AE80" s="99">
        <v>4025.9999999999995</v>
      </c>
      <c r="AF80" s="99">
        <v>5</v>
      </c>
      <c r="AG80" s="99">
        <v>4025.9999999999995</v>
      </c>
      <c r="AH80" s="99">
        <v>3</v>
      </c>
      <c r="AI80" s="99">
        <v>2415.6</v>
      </c>
      <c r="AJ80" s="99">
        <v>5</v>
      </c>
      <c r="AK80" s="99">
        <v>4025.9999999999995</v>
      </c>
      <c r="AL80" s="99">
        <v>4</v>
      </c>
      <c r="AM80" s="99">
        <v>3220.7999999999997</v>
      </c>
      <c r="AN80" s="99">
        <v>5</v>
      </c>
      <c r="AO80" s="99">
        <v>4025.9999999999995</v>
      </c>
      <c r="AP80" s="99">
        <v>5</v>
      </c>
      <c r="AQ80" s="99">
        <v>4025.9999999999995</v>
      </c>
      <c r="AR80" s="99">
        <v>5</v>
      </c>
      <c r="AS80" s="99">
        <v>4025.9999999999995</v>
      </c>
      <c r="AT80" s="99">
        <v>3</v>
      </c>
      <c r="AU80" s="99">
        <v>2415.6</v>
      </c>
      <c r="AV80" s="99">
        <v>4</v>
      </c>
      <c r="AW80" s="99">
        <v>3220.7999999999997</v>
      </c>
      <c r="AX80" s="99">
        <v>6</v>
      </c>
      <c r="AY80" s="99">
        <v>4831.2</v>
      </c>
      <c r="AZ80" s="99">
        <v>3</v>
      </c>
      <c r="BA80" s="99">
        <v>2415.6</v>
      </c>
      <c r="BB80" s="99">
        <v>4</v>
      </c>
      <c r="BC80" s="99">
        <v>3220.7999999999997</v>
      </c>
      <c r="BD80" s="99">
        <v>6</v>
      </c>
      <c r="BE80" s="99">
        <v>4831.2</v>
      </c>
      <c r="BF80" s="99">
        <v>5</v>
      </c>
      <c r="BG80" s="99">
        <v>4025.9999999999995</v>
      </c>
      <c r="BH80" s="99">
        <v>5</v>
      </c>
      <c r="BI80" s="99">
        <v>4025.9999999999995</v>
      </c>
      <c r="BJ80" s="99">
        <v>4</v>
      </c>
      <c r="BK80" s="99">
        <v>3220.7999999999997</v>
      </c>
      <c r="BL80" s="99">
        <v>3</v>
      </c>
      <c r="BM80" s="99">
        <v>2415.6</v>
      </c>
      <c r="BN80" s="99">
        <v>3</v>
      </c>
      <c r="BO80" s="99">
        <v>2415.6</v>
      </c>
      <c r="BP80" s="99">
        <v>4</v>
      </c>
      <c r="BQ80" s="99">
        <v>3220.7999999999997</v>
      </c>
      <c r="BR80" s="99">
        <v>5</v>
      </c>
      <c r="BS80" s="99">
        <v>4025.9999999999995</v>
      </c>
      <c r="BT80" s="99">
        <v>6</v>
      </c>
      <c r="BU80" s="99">
        <v>4831.2</v>
      </c>
      <c r="BV80" s="99">
        <v>3</v>
      </c>
      <c r="BW80" s="99">
        <v>2415.6</v>
      </c>
      <c r="BX80" s="99">
        <v>4</v>
      </c>
      <c r="BY80" s="99">
        <v>3220.7999999999997</v>
      </c>
      <c r="BZ80" s="99">
        <v>5</v>
      </c>
      <c r="CA80" s="99">
        <v>4025.9999999999995</v>
      </c>
      <c r="CB80" s="99">
        <v>6</v>
      </c>
      <c r="CC80" s="99">
        <v>4831.2</v>
      </c>
      <c r="CD80" s="99">
        <v>5</v>
      </c>
      <c r="CE80" s="99">
        <v>4025.9999999999995</v>
      </c>
      <c r="CF80" s="99">
        <v>5</v>
      </c>
      <c r="CG80" s="99">
        <v>4025.9999999999995</v>
      </c>
      <c r="CH80" s="99">
        <v>4</v>
      </c>
      <c r="CI80" s="99">
        <v>3220.7999999999997</v>
      </c>
      <c r="CJ80" s="99">
        <v>3</v>
      </c>
      <c r="CK80" s="99">
        <v>2415.6</v>
      </c>
      <c r="CL80" s="99">
        <v>3</v>
      </c>
      <c r="CM80" s="99">
        <v>2415.6</v>
      </c>
      <c r="CN80" s="99">
        <v>6</v>
      </c>
      <c r="CO80" s="99">
        <v>4831.2</v>
      </c>
      <c r="CP80" s="99">
        <v>3</v>
      </c>
      <c r="CQ80" s="99">
        <v>2415.6</v>
      </c>
      <c r="CR80" s="99">
        <v>3</v>
      </c>
      <c r="CS80" s="99">
        <v>2415.6</v>
      </c>
      <c r="CT80" s="99">
        <v>5</v>
      </c>
      <c r="CU80" s="99">
        <v>4025.9999999999995</v>
      </c>
    </row>
    <row r="81" spans="2:99">
      <c r="C81" s="98" t="s">
        <v>246</v>
      </c>
      <c r="D81" s="99">
        <v>0</v>
      </c>
      <c r="E81" s="99">
        <v>0</v>
      </c>
      <c r="F81" s="99">
        <v>0</v>
      </c>
      <c r="G81" s="99">
        <v>0</v>
      </c>
      <c r="H81" s="99">
        <v>0</v>
      </c>
      <c r="I81" s="99">
        <v>0</v>
      </c>
      <c r="J81" s="99">
        <v>4</v>
      </c>
      <c r="K81" s="99">
        <v>3014.4</v>
      </c>
      <c r="L81" s="99">
        <v>4</v>
      </c>
      <c r="M81" s="99">
        <v>3014.4</v>
      </c>
      <c r="N81" s="99">
        <v>5</v>
      </c>
      <c r="O81" s="99">
        <v>3768</v>
      </c>
      <c r="P81" s="99">
        <v>6</v>
      </c>
      <c r="Q81" s="99">
        <v>4521.6000000000004</v>
      </c>
      <c r="R81" s="99">
        <v>5</v>
      </c>
      <c r="S81" s="99">
        <v>3768</v>
      </c>
      <c r="T81" s="99">
        <v>5</v>
      </c>
      <c r="U81" s="99">
        <v>3768</v>
      </c>
      <c r="V81" s="99">
        <v>5</v>
      </c>
      <c r="W81" s="99">
        <v>3768</v>
      </c>
      <c r="X81" s="99">
        <v>3</v>
      </c>
      <c r="Y81" s="99">
        <v>2260.8000000000002</v>
      </c>
      <c r="Z81" s="99">
        <v>4</v>
      </c>
      <c r="AA81" s="99">
        <v>3014.4</v>
      </c>
      <c r="AB81" s="99">
        <v>4</v>
      </c>
      <c r="AC81" s="99">
        <v>3014.4</v>
      </c>
      <c r="AD81" s="99">
        <v>5</v>
      </c>
      <c r="AE81" s="99">
        <v>3768</v>
      </c>
      <c r="AF81" s="99">
        <v>5</v>
      </c>
      <c r="AG81" s="99">
        <v>3768</v>
      </c>
      <c r="AH81" s="99">
        <v>3</v>
      </c>
      <c r="AI81" s="99">
        <v>2260.8000000000002</v>
      </c>
      <c r="AJ81" s="99">
        <v>5</v>
      </c>
      <c r="AK81" s="99">
        <v>3768</v>
      </c>
      <c r="AL81" s="99">
        <v>4</v>
      </c>
      <c r="AM81" s="99">
        <v>3014.4</v>
      </c>
      <c r="AN81" s="99">
        <v>5</v>
      </c>
      <c r="AO81" s="99">
        <v>3768</v>
      </c>
      <c r="AP81" s="99">
        <v>6</v>
      </c>
      <c r="AQ81" s="99">
        <v>4521.6000000000004</v>
      </c>
      <c r="AR81" s="99">
        <v>5</v>
      </c>
      <c r="AS81" s="99">
        <v>3768</v>
      </c>
      <c r="AT81" s="99">
        <v>3</v>
      </c>
      <c r="AU81" s="99">
        <v>2260.8000000000002</v>
      </c>
      <c r="AV81" s="99">
        <v>4</v>
      </c>
      <c r="AW81" s="99">
        <v>3014.4</v>
      </c>
      <c r="AX81" s="99">
        <v>5</v>
      </c>
      <c r="AY81" s="99">
        <v>3768</v>
      </c>
      <c r="AZ81" s="99">
        <v>3</v>
      </c>
      <c r="BA81" s="99">
        <v>2260.8000000000002</v>
      </c>
      <c r="BB81" s="99">
        <v>4</v>
      </c>
      <c r="BC81" s="99">
        <v>3014.4</v>
      </c>
      <c r="BD81" s="99">
        <v>5</v>
      </c>
      <c r="BE81" s="99">
        <v>3768</v>
      </c>
      <c r="BF81" s="99">
        <v>5</v>
      </c>
      <c r="BG81" s="99">
        <v>3768</v>
      </c>
      <c r="BH81" s="99">
        <v>5</v>
      </c>
      <c r="BI81" s="99">
        <v>3768</v>
      </c>
      <c r="BJ81" s="99">
        <v>5</v>
      </c>
      <c r="BK81" s="99">
        <v>3768</v>
      </c>
      <c r="BL81" s="99">
        <v>3</v>
      </c>
      <c r="BM81" s="99">
        <v>2260.8000000000002</v>
      </c>
      <c r="BN81" s="99">
        <v>4</v>
      </c>
      <c r="BO81" s="99">
        <v>3014.4</v>
      </c>
      <c r="BP81" s="99">
        <v>4</v>
      </c>
      <c r="BQ81" s="99">
        <v>3014.4</v>
      </c>
      <c r="BR81" s="99">
        <v>5</v>
      </c>
      <c r="BS81" s="99">
        <v>3768</v>
      </c>
      <c r="BT81" s="99">
        <v>5</v>
      </c>
      <c r="BU81" s="99">
        <v>3768</v>
      </c>
      <c r="BV81" s="99">
        <v>3</v>
      </c>
      <c r="BW81" s="99">
        <v>2260.8000000000002</v>
      </c>
      <c r="BX81" s="99">
        <v>4</v>
      </c>
      <c r="BY81" s="99">
        <v>3014.4</v>
      </c>
      <c r="BZ81" s="99">
        <v>6</v>
      </c>
      <c r="CA81" s="99">
        <v>4521.6000000000004</v>
      </c>
      <c r="CB81" s="99">
        <v>6</v>
      </c>
      <c r="CC81" s="99">
        <v>4521.6000000000004</v>
      </c>
      <c r="CD81" s="99">
        <v>5</v>
      </c>
      <c r="CE81" s="99">
        <v>3768</v>
      </c>
      <c r="CF81" s="99">
        <v>5</v>
      </c>
      <c r="CG81" s="99">
        <v>3768</v>
      </c>
      <c r="CH81" s="99">
        <v>4</v>
      </c>
      <c r="CI81" s="99">
        <v>3014.4</v>
      </c>
      <c r="CJ81" s="99">
        <v>3</v>
      </c>
      <c r="CK81" s="99">
        <v>2260.8000000000002</v>
      </c>
      <c r="CL81" s="99">
        <v>3</v>
      </c>
      <c r="CM81" s="99">
        <v>2260.8000000000002</v>
      </c>
      <c r="CN81" s="99">
        <v>6</v>
      </c>
      <c r="CO81" s="99">
        <v>4521.6000000000004</v>
      </c>
      <c r="CP81" s="99">
        <v>4</v>
      </c>
      <c r="CQ81" s="99">
        <v>3014.4</v>
      </c>
      <c r="CR81" s="99">
        <v>3</v>
      </c>
      <c r="CS81" s="99">
        <v>2260.8000000000002</v>
      </c>
      <c r="CT81" s="99">
        <v>5</v>
      </c>
      <c r="CU81" s="99">
        <v>3768</v>
      </c>
    </row>
    <row r="82" spans="2:99">
      <c r="C82" s="98" t="s">
        <v>247</v>
      </c>
      <c r="D82" s="99">
        <v>0</v>
      </c>
      <c r="E82" s="99">
        <v>0</v>
      </c>
      <c r="F82" s="99">
        <v>0</v>
      </c>
      <c r="G82" s="99">
        <v>0</v>
      </c>
      <c r="H82" s="99">
        <v>0</v>
      </c>
      <c r="I82" s="99">
        <v>0</v>
      </c>
      <c r="J82" s="99">
        <v>4</v>
      </c>
      <c r="K82" s="99">
        <v>2035.1999999999996</v>
      </c>
      <c r="L82" s="99">
        <v>4</v>
      </c>
      <c r="M82" s="99">
        <v>2035.1999999999996</v>
      </c>
      <c r="N82" s="99">
        <v>5</v>
      </c>
      <c r="O82" s="99">
        <v>2543.9999999999995</v>
      </c>
      <c r="P82" s="99">
        <v>6</v>
      </c>
      <c r="Q82" s="99">
        <v>3052.7999999999993</v>
      </c>
      <c r="R82" s="99">
        <v>5</v>
      </c>
      <c r="S82" s="99">
        <v>2543.9999999999995</v>
      </c>
      <c r="T82" s="99">
        <v>6</v>
      </c>
      <c r="U82" s="99">
        <v>3052.7999999999993</v>
      </c>
      <c r="V82" s="99">
        <v>5</v>
      </c>
      <c r="W82" s="99">
        <v>2543.9999999999995</v>
      </c>
      <c r="X82" s="99">
        <v>3</v>
      </c>
      <c r="Y82" s="99">
        <v>1526.3999999999996</v>
      </c>
      <c r="Z82" s="99">
        <v>4</v>
      </c>
      <c r="AA82" s="99">
        <v>2035.1999999999996</v>
      </c>
      <c r="AB82" s="99">
        <v>4</v>
      </c>
      <c r="AC82" s="99">
        <v>2035.1999999999996</v>
      </c>
      <c r="AD82" s="99">
        <v>5</v>
      </c>
      <c r="AE82" s="99">
        <v>2543.9999999999995</v>
      </c>
      <c r="AF82" s="99">
        <v>5</v>
      </c>
      <c r="AG82" s="99">
        <v>2543.9999999999995</v>
      </c>
      <c r="AH82" s="99">
        <v>3</v>
      </c>
      <c r="AI82" s="99">
        <v>1526.3999999999996</v>
      </c>
      <c r="AJ82" s="99">
        <v>4</v>
      </c>
      <c r="AK82" s="99">
        <v>2035.1999999999996</v>
      </c>
      <c r="AL82" s="99">
        <v>4</v>
      </c>
      <c r="AM82" s="99">
        <v>2035.1999999999996</v>
      </c>
      <c r="AN82" s="99">
        <v>5</v>
      </c>
      <c r="AO82" s="99">
        <v>2543.9999999999995</v>
      </c>
      <c r="AP82" s="99">
        <v>6</v>
      </c>
      <c r="AQ82" s="99">
        <v>3052.7999999999993</v>
      </c>
      <c r="AR82" s="99">
        <v>5</v>
      </c>
      <c r="AS82" s="99">
        <v>2543.9999999999995</v>
      </c>
      <c r="AT82" s="99">
        <v>3</v>
      </c>
      <c r="AU82" s="99">
        <v>1526.3999999999996</v>
      </c>
      <c r="AV82" s="99">
        <v>4</v>
      </c>
      <c r="AW82" s="99">
        <v>2035.1999999999996</v>
      </c>
      <c r="AX82" s="99">
        <v>5</v>
      </c>
      <c r="AY82" s="99">
        <v>2543.9999999999995</v>
      </c>
      <c r="AZ82" s="99">
        <v>3</v>
      </c>
      <c r="BA82" s="99">
        <v>1526.3999999999996</v>
      </c>
      <c r="BB82" s="99">
        <v>4</v>
      </c>
      <c r="BC82" s="99">
        <v>2035.1999999999996</v>
      </c>
      <c r="BD82" s="99">
        <v>5</v>
      </c>
      <c r="BE82" s="99">
        <v>2543.9999999999995</v>
      </c>
      <c r="BF82" s="99">
        <v>5</v>
      </c>
      <c r="BG82" s="99">
        <v>2543.9999999999995</v>
      </c>
      <c r="BH82" s="99">
        <v>5</v>
      </c>
      <c r="BI82" s="99">
        <v>2543.9999999999995</v>
      </c>
      <c r="BJ82" s="99">
        <v>4</v>
      </c>
      <c r="BK82" s="99">
        <v>2035.1999999999996</v>
      </c>
      <c r="BL82" s="99">
        <v>3</v>
      </c>
      <c r="BM82" s="99">
        <v>1526.3999999999996</v>
      </c>
      <c r="BN82" s="99">
        <v>4</v>
      </c>
      <c r="BO82" s="99">
        <v>2035.1999999999996</v>
      </c>
      <c r="BP82" s="99">
        <v>4</v>
      </c>
      <c r="BQ82" s="99">
        <v>2035.1999999999996</v>
      </c>
      <c r="BR82" s="99">
        <v>4</v>
      </c>
      <c r="BS82" s="99">
        <v>2035.1999999999996</v>
      </c>
      <c r="BT82" s="99">
        <v>6</v>
      </c>
      <c r="BU82" s="99">
        <v>3052.7999999999993</v>
      </c>
      <c r="BV82" s="99">
        <v>4</v>
      </c>
      <c r="BW82" s="99">
        <v>2035.1999999999996</v>
      </c>
      <c r="BX82" s="99">
        <v>4</v>
      </c>
      <c r="BY82" s="99">
        <v>2035.1999999999996</v>
      </c>
      <c r="BZ82" s="99">
        <v>6</v>
      </c>
      <c r="CA82" s="99">
        <v>3052.7999999999993</v>
      </c>
      <c r="CB82" s="99">
        <v>7</v>
      </c>
      <c r="CC82" s="99">
        <v>3561.5999999999995</v>
      </c>
      <c r="CD82" s="99">
        <v>5</v>
      </c>
      <c r="CE82" s="99">
        <v>2543.9999999999995</v>
      </c>
      <c r="CF82" s="99">
        <v>6</v>
      </c>
      <c r="CG82" s="99">
        <v>3052.7999999999993</v>
      </c>
      <c r="CH82" s="99">
        <v>4</v>
      </c>
      <c r="CI82" s="99">
        <v>2035.1999999999996</v>
      </c>
      <c r="CJ82" s="99">
        <v>3</v>
      </c>
      <c r="CK82" s="99">
        <v>1526.3999999999996</v>
      </c>
      <c r="CL82" s="99">
        <v>3</v>
      </c>
      <c r="CM82" s="99">
        <v>1526.3999999999996</v>
      </c>
      <c r="CN82" s="99">
        <v>6</v>
      </c>
      <c r="CO82" s="99">
        <v>3052.7999999999993</v>
      </c>
      <c r="CP82" s="99">
        <v>4</v>
      </c>
      <c r="CQ82" s="99">
        <v>2035.1999999999996</v>
      </c>
      <c r="CR82" s="99">
        <v>3</v>
      </c>
      <c r="CS82" s="99">
        <v>1526.3999999999996</v>
      </c>
      <c r="CT82" s="99">
        <v>5</v>
      </c>
      <c r="CU82" s="99">
        <v>2543.9999999999995</v>
      </c>
    </row>
    <row r="83" spans="2:99">
      <c r="C83" s="98" t="s">
        <v>248</v>
      </c>
      <c r="D83" s="99">
        <v>0</v>
      </c>
      <c r="E83" s="99">
        <v>0</v>
      </c>
      <c r="F83" s="99">
        <v>0</v>
      </c>
      <c r="G83" s="99">
        <v>0</v>
      </c>
      <c r="H83" s="99">
        <v>0</v>
      </c>
      <c r="I83" s="99">
        <v>0</v>
      </c>
      <c r="J83" s="99">
        <v>4</v>
      </c>
      <c r="K83" s="99">
        <v>3441.6</v>
      </c>
      <c r="L83" s="99">
        <v>4</v>
      </c>
      <c r="M83" s="99">
        <v>3441.6</v>
      </c>
      <c r="N83" s="99">
        <v>5</v>
      </c>
      <c r="O83" s="99">
        <v>4302</v>
      </c>
      <c r="P83" s="99">
        <v>5</v>
      </c>
      <c r="Q83" s="99">
        <v>4302</v>
      </c>
      <c r="R83" s="99">
        <v>4</v>
      </c>
      <c r="S83" s="99">
        <v>3441.6</v>
      </c>
      <c r="T83" s="99">
        <v>5</v>
      </c>
      <c r="U83" s="99">
        <v>4302</v>
      </c>
      <c r="V83" s="99">
        <v>5</v>
      </c>
      <c r="W83" s="99">
        <v>4302</v>
      </c>
      <c r="X83" s="99">
        <v>3</v>
      </c>
      <c r="Y83" s="99">
        <v>2581.1999999999998</v>
      </c>
      <c r="Z83" s="99">
        <v>4</v>
      </c>
      <c r="AA83" s="99">
        <v>3441.6</v>
      </c>
      <c r="AB83" s="99">
        <v>4</v>
      </c>
      <c r="AC83" s="99">
        <v>3441.6</v>
      </c>
      <c r="AD83" s="99">
        <v>5</v>
      </c>
      <c r="AE83" s="99">
        <v>4302</v>
      </c>
      <c r="AF83" s="99">
        <v>5</v>
      </c>
      <c r="AG83" s="99">
        <v>4302</v>
      </c>
      <c r="AH83" s="99">
        <v>3</v>
      </c>
      <c r="AI83" s="99">
        <v>2581.1999999999998</v>
      </c>
      <c r="AJ83" s="99">
        <v>5</v>
      </c>
      <c r="AK83" s="99">
        <v>4302</v>
      </c>
      <c r="AL83" s="99">
        <v>3</v>
      </c>
      <c r="AM83" s="99">
        <v>2581.1999999999998</v>
      </c>
      <c r="AN83" s="99">
        <v>5</v>
      </c>
      <c r="AO83" s="99">
        <v>4302</v>
      </c>
      <c r="AP83" s="99">
        <v>5</v>
      </c>
      <c r="AQ83" s="99">
        <v>4302</v>
      </c>
      <c r="AR83" s="99">
        <v>5</v>
      </c>
      <c r="AS83" s="99">
        <v>4302</v>
      </c>
      <c r="AT83" s="99">
        <v>3</v>
      </c>
      <c r="AU83" s="99">
        <v>2581.1999999999998</v>
      </c>
      <c r="AV83" s="99">
        <v>4</v>
      </c>
      <c r="AW83" s="99">
        <v>3441.6</v>
      </c>
      <c r="AX83" s="99">
        <v>6</v>
      </c>
      <c r="AY83" s="99">
        <v>5162.3999999999996</v>
      </c>
      <c r="AZ83" s="99">
        <v>3</v>
      </c>
      <c r="BA83" s="99">
        <v>2581.1999999999998</v>
      </c>
      <c r="BB83" s="99">
        <v>4</v>
      </c>
      <c r="BC83" s="99">
        <v>3441.6</v>
      </c>
      <c r="BD83" s="99">
        <v>6</v>
      </c>
      <c r="BE83" s="99">
        <v>5162.3999999999996</v>
      </c>
      <c r="BF83" s="99">
        <v>5</v>
      </c>
      <c r="BG83" s="99">
        <v>4302</v>
      </c>
      <c r="BH83" s="99">
        <v>4</v>
      </c>
      <c r="BI83" s="99">
        <v>3441.6</v>
      </c>
      <c r="BJ83" s="99">
        <v>5</v>
      </c>
      <c r="BK83" s="99">
        <v>4302</v>
      </c>
      <c r="BL83" s="99">
        <v>3</v>
      </c>
      <c r="BM83" s="99">
        <v>2581.1999999999998</v>
      </c>
      <c r="BN83" s="99">
        <v>4</v>
      </c>
      <c r="BO83" s="99">
        <v>3441.6</v>
      </c>
      <c r="BP83" s="99">
        <v>4</v>
      </c>
      <c r="BQ83" s="99">
        <v>3441.6</v>
      </c>
      <c r="BR83" s="99">
        <v>5</v>
      </c>
      <c r="BS83" s="99">
        <v>4302</v>
      </c>
      <c r="BT83" s="99">
        <v>6</v>
      </c>
      <c r="BU83" s="99">
        <v>5162.3999999999996</v>
      </c>
      <c r="BV83" s="99">
        <v>3</v>
      </c>
      <c r="BW83" s="99">
        <v>2581.1999999999998</v>
      </c>
      <c r="BX83" s="99">
        <v>4</v>
      </c>
      <c r="BY83" s="99">
        <v>3441.6</v>
      </c>
      <c r="BZ83" s="99">
        <v>7</v>
      </c>
      <c r="CA83" s="99">
        <v>6022.8</v>
      </c>
      <c r="CB83" s="99">
        <v>6</v>
      </c>
      <c r="CC83" s="99">
        <v>5162.3999999999996</v>
      </c>
      <c r="CD83" s="99">
        <v>5</v>
      </c>
      <c r="CE83" s="99">
        <v>4302</v>
      </c>
      <c r="CF83" s="99">
        <v>6</v>
      </c>
      <c r="CG83" s="99">
        <v>5162.3999999999996</v>
      </c>
      <c r="CH83" s="99">
        <v>4</v>
      </c>
      <c r="CI83" s="99">
        <v>3441.6</v>
      </c>
      <c r="CJ83" s="99">
        <v>3</v>
      </c>
      <c r="CK83" s="99">
        <v>2581.1999999999998</v>
      </c>
      <c r="CL83" s="99">
        <v>3</v>
      </c>
      <c r="CM83" s="99">
        <v>2581.1999999999998</v>
      </c>
      <c r="CN83" s="99">
        <v>6</v>
      </c>
      <c r="CO83" s="99">
        <v>5162.3999999999996</v>
      </c>
      <c r="CP83" s="99">
        <v>3</v>
      </c>
      <c r="CQ83" s="99">
        <v>2581.1999999999998</v>
      </c>
      <c r="CR83" s="99">
        <v>3</v>
      </c>
      <c r="CS83" s="99">
        <v>2581.1999999999998</v>
      </c>
      <c r="CT83" s="99">
        <v>5</v>
      </c>
      <c r="CU83" s="99">
        <v>4302</v>
      </c>
    </row>
    <row r="84" spans="2:99">
      <c r="C84" s="98" t="s">
        <v>249</v>
      </c>
      <c r="D84" s="99">
        <v>0</v>
      </c>
      <c r="E84" s="99">
        <v>0</v>
      </c>
      <c r="F84" s="99">
        <v>0</v>
      </c>
      <c r="G84" s="99">
        <v>0</v>
      </c>
      <c r="H84" s="99">
        <v>0</v>
      </c>
      <c r="I84" s="99">
        <v>0</v>
      </c>
      <c r="J84" s="99">
        <v>4</v>
      </c>
      <c r="K84" s="99">
        <v>3124.7999999999997</v>
      </c>
      <c r="L84" s="99">
        <v>4</v>
      </c>
      <c r="M84" s="99">
        <v>3124.7999999999997</v>
      </c>
      <c r="N84" s="99">
        <v>5</v>
      </c>
      <c r="O84" s="99">
        <v>3905.9999999999995</v>
      </c>
      <c r="P84" s="99">
        <v>5</v>
      </c>
      <c r="Q84" s="99">
        <v>3905.9999999999995</v>
      </c>
      <c r="R84" s="99">
        <v>5</v>
      </c>
      <c r="S84" s="99">
        <v>3905.9999999999995</v>
      </c>
      <c r="T84" s="99">
        <v>5</v>
      </c>
      <c r="U84" s="99">
        <v>3905.9999999999995</v>
      </c>
      <c r="V84" s="99">
        <v>5</v>
      </c>
      <c r="W84" s="99">
        <v>3905.9999999999995</v>
      </c>
      <c r="X84" s="99">
        <v>3</v>
      </c>
      <c r="Y84" s="99">
        <v>2343.6</v>
      </c>
      <c r="Z84" s="99">
        <v>4</v>
      </c>
      <c r="AA84" s="99">
        <v>3124.7999999999997</v>
      </c>
      <c r="AB84" s="99">
        <v>4</v>
      </c>
      <c r="AC84" s="99">
        <v>3124.7999999999997</v>
      </c>
      <c r="AD84" s="99">
        <v>5</v>
      </c>
      <c r="AE84" s="99">
        <v>3905.9999999999995</v>
      </c>
      <c r="AF84" s="99">
        <v>5</v>
      </c>
      <c r="AG84" s="99">
        <v>3905.9999999999995</v>
      </c>
      <c r="AH84" s="99">
        <v>3</v>
      </c>
      <c r="AI84" s="99">
        <v>2343.6</v>
      </c>
      <c r="AJ84" s="99">
        <v>5</v>
      </c>
      <c r="AK84" s="99">
        <v>3905.9999999999995</v>
      </c>
      <c r="AL84" s="99">
        <v>4</v>
      </c>
      <c r="AM84" s="99">
        <v>3124.7999999999997</v>
      </c>
      <c r="AN84" s="99">
        <v>4</v>
      </c>
      <c r="AO84" s="99">
        <v>3124.7999999999997</v>
      </c>
      <c r="AP84" s="99">
        <v>5</v>
      </c>
      <c r="AQ84" s="99">
        <v>3905.9999999999995</v>
      </c>
      <c r="AR84" s="99">
        <v>5</v>
      </c>
      <c r="AS84" s="99">
        <v>3905.9999999999995</v>
      </c>
      <c r="AT84" s="99">
        <v>3</v>
      </c>
      <c r="AU84" s="99">
        <v>2343.6</v>
      </c>
      <c r="AV84" s="99">
        <v>4</v>
      </c>
      <c r="AW84" s="99">
        <v>3124.7999999999997</v>
      </c>
      <c r="AX84" s="99">
        <v>6</v>
      </c>
      <c r="AY84" s="99">
        <v>4687.2</v>
      </c>
      <c r="AZ84" s="99">
        <v>3</v>
      </c>
      <c r="BA84" s="99">
        <v>2343.6</v>
      </c>
      <c r="BB84" s="99">
        <v>4</v>
      </c>
      <c r="BC84" s="99">
        <v>3124.7999999999997</v>
      </c>
      <c r="BD84" s="99">
        <v>6</v>
      </c>
      <c r="BE84" s="99">
        <v>4687.2</v>
      </c>
      <c r="BF84" s="99">
        <v>5</v>
      </c>
      <c r="BG84" s="99">
        <v>3905.9999999999995</v>
      </c>
      <c r="BH84" s="99">
        <v>5</v>
      </c>
      <c r="BI84" s="99">
        <v>3905.9999999999995</v>
      </c>
      <c r="BJ84" s="99">
        <v>4</v>
      </c>
      <c r="BK84" s="99">
        <v>3124.7999999999997</v>
      </c>
      <c r="BL84" s="99">
        <v>3</v>
      </c>
      <c r="BM84" s="99">
        <v>2343.6</v>
      </c>
      <c r="BN84" s="99">
        <v>3</v>
      </c>
      <c r="BO84" s="99">
        <v>2343.6</v>
      </c>
      <c r="BP84" s="99">
        <v>4</v>
      </c>
      <c r="BQ84" s="99">
        <v>3124.7999999999997</v>
      </c>
      <c r="BR84" s="99">
        <v>5</v>
      </c>
      <c r="BS84" s="99">
        <v>3905.9999999999995</v>
      </c>
      <c r="BT84" s="99">
        <v>6</v>
      </c>
      <c r="BU84" s="99">
        <v>4687.2</v>
      </c>
      <c r="BV84" s="99">
        <v>3</v>
      </c>
      <c r="BW84" s="99">
        <v>2343.6</v>
      </c>
      <c r="BX84" s="99">
        <v>4</v>
      </c>
      <c r="BY84" s="99">
        <v>3124.7999999999997</v>
      </c>
      <c r="BZ84" s="99">
        <v>7</v>
      </c>
      <c r="CA84" s="99">
        <v>5468.4</v>
      </c>
      <c r="CB84" s="99">
        <v>6</v>
      </c>
      <c r="CC84" s="99">
        <v>4687.2</v>
      </c>
      <c r="CD84" s="99">
        <v>5</v>
      </c>
      <c r="CE84" s="99">
        <v>3905.9999999999995</v>
      </c>
      <c r="CF84" s="99">
        <v>5</v>
      </c>
      <c r="CG84" s="99">
        <v>3905.9999999999995</v>
      </c>
      <c r="CH84" s="99">
        <v>4</v>
      </c>
      <c r="CI84" s="99">
        <v>3124.7999999999997</v>
      </c>
      <c r="CJ84" s="99">
        <v>3</v>
      </c>
      <c r="CK84" s="99">
        <v>2343.6</v>
      </c>
      <c r="CL84" s="99">
        <v>4</v>
      </c>
      <c r="CM84" s="99">
        <v>3124.7999999999997</v>
      </c>
      <c r="CN84" s="99">
        <v>6</v>
      </c>
      <c r="CO84" s="99">
        <v>4687.2</v>
      </c>
      <c r="CP84" s="99">
        <v>4</v>
      </c>
      <c r="CQ84" s="99">
        <v>3124.7999999999997</v>
      </c>
      <c r="CR84" s="99">
        <v>3</v>
      </c>
      <c r="CS84" s="99">
        <v>2343.6</v>
      </c>
      <c r="CT84" s="99">
        <v>5</v>
      </c>
      <c r="CU84" s="99">
        <v>3905.9999999999995</v>
      </c>
    </row>
    <row r="85" spans="2:99">
      <c r="C85" s="98" t="s">
        <v>250</v>
      </c>
      <c r="D85" s="99">
        <v>0</v>
      </c>
      <c r="E85" s="99">
        <v>0</v>
      </c>
      <c r="F85" s="99">
        <v>0</v>
      </c>
      <c r="G85" s="99">
        <v>0</v>
      </c>
      <c r="H85" s="99">
        <v>0</v>
      </c>
      <c r="I85" s="99">
        <v>0</v>
      </c>
      <c r="J85" s="99">
        <v>4</v>
      </c>
      <c r="K85" s="99">
        <v>600</v>
      </c>
      <c r="L85" s="99">
        <v>4</v>
      </c>
      <c r="M85" s="99">
        <v>600</v>
      </c>
      <c r="N85" s="99">
        <v>5</v>
      </c>
      <c r="O85" s="99">
        <v>750</v>
      </c>
      <c r="P85" s="99">
        <v>6</v>
      </c>
      <c r="Q85" s="99">
        <v>900</v>
      </c>
      <c r="R85" s="99">
        <v>4</v>
      </c>
      <c r="S85" s="99">
        <v>600</v>
      </c>
      <c r="T85" s="99">
        <v>6</v>
      </c>
      <c r="U85" s="99">
        <v>900</v>
      </c>
      <c r="V85" s="99">
        <v>5</v>
      </c>
      <c r="W85" s="99">
        <v>750</v>
      </c>
      <c r="X85" s="99">
        <v>3</v>
      </c>
      <c r="Y85" s="99">
        <v>450</v>
      </c>
      <c r="Z85" s="99">
        <v>5</v>
      </c>
      <c r="AA85" s="99">
        <v>750</v>
      </c>
      <c r="AB85" s="99">
        <v>4</v>
      </c>
      <c r="AC85" s="99">
        <v>600</v>
      </c>
      <c r="AD85" s="99">
        <v>5</v>
      </c>
      <c r="AE85" s="99">
        <v>750</v>
      </c>
      <c r="AF85" s="99">
        <v>5</v>
      </c>
      <c r="AG85" s="99">
        <v>750</v>
      </c>
      <c r="AH85" s="99">
        <v>3</v>
      </c>
      <c r="AI85" s="99">
        <v>450</v>
      </c>
      <c r="AJ85" s="99">
        <v>5</v>
      </c>
      <c r="AK85" s="99">
        <v>750</v>
      </c>
      <c r="AL85" s="99">
        <v>4</v>
      </c>
      <c r="AM85" s="99">
        <v>600</v>
      </c>
      <c r="AN85" s="99">
        <v>5</v>
      </c>
      <c r="AO85" s="99">
        <v>750</v>
      </c>
      <c r="AP85" s="99">
        <v>5</v>
      </c>
      <c r="AQ85" s="99">
        <v>750</v>
      </c>
      <c r="AR85" s="99">
        <v>5</v>
      </c>
      <c r="AS85" s="99">
        <v>750</v>
      </c>
      <c r="AT85" s="99">
        <v>3</v>
      </c>
      <c r="AU85" s="99">
        <v>450</v>
      </c>
      <c r="AV85" s="99">
        <v>4</v>
      </c>
      <c r="AW85" s="99">
        <v>600</v>
      </c>
      <c r="AX85" s="99">
        <v>5</v>
      </c>
      <c r="AY85" s="99">
        <v>750</v>
      </c>
      <c r="AZ85" s="99">
        <v>3</v>
      </c>
      <c r="BA85" s="99">
        <v>450</v>
      </c>
      <c r="BB85" s="99">
        <v>4</v>
      </c>
      <c r="BC85" s="99">
        <v>600</v>
      </c>
      <c r="BD85" s="99">
        <v>6</v>
      </c>
      <c r="BE85" s="99">
        <v>900</v>
      </c>
      <c r="BF85" s="99">
        <v>5</v>
      </c>
      <c r="BG85" s="99">
        <v>750</v>
      </c>
      <c r="BH85" s="99">
        <v>5</v>
      </c>
      <c r="BI85" s="99">
        <v>750</v>
      </c>
      <c r="BJ85" s="99">
        <v>5</v>
      </c>
      <c r="BK85" s="99">
        <v>750</v>
      </c>
      <c r="BL85" s="99">
        <v>3</v>
      </c>
      <c r="BM85" s="99">
        <v>450</v>
      </c>
      <c r="BN85" s="99">
        <v>3</v>
      </c>
      <c r="BO85" s="99">
        <v>450</v>
      </c>
      <c r="BP85" s="99">
        <v>4</v>
      </c>
      <c r="BQ85" s="99">
        <v>600</v>
      </c>
      <c r="BR85" s="99">
        <v>5</v>
      </c>
      <c r="BS85" s="99">
        <v>750</v>
      </c>
      <c r="BT85" s="99">
        <v>7</v>
      </c>
      <c r="BU85" s="99">
        <v>1050</v>
      </c>
      <c r="BV85" s="99">
        <v>3</v>
      </c>
      <c r="BW85" s="99">
        <v>450</v>
      </c>
      <c r="BX85" s="99">
        <v>5</v>
      </c>
      <c r="BY85" s="99">
        <v>750</v>
      </c>
      <c r="BZ85" s="99">
        <v>7</v>
      </c>
      <c r="CA85" s="99">
        <v>1050</v>
      </c>
      <c r="CB85" s="99">
        <v>6</v>
      </c>
      <c r="CC85" s="99">
        <v>900</v>
      </c>
      <c r="CD85" s="99">
        <v>5</v>
      </c>
      <c r="CE85" s="99">
        <v>750</v>
      </c>
      <c r="CF85" s="99">
        <v>6</v>
      </c>
      <c r="CG85" s="99">
        <v>900</v>
      </c>
      <c r="CH85" s="99">
        <v>4</v>
      </c>
      <c r="CI85" s="99">
        <v>600</v>
      </c>
      <c r="CJ85" s="99">
        <v>3</v>
      </c>
      <c r="CK85" s="99">
        <v>450</v>
      </c>
      <c r="CL85" s="99">
        <v>3</v>
      </c>
      <c r="CM85" s="99">
        <v>450</v>
      </c>
      <c r="CN85" s="99">
        <v>6</v>
      </c>
      <c r="CO85" s="99">
        <v>900</v>
      </c>
      <c r="CP85" s="99">
        <v>4</v>
      </c>
      <c r="CQ85" s="99">
        <v>600</v>
      </c>
      <c r="CR85" s="99">
        <v>4</v>
      </c>
      <c r="CS85" s="99">
        <v>600</v>
      </c>
      <c r="CT85" s="99">
        <v>4</v>
      </c>
      <c r="CU85" s="99">
        <v>600</v>
      </c>
    </row>
    <row r="86" spans="2:99">
      <c r="C86" s="98" t="s">
        <v>251</v>
      </c>
      <c r="D86" s="99">
        <v>0</v>
      </c>
      <c r="E86" s="99">
        <v>0</v>
      </c>
      <c r="F86" s="99">
        <v>0</v>
      </c>
      <c r="G86" s="99">
        <v>0</v>
      </c>
      <c r="H86" s="99">
        <v>0</v>
      </c>
      <c r="I86" s="99">
        <v>0</v>
      </c>
      <c r="J86" s="99">
        <v>4</v>
      </c>
      <c r="K86" s="99">
        <v>2160</v>
      </c>
      <c r="L86" s="99">
        <v>4</v>
      </c>
      <c r="M86" s="99">
        <v>2160</v>
      </c>
      <c r="N86" s="99">
        <v>5</v>
      </c>
      <c r="O86" s="99">
        <v>2700</v>
      </c>
      <c r="P86" s="99">
        <v>6</v>
      </c>
      <c r="Q86" s="99">
        <v>3240</v>
      </c>
      <c r="R86" s="99">
        <v>5</v>
      </c>
      <c r="S86" s="99">
        <v>2700</v>
      </c>
      <c r="T86" s="99">
        <v>6</v>
      </c>
      <c r="U86" s="99">
        <v>3240</v>
      </c>
      <c r="V86" s="99">
        <v>5</v>
      </c>
      <c r="W86" s="99">
        <v>2700</v>
      </c>
      <c r="X86" s="99">
        <v>3</v>
      </c>
      <c r="Y86" s="99">
        <v>1620</v>
      </c>
      <c r="Z86" s="99">
        <v>5</v>
      </c>
      <c r="AA86" s="99">
        <v>2700</v>
      </c>
      <c r="AB86" s="99">
        <v>4</v>
      </c>
      <c r="AC86" s="99">
        <v>2160</v>
      </c>
      <c r="AD86" s="99">
        <v>4</v>
      </c>
      <c r="AE86" s="99">
        <v>2160</v>
      </c>
      <c r="AF86" s="99">
        <v>6</v>
      </c>
      <c r="AG86" s="99">
        <v>3240</v>
      </c>
      <c r="AH86" s="99">
        <v>3</v>
      </c>
      <c r="AI86" s="99">
        <v>1620</v>
      </c>
      <c r="AJ86" s="99">
        <v>4</v>
      </c>
      <c r="AK86" s="99">
        <v>2160</v>
      </c>
      <c r="AL86" s="99">
        <v>4</v>
      </c>
      <c r="AM86" s="99">
        <v>2160</v>
      </c>
      <c r="AN86" s="99">
        <v>5</v>
      </c>
      <c r="AO86" s="99">
        <v>2700</v>
      </c>
      <c r="AP86" s="99">
        <v>5</v>
      </c>
      <c r="AQ86" s="99">
        <v>2700</v>
      </c>
      <c r="AR86" s="99">
        <v>5</v>
      </c>
      <c r="AS86" s="99">
        <v>2700</v>
      </c>
      <c r="AT86" s="99">
        <v>3</v>
      </c>
      <c r="AU86" s="99">
        <v>1620</v>
      </c>
      <c r="AV86" s="99">
        <v>4</v>
      </c>
      <c r="AW86" s="99">
        <v>2160</v>
      </c>
      <c r="AX86" s="99">
        <v>6</v>
      </c>
      <c r="AY86" s="99">
        <v>3240</v>
      </c>
      <c r="AZ86" s="99">
        <v>3</v>
      </c>
      <c r="BA86" s="99">
        <v>1620</v>
      </c>
      <c r="BB86" s="99">
        <v>4</v>
      </c>
      <c r="BC86" s="99">
        <v>2160</v>
      </c>
      <c r="BD86" s="99">
        <v>6</v>
      </c>
      <c r="BE86" s="99">
        <v>3240</v>
      </c>
      <c r="BF86" s="99">
        <v>5</v>
      </c>
      <c r="BG86" s="99">
        <v>2700</v>
      </c>
      <c r="BH86" s="99">
        <v>5</v>
      </c>
      <c r="BI86" s="99">
        <v>2700</v>
      </c>
      <c r="BJ86" s="99">
        <v>4</v>
      </c>
      <c r="BK86" s="99">
        <v>2160</v>
      </c>
      <c r="BL86" s="99">
        <v>3</v>
      </c>
      <c r="BM86" s="99">
        <v>1620</v>
      </c>
      <c r="BN86" s="99">
        <v>4</v>
      </c>
      <c r="BO86" s="99">
        <v>2160</v>
      </c>
      <c r="BP86" s="99">
        <v>4</v>
      </c>
      <c r="BQ86" s="99">
        <v>2160</v>
      </c>
      <c r="BR86" s="99">
        <v>5</v>
      </c>
      <c r="BS86" s="99">
        <v>2700</v>
      </c>
      <c r="BT86" s="99">
        <v>6</v>
      </c>
      <c r="BU86" s="99">
        <v>3240</v>
      </c>
      <c r="BV86" s="99">
        <v>4</v>
      </c>
      <c r="BW86" s="99">
        <v>2160</v>
      </c>
      <c r="BX86" s="99">
        <v>4</v>
      </c>
      <c r="BY86" s="99">
        <v>2160</v>
      </c>
      <c r="BZ86" s="99">
        <v>6</v>
      </c>
      <c r="CA86" s="99">
        <v>3240</v>
      </c>
      <c r="CB86" s="99">
        <v>6</v>
      </c>
      <c r="CC86" s="99">
        <v>3240</v>
      </c>
      <c r="CD86" s="99">
        <v>5</v>
      </c>
      <c r="CE86" s="99">
        <v>2700</v>
      </c>
      <c r="CF86" s="99">
        <v>6</v>
      </c>
      <c r="CG86" s="99">
        <v>3240</v>
      </c>
      <c r="CH86" s="99">
        <v>4</v>
      </c>
      <c r="CI86" s="99">
        <v>2160</v>
      </c>
      <c r="CJ86" s="99">
        <v>3</v>
      </c>
      <c r="CK86" s="99">
        <v>1620</v>
      </c>
      <c r="CL86" s="99">
        <v>4</v>
      </c>
      <c r="CM86" s="99">
        <v>2160</v>
      </c>
      <c r="CN86" s="99">
        <v>6</v>
      </c>
      <c r="CO86" s="99">
        <v>3240</v>
      </c>
      <c r="CP86" s="99">
        <v>4</v>
      </c>
      <c r="CQ86" s="99">
        <v>2160</v>
      </c>
      <c r="CR86" s="99">
        <v>3</v>
      </c>
      <c r="CS86" s="99">
        <v>1620</v>
      </c>
      <c r="CT86" s="99">
        <v>5</v>
      </c>
      <c r="CU86" s="99">
        <v>2700</v>
      </c>
    </row>
    <row r="87" spans="2:99">
      <c r="B87" s="98" t="s">
        <v>131</v>
      </c>
      <c r="C87" s="98" t="s">
        <v>252</v>
      </c>
      <c r="D87" s="99">
        <v>0</v>
      </c>
      <c r="E87" s="99">
        <v>0</v>
      </c>
      <c r="F87" s="99">
        <v>0</v>
      </c>
      <c r="G87" s="99">
        <v>0</v>
      </c>
      <c r="H87" s="99">
        <v>0</v>
      </c>
      <c r="I87" s="99">
        <v>0</v>
      </c>
      <c r="J87" s="99">
        <v>4</v>
      </c>
      <c r="K87" s="99">
        <v>7819.2</v>
      </c>
      <c r="L87" s="99">
        <v>3</v>
      </c>
      <c r="M87" s="99">
        <v>5864.4</v>
      </c>
      <c r="N87" s="99">
        <v>5</v>
      </c>
      <c r="O87" s="99">
        <v>9774</v>
      </c>
      <c r="P87" s="99">
        <v>5</v>
      </c>
      <c r="Q87" s="99">
        <v>9774</v>
      </c>
      <c r="R87" s="99">
        <v>4</v>
      </c>
      <c r="S87" s="99">
        <v>7819.2</v>
      </c>
      <c r="T87" s="99">
        <v>6</v>
      </c>
      <c r="U87" s="99">
        <v>11728.8</v>
      </c>
      <c r="V87" s="99">
        <v>4</v>
      </c>
      <c r="W87" s="99">
        <v>7819.2</v>
      </c>
      <c r="X87" s="99">
        <v>6</v>
      </c>
      <c r="Y87" s="99">
        <v>11728.8</v>
      </c>
      <c r="Z87" s="99">
        <v>5</v>
      </c>
      <c r="AA87" s="99">
        <v>9774</v>
      </c>
      <c r="AB87" s="99">
        <v>3</v>
      </c>
      <c r="AC87" s="99">
        <v>5864.4</v>
      </c>
      <c r="AD87" s="99">
        <v>6</v>
      </c>
      <c r="AE87" s="99">
        <v>11728.8</v>
      </c>
      <c r="AF87" s="99">
        <v>3</v>
      </c>
      <c r="AG87" s="99">
        <v>5864.4</v>
      </c>
      <c r="AH87" s="99">
        <v>5</v>
      </c>
      <c r="AI87" s="99">
        <v>9774</v>
      </c>
      <c r="AJ87" s="99">
        <v>4</v>
      </c>
      <c r="AK87" s="99">
        <v>7819.2</v>
      </c>
      <c r="AL87" s="99">
        <v>5</v>
      </c>
      <c r="AM87" s="99">
        <v>9774</v>
      </c>
      <c r="AN87" s="99">
        <v>4</v>
      </c>
      <c r="AO87" s="99">
        <v>7819.2</v>
      </c>
      <c r="AP87" s="99">
        <v>6</v>
      </c>
      <c r="AQ87" s="99">
        <v>11728.8</v>
      </c>
      <c r="AR87" s="99">
        <v>5</v>
      </c>
      <c r="AS87" s="99">
        <v>9774</v>
      </c>
      <c r="AT87" s="99">
        <v>6</v>
      </c>
      <c r="AU87" s="99">
        <v>11728.8</v>
      </c>
      <c r="AV87" s="99">
        <v>6</v>
      </c>
      <c r="AW87" s="99">
        <v>11728.8</v>
      </c>
      <c r="AX87" s="99">
        <v>6</v>
      </c>
      <c r="AY87" s="99">
        <v>11728.8</v>
      </c>
      <c r="AZ87" s="99">
        <v>5</v>
      </c>
      <c r="BA87" s="99">
        <v>9774</v>
      </c>
      <c r="BB87" s="99">
        <v>5</v>
      </c>
      <c r="BC87" s="99">
        <v>9774</v>
      </c>
      <c r="BD87" s="99">
        <v>4</v>
      </c>
      <c r="BE87" s="99">
        <v>7819.2</v>
      </c>
      <c r="BF87" s="99">
        <v>3</v>
      </c>
      <c r="BG87" s="99">
        <v>5864.4</v>
      </c>
      <c r="BH87" s="99">
        <v>5</v>
      </c>
      <c r="BI87" s="99">
        <v>9774</v>
      </c>
      <c r="BJ87" s="99">
        <v>6</v>
      </c>
      <c r="BK87" s="99">
        <v>11728.8</v>
      </c>
      <c r="BL87" s="99">
        <v>4</v>
      </c>
      <c r="BM87" s="99">
        <v>7819.2</v>
      </c>
      <c r="BN87" s="99">
        <v>6</v>
      </c>
      <c r="BO87" s="99">
        <v>11728.8</v>
      </c>
      <c r="BP87" s="99">
        <v>5</v>
      </c>
      <c r="BQ87" s="99">
        <v>9774</v>
      </c>
      <c r="BR87" s="99">
        <v>7</v>
      </c>
      <c r="BS87" s="99">
        <v>13683.6</v>
      </c>
      <c r="BT87" s="99">
        <v>6</v>
      </c>
      <c r="BU87" s="99">
        <v>11728.8</v>
      </c>
      <c r="BV87" s="99">
        <v>4</v>
      </c>
      <c r="BW87" s="99">
        <v>7819.2</v>
      </c>
      <c r="BX87" s="99">
        <v>6</v>
      </c>
      <c r="BY87" s="99">
        <v>11728.8</v>
      </c>
      <c r="BZ87" s="99">
        <v>5</v>
      </c>
      <c r="CA87" s="99">
        <v>9774</v>
      </c>
      <c r="CB87" s="99">
        <v>4</v>
      </c>
      <c r="CC87" s="99">
        <v>7819.2</v>
      </c>
      <c r="CD87" s="99">
        <v>6</v>
      </c>
      <c r="CE87" s="99">
        <v>11728.8</v>
      </c>
      <c r="CF87" s="99">
        <v>5</v>
      </c>
      <c r="CG87" s="99">
        <v>9774</v>
      </c>
      <c r="CH87" s="99">
        <v>5</v>
      </c>
      <c r="CI87" s="99">
        <v>9774</v>
      </c>
      <c r="CJ87" s="99">
        <v>5</v>
      </c>
      <c r="CK87" s="99">
        <v>9774</v>
      </c>
      <c r="CL87" s="99">
        <v>4</v>
      </c>
      <c r="CM87" s="99">
        <v>7819.2</v>
      </c>
      <c r="CN87" s="99">
        <v>7</v>
      </c>
      <c r="CO87" s="99">
        <v>13683.6</v>
      </c>
      <c r="CP87" s="99">
        <v>7</v>
      </c>
      <c r="CQ87" s="99">
        <v>13683.6</v>
      </c>
      <c r="CR87" s="99">
        <v>7</v>
      </c>
      <c r="CS87" s="99">
        <v>13683.6</v>
      </c>
      <c r="CT87" s="99">
        <v>5</v>
      </c>
      <c r="CU87" s="99">
        <v>9774</v>
      </c>
    </row>
    <row r="88" spans="2:99">
      <c r="C88" s="98" t="s">
        <v>253</v>
      </c>
      <c r="D88" s="99">
        <v>0</v>
      </c>
      <c r="E88" s="99">
        <v>0</v>
      </c>
      <c r="F88" s="99">
        <v>0</v>
      </c>
      <c r="G88" s="99">
        <v>0</v>
      </c>
      <c r="H88" s="99">
        <v>0</v>
      </c>
      <c r="I88" s="99">
        <v>0</v>
      </c>
      <c r="J88" s="99">
        <v>4</v>
      </c>
      <c r="K88" s="99">
        <v>7569.5999999999995</v>
      </c>
      <c r="L88" s="99">
        <v>3</v>
      </c>
      <c r="M88" s="99">
        <v>5677.2</v>
      </c>
      <c r="N88" s="99">
        <v>4</v>
      </c>
      <c r="O88" s="99">
        <v>7569.5999999999995</v>
      </c>
      <c r="P88" s="99">
        <v>6</v>
      </c>
      <c r="Q88" s="99">
        <v>11354.4</v>
      </c>
      <c r="R88" s="99">
        <v>4</v>
      </c>
      <c r="S88" s="99">
        <v>7569.5999999999995</v>
      </c>
      <c r="T88" s="99">
        <v>6</v>
      </c>
      <c r="U88" s="99">
        <v>11354.4</v>
      </c>
      <c r="V88" s="99">
        <v>4</v>
      </c>
      <c r="W88" s="99">
        <v>7569.5999999999995</v>
      </c>
      <c r="X88" s="99">
        <v>7</v>
      </c>
      <c r="Y88" s="99">
        <v>13246.8</v>
      </c>
      <c r="Z88" s="99">
        <v>5</v>
      </c>
      <c r="AA88" s="99">
        <v>9462</v>
      </c>
      <c r="AB88" s="99">
        <v>3</v>
      </c>
      <c r="AC88" s="99">
        <v>5677.2</v>
      </c>
      <c r="AD88" s="99">
        <v>5</v>
      </c>
      <c r="AE88" s="99">
        <v>9462</v>
      </c>
      <c r="AF88" s="99">
        <v>3</v>
      </c>
      <c r="AG88" s="99">
        <v>5677.2</v>
      </c>
      <c r="AH88" s="99">
        <v>6</v>
      </c>
      <c r="AI88" s="99">
        <v>11354.4</v>
      </c>
      <c r="AJ88" s="99">
        <v>5</v>
      </c>
      <c r="AK88" s="99">
        <v>9462</v>
      </c>
      <c r="AL88" s="99">
        <v>6</v>
      </c>
      <c r="AM88" s="99">
        <v>11354.4</v>
      </c>
      <c r="AN88" s="99">
        <v>4</v>
      </c>
      <c r="AO88" s="99">
        <v>7569.5999999999995</v>
      </c>
      <c r="AP88" s="99">
        <v>6</v>
      </c>
      <c r="AQ88" s="99">
        <v>11354.4</v>
      </c>
      <c r="AR88" s="99">
        <v>4</v>
      </c>
      <c r="AS88" s="99">
        <v>7569.5999999999995</v>
      </c>
      <c r="AT88" s="99">
        <v>6</v>
      </c>
      <c r="AU88" s="99">
        <v>11354.4</v>
      </c>
      <c r="AV88" s="99">
        <v>5</v>
      </c>
      <c r="AW88" s="99">
        <v>9462</v>
      </c>
      <c r="AX88" s="99">
        <v>6</v>
      </c>
      <c r="AY88" s="99">
        <v>11354.4</v>
      </c>
      <c r="AZ88" s="99">
        <v>6</v>
      </c>
      <c r="BA88" s="99">
        <v>11354.4</v>
      </c>
      <c r="BB88" s="99">
        <v>5</v>
      </c>
      <c r="BC88" s="99">
        <v>9462</v>
      </c>
      <c r="BD88" s="99">
        <v>4</v>
      </c>
      <c r="BE88" s="99">
        <v>7569.5999999999995</v>
      </c>
      <c r="BF88" s="99">
        <v>3</v>
      </c>
      <c r="BG88" s="99">
        <v>5677.2</v>
      </c>
      <c r="BH88" s="99">
        <v>5</v>
      </c>
      <c r="BI88" s="99">
        <v>9462</v>
      </c>
      <c r="BJ88" s="99">
        <v>7</v>
      </c>
      <c r="BK88" s="99">
        <v>13246.8</v>
      </c>
      <c r="BL88" s="99">
        <v>4</v>
      </c>
      <c r="BM88" s="99">
        <v>7569.5999999999995</v>
      </c>
      <c r="BN88" s="99">
        <v>7</v>
      </c>
      <c r="BO88" s="99">
        <v>13246.8</v>
      </c>
      <c r="BP88" s="99">
        <v>5</v>
      </c>
      <c r="BQ88" s="99">
        <v>9462</v>
      </c>
      <c r="BR88" s="99">
        <v>7</v>
      </c>
      <c r="BS88" s="99">
        <v>13246.8</v>
      </c>
      <c r="BT88" s="99">
        <v>6</v>
      </c>
      <c r="BU88" s="99">
        <v>11354.4</v>
      </c>
      <c r="BV88" s="99">
        <v>4</v>
      </c>
      <c r="BW88" s="99">
        <v>7569.5999999999995</v>
      </c>
      <c r="BX88" s="99">
        <v>6</v>
      </c>
      <c r="BY88" s="99">
        <v>11354.4</v>
      </c>
      <c r="BZ88" s="99">
        <v>5</v>
      </c>
      <c r="CA88" s="99">
        <v>9462</v>
      </c>
      <c r="CB88" s="99">
        <v>4</v>
      </c>
      <c r="CC88" s="99">
        <v>7569.5999999999995</v>
      </c>
      <c r="CD88" s="99">
        <v>6</v>
      </c>
      <c r="CE88" s="99">
        <v>11354.4</v>
      </c>
      <c r="CF88" s="99">
        <v>5</v>
      </c>
      <c r="CG88" s="99">
        <v>9462</v>
      </c>
      <c r="CH88" s="99">
        <v>4</v>
      </c>
      <c r="CI88" s="99">
        <v>7569.5999999999995</v>
      </c>
      <c r="CJ88" s="99">
        <v>5</v>
      </c>
      <c r="CK88" s="99">
        <v>9462</v>
      </c>
      <c r="CL88" s="99">
        <v>3</v>
      </c>
      <c r="CM88" s="99">
        <v>5677.2</v>
      </c>
      <c r="CN88" s="99">
        <v>6</v>
      </c>
      <c r="CO88" s="99">
        <v>11354.4</v>
      </c>
      <c r="CP88" s="99">
        <v>6</v>
      </c>
      <c r="CQ88" s="99">
        <v>11354.4</v>
      </c>
      <c r="CR88" s="99">
        <v>7</v>
      </c>
      <c r="CS88" s="99">
        <v>13246.8</v>
      </c>
      <c r="CT88" s="99">
        <v>5</v>
      </c>
      <c r="CU88" s="99">
        <v>9462</v>
      </c>
    </row>
    <row r="89" spans="2:99">
      <c r="C89" s="98" t="s">
        <v>254</v>
      </c>
      <c r="D89" s="99">
        <v>0</v>
      </c>
      <c r="E89" s="99">
        <v>0</v>
      </c>
      <c r="F89" s="99">
        <v>0</v>
      </c>
      <c r="G89" s="99">
        <v>0</v>
      </c>
      <c r="H89" s="99">
        <v>0</v>
      </c>
      <c r="I89" s="99">
        <v>0</v>
      </c>
      <c r="J89" s="99">
        <v>4</v>
      </c>
      <c r="K89" s="99">
        <v>9590.4</v>
      </c>
      <c r="L89" s="99">
        <v>3</v>
      </c>
      <c r="M89" s="99">
        <v>7192.7999999999993</v>
      </c>
      <c r="N89" s="99">
        <v>5</v>
      </c>
      <c r="O89" s="99">
        <v>11988</v>
      </c>
      <c r="P89" s="99">
        <v>6</v>
      </c>
      <c r="Q89" s="99">
        <v>14385.599999999999</v>
      </c>
      <c r="R89" s="99">
        <v>4</v>
      </c>
      <c r="S89" s="99">
        <v>9590.4</v>
      </c>
      <c r="T89" s="99">
        <v>6</v>
      </c>
      <c r="U89" s="99">
        <v>14385.599999999999</v>
      </c>
      <c r="V89" s="99">
        <v>4</v>
      </c>
      <c r="W89" s="99">
        <v>9590.4</v>
      </c>
      <c r="X89" s="99">
        <v>6</v>
      </c>
      <c r="Y89" s="99">
        <v>14385.599999999999</v>
      </c>
      <c r="Z89" s="99">
        <v>6</v>
      </c>
      <c r="AA89" s="99">
        <v>14385.599999999999</v>
      </c>
      <c r="AB89" s="99">
        <v>3</v>
      </c>
      <c r="AC89" s="99">
        <v>7192.7999999999993</v>
      </c>
      <c r="AD89" s="99">
        <v>6</v>
      </c>
      <c r="AE89" s="99">
        <v>14385.599999999999</v>
      </c>
      <c r="AF89" s="99">
        <v>3</v>
      </c>
      <c r="AG89" s="99">
        <v>7192.7999999999993</v>
      </c>
      <c r="AH89" s="99">
        <v>5</v>
      </c>
      <c r="AI89" s="99">
        <v>11988</v>
      </c>
      <c r="AJ89" s="99">
        <v>5</v>
      </c>
      <c r="AK89" s="99">
        <v>11988</v>
      </c>
      <c r="AL89" s="99">
        <v>5</v>
      </c>
      <c r="AM89" s="99">
        <v>11988</v>
      </c>
      <c r="AN89" s="99">
        <v>4</v>
      </c>
      <c r="AO89" s="99">
        <v>9590.4</v>
      </c>
      <c r="AP89" s="99">
        <v>6</v>
      </c>
      <c r="AQ89" s="99">
        <v>14385.599999999999</v>
      </c>
      <c r="AR89" s="99">
        <v>5</v>
      </c>
      <c r="AS89" s="99">
        <v>11988</v>
      </c>
      <c r="AT89" s="99">
        <v>6</v>
      </c>
      <c r="AU89" s="99">
        <v>14385.599999999999</v>
      </c>
      <c r="AV89" s="99">
        <v>6</v>
      </c>
      <c r="AW89" s="99">
        <v>14385.599999999999</v>
      </c>
      <c r="AX89" s="99">
        <v>6</v>
      </c>
      <c r="AY89" s="99">
        <v>14385.599999999999</v>
      </c>
      <c r="AZ89" s="99">
        <v>6</v>
      </c>
      <c r="BA89" s="99">
        <v>14385.599999999999</v>
      </c>
      <c r="BB89" s="99">
        <v>5</v>
      </c>
      <c r="BC89" s="99">
        <v>11988</v>
      </c>
      <c r="BD89" s="99">
        <v>3</v>
      </c>
      <c r="BE89" s="99">
        <v>7192.7999999999993</v>
      </c>
      <c r="BF89" s="99">
        <v>3</v>
      </c>
      <c r="BG89" s="99">
        <v>7192.7999999999993</v>
      </c>
      <c r="BH89" s="99">
        <v>6</v>
      </c>
      <c r="BI89" s="99">
        <v>14385.599999999999</v>
      </c>
      <c r="BJ89" s="99">
        <v>6</v>
      </c>
      <c r="BK89" s="99">
        <v>14385.599999999999</v>
      </c>
      <c r="BL89" s="99">
        <v>4</v>
      </c>
      <c r="BM89" s="99">
        <v>9590.4</v>
      </c>
      <c r="BN89" s="99">
        <v>6</v>
      </c>
      <c r="BO89" s="99">
        <v>14385.599999999999</v>
      </c>
      <c r="BP89" s="99">
        <v>5</v>
      </c>
      <c r="BQ89" s="99">
        <v>11988</v>
      </c>
      <c r="BR89" s="99">
        <v>7</v>
      </c>
      <c r="BS89" s="99">
        <v>16783.2</v>
      </c>
      <c r="BT89" s="99">
        <v>5</v>
      </c>
      <c r="BU89" s="99">
        <v>11988</v>
      </c>
      <c r="BV89" s="99">
        <v>4</v>
      </c>
      <c r="BW89" s="99">
        <v>9590.4</v>
      </c>
      <c r="BX89" s="99">
        <v>6</v>
      </c>
      <c r="BY89" s="99">
        <v>14385.599999999999</v>
      </c>
      <c r="BZ89" s="99">
        <v>5</v>
      </c>
      <c r="CA89" s="99">
        <v>11988</v>
      </c>
      <c r="CB89" s="99">
        <v>4</v>
      </c>
      <c r="CC89" s="99">
        <v>9590.4</v>
      </c>
      <c r="CD89" s="99">
        <v>6</v>
      </c>
      <c r="CE89" s="99">
        <v>14385.599999999999</v>
      </c>
      <c r="CF89" s="99">
        <v>5</v>
      </c>
      <c r="CG89" s="99">
        <v>11988</v>
      </c>
      <c r="CH89" s="99">
        <v>4</v>
      </c>
      <c r="CI89" s="99">
        <v>9590.4</v>
      </c>
      <c r="CJ89" s="99">
        <v>5</v>
      </c>
      <c r="CK89" s="99">
        <v>11988</v>
      </c>
      <c r="CL89" s="99">
        <v>4</v>
      </c>
      <c r="CM89" s="99">
        <v>9590.4</v>
      </c>
      <c r="CN89" s="99">
        <v>6</v>
      </c>
      <c r="CO89" s="99">
        <v>14385.599999999999</v>
      </c>
      <c r="CP89" s="99">
        <v>7</v>
      </c>
      <c r="CQ89" s="99">
        <v>16783.2</v>
      </c>
      <c r="CR89" s="99">
        <v>6</v>
      </c>
      <c r="CS89" s="99">
        <v>14385.599999999999</v>
      </c>
      <c r="CT89" s="99">
        <v>5</v>
      </c>
      <c r="CU89" s="99">
        <v>11988</v>
      </c>
    </row>
    <row r="90" spans="2:99">
      <c r="C90" s="98" t="s">
        <v>255</v>
      </c>
      <c r="D90" s="99">
        <v>0</v>
      </c>
      <c r="E90" s="99">
        <v>0</v>
      </c>
      <c r="F90" s="99">
        <v>0</v>
      </c>
      <c r="G90" s="99">
        <v>0</v>
      </c>
      <c r="H90" s="99">
        <v>0</v>
      </c>
      <c r="I90" s="99">
        <v>0</v>
      </c>
      <c r="J90" s="99">
        <v>4</v>
      </c>
      <c r="K90" s="99">
        <v>8788.7999999999993</v>
      </c>
      <c r="L90" s="99">
        <v>3</v>
      </c>
      <c r="M90" s="99">
        <v>6591.5999999999995</v>
      </c>
      <c r="N90" s="99">
        <v>4</v>
      </c>
      <c r="O90" s="99">
        <v>8788.7999999999993</v>
      </c>
      <c r="P90" s="99">
        <v>6</v>
      </c>
      <c r="Q90" s="99">
        <v>13183.199999999999</v>
      </c>
      <c r="R90" s="99">
        <v>4</v>
      </c>
      <c r="S90" s="99">
        <v>8788.7999999999993</v>
      </c>
      <c r="T90" s="99">
        <v>6</v>
      </c>
      <c r="U90" s="99">
        <v>13183.199999999999</v>
      </c>
      <c r="V90" s="99">
        <v>4</v>
      </c>
      <c r="W90" s="99">
        <v>8788.7999999999993</v>
      </c>
      <c r="X90" s="99">
        <v>6</v>
      </c>
      <c r="Y90" s="99">
        <v>13183.199999999999</v>
      </c>
      <c r="Z90" s="99">
        <v>5</v>
      </c>
      <c r="AA90" s="99">
        <v>10986</v>
      </c>
      <c r="AB90" s="99">
        <v>3</v>
      </c>
      <c r="AC90" s="99">
        <v>6591.5999999999995</v>
      </c>
      <c r="AD90" s="99">
        <v>6</v>
      </c>
      <c r="AE90" s="99">
        <v>13183.199999999999</v>
      </c>
      <c r="AF90" s="99">
        <v>4</v>
      </c>
      <c r="AG90" s="99">
        <v>8788.7999999999993</v>
      </c>
      <c r="AH90" s="99">
        <v>6</v>
      </c>
      <c r="AI90" s="99">
        <v>13183.199999999999</v>
      </c>
      <c r="AJ90" s="99">
        <v>5</v>
      </c>
      <c r="AK90" s="99">
        <v>10986</v>
      </c>
      <c r="AL90" s="99">
        <v>5</v>
      </c>
      <c r="AM90" s="99">
        <v>10986</v>
      </c>
      <c r="AN90" s="99">
        <v>4</v>
      </c>
      <c r="AO90" s="99">
        <v>8788.7999999999993</v>
      </c>
      <c r="AP90" s="99">
        <v>6</v>
      </c>
      <c r="AQ90" s="99">
        <v>13183.199999999999</v>
      </c>
      <c r="AR90" s="99">
        <v>5</v>
      </c>
      <c r="AS90" s="99">
        <v>10986</v>
      </c>
      <c r="AT90" s="99">
        <v>6</v>
      </c>
      <c r="AU90" s="99">
        <v>13183.199999999999</v>
      </c>
      <c r="AV90" s="99">
        <v>6</v>
      </c>
      <c r="AW90" s="99">
        <v>13183.199999999999</v>
      </c>
      <c r="AX90" s="99">
        <v>6</v>
      </c>
      <c r="AY90" s="99">
        <v>13183.199999999999</v>
      </c>
      <c r="AZ90" s="99">
        <v>6</v>
      </c>
      <c r="BA90" s="99">
        <v>13183.199999999999</v>
      </c>
      <c r="BB90" s="99">
        <v>5</v>
      </c>
      <c r="BC90" s="99">
        <v>10986</v>
      </c>
      <c r="BD90" s="99">
        <v>3</v>
      </c>
      <c r="BE90" s="99">
        <v>6591.5999999999995</v>
      </c>
      <c r="BF90" s="99">
        <v>3</v>
      </c>
      <c r="BG90" s="99">
        <v>6591.5999999999995</v>
      </c>
      <c r="BH90" s="99">
        <v>6</v>
      </c>
      <c r="BI90" s="99">
        <v>13183.199999999999</v>
      </c>
      <c r="BJ90" s="99">
        <v>6</v>
      </c>
      <c r="BK90" s="99">
        <v>13183.199999999999</v>
      </c>
      <c r="BL90" s="99">
        <v>4</v>
      </c>
      <c r="BM90" s="99">
        <v>8788.7999999999993</v>
      </c>
      <c r="BN90" s="99">
        <v>6</v>
      </c>
      <c r="BO90" s="99">
        <v>13183.199999999999</v>
      </c>
      <c r="BP90" s="99">
        <v>5</v>
      </c>
      <c r="BQ90" s="99">
        <v>10986</v>
      </c>
      <c r="BR90" s="99">
        <v>7</v>
      </c>
      <c r="BS90" s="99">
        <v>15380.399999999998</v>
      </c>
      <c r="BT90" s="99">
        <v>6</v>
      </c>
      <c r="BU90" s="99">
        <v>13183.199999999999</v>
      </c>
      <c r="BV90" s="99">
        <v>4</v>
      </c>
      <c r="BW90" s="99">
        <v>8788.7999999999993</v>
      </c>
      <c r="BX90" s="99">
        <v>5</v>
      </c>
      <c r="BY90" s="99">
        <v>10986</v>
      </c>
      <c r="BZ90" s="99">
        <v>5</v>
      </c>
      <c r="CA90" s="99">
        <v>10986</v>
      </c>
      <c r="CB90" s="99">
        <v>4</v>
      </c>
      <c r="CC90" s="99">
        <v>8788.7999999999993</v>
      </c>
      <c r="CD90" s="99">
        <v>6</v>
      </c>
      <c r="CE90" s="99">
        <v>13183.199999999999</v>
      </c>
      <c r="CF90" s="99">
        <v>4</v>
      </c>
      <c r="CG90" s="99">
        <v>8788.7999999999993</v>
      </c>
      <c r="CH90" s="99">
        <v>5</v>
      </c>
      <c r="CI90" s="99">
        <v>10986</v>
      </c>
      <c r="CJ90" s="99">
        <v>6</v>
      </c>
      <c r="CK90" s="99">
        <v>13183.199999999999</v>
      </c>
      <c r="CL90" s="99">
        <v>3</v>
      </c>
      <c r="CM90" s="99">
        <v>6591.5999999999995</v>
      </c>
      <c r="CN90" s="99">
        <v>6</v>
      </c>
      <c r="CO90" s="99">
        <v>13183.199999999999</v>
      </c>
      <c r="CP90" s="99">
        <v>6</v>
      </c>
      <c r="CQ90" s="99">
        <v>13183.199999999999</v>
      </c>
      <c r="CR90" s="99">
        <v>7</v>
      </c>
      <c r="CS90" s="99">
        <v>15380.399999999998</v>
      </c>
      <c r="CT90" s="99">
        <v>5</v>
      </c>
      <c r="CU90" s="99">
        <v>10986</v>
      </c>
    </row>
    <row r="91" spans="2:99">
      <c r="C91" s="98" t="s">
        <v>256</v>
      </c>
      <c r="D91" s="99">
        <v>0</v>
      </c>
      <c r="E91" s="99">
        <v>0</v>
      </c>
      <c r="F91" s="99">
        <v>0</v>
      </c>
      <c r="G91" s="99">
        <v>0</v>
      </c>
      <c r="H91" s="99">
        <v>0</v>
      </c>
      <c r="I91" s="99">
        <v>0</v>
      </c>
      <c r="J91" s="99">
        <v>4</v>
      </c>
      <c r="K91" s="99">
        <v>9187.1999999999989</v>
      </c>
      <c r="L91" s="99">
        <v>3</v>
      </c>
      <c r="M91" s="99">
        <v>6890.4</v>
      </c>
      <c r="N91" s="99">
        <v>5</v>
      </c>
      <c r="O91" s="99">
        <v>11483.999999999998</v>
      </c>
      <c r="P91" s="99">
        <v>6</v>
      </c>
      <c r="Q91" s="99">
        <v>13780.8</v>
      </c>
      <c r="R91" s="99">
        <v>4</v>
      </c>
      <c r="S91" s="99">
        <v>9187.1999999999989</v>
      </c>
      <c r="T91" s="99">
        <v>6</v>
      </c>
      <c r="U91" s="99">
        <v>13780.8</v>
      </c>
      <c r="V91" s="99">
        <v>4</v>
      </c>
      <c r="W91" s="99">
        <v>9187.1999999999989</v>
      </c>
      <c r="X91" s="99">
        <v>6</v>
      </c>
      <c r="Y91" s="99">
        <v>13780.8</v>
      </c>
      <c r="Z91" s="99">
        <v>5</v>
      </c>
      <c r="AA91" s="99">
        <v>11483.999999999998</v>
      </c>
      <c r="AB91" s="99">
        <v>3</v>
      </c>
      <c r="AC91" s="99">
        <v>6890.4</v>
      </c>
      <c r="AD91" s="99">
        <v>5</v>
      </c>
      <c r="AE91" s="99">
        <v>11483.999999999998</v>
      </c>
      <c r="AF91" s="99">
        <v>3</v>
      </c>
      <c r="AG91" s="99">
        <v>6890.4</v>
      </c>
      <c r="AH91" s="99">
        <v>6</v>
      </c>
      <c r="AI91" s="99">
        <v>13780.8</v>
      </c>
      <c r="AJ91" s="99">
        <v>4</v>
      </c>
      <c r="AK91" s="99">
        <v>9187.1999999999989</v>
      </c>
      <c r="AL91" s="99">
        <v>5</v>
      </c>
      <c r="AM91" s="99">
        <v>11483.999999999998</v>
      </c>
      <c r="AN91" s="99">
        <v>4</v>
      </c>
      <c r="AO91" s="99">
        <v>9187.1999999999989</v>
      </c>
      <c r="AP91" s="99">
        <v>6</v>
      </c>
      <c r="AQ91" s="99">
        <v>13780.8</v>
      </c>
      <c r="AR91" s="99">
        <v>4</v>
      </c>
      <c r="AS91" s="99">
        <v>9187.1999999999989</v>
      </c>
      <c r="AT91" s="99">
        <v>6</v>
      </c>
      <c r="AU91" s="99">
        <v>13780.8</v>
      </c>
      <c r="AV91" s="99">
        <v>6</v>
      </c>
      <c r="AW91" s="99">
        <v>13780.8</v>
      </c>
      <c r="AX91" s="99">
        <v>7</v>
      </c>
      <c r="AY91" s="99">
        <v>16077.599999999999</v>
      </c>
      <c r="AZ91" s="99">
        <v>6</v>
      </c>
      <c r="BA91" s="99">
        <v>13780.8</v>
      </c>
      <c r="BB91" s="99">
        <v>5</v>
      </c>
      <c r="BC91" s="99">
        <v>11483.999999999998</v>
      </c>
      <c r="BD91" s="99">
        <v>4</v>
      </c>
      <c r="BE91" s="99">
        <v>9187.1999999999989</v>
      </c>
      <c r="BF91" s="99">
        <v>4</v>
      </c>
      <c r="BG91" s="99">
        <v>9187.1999999999989</v>
      </c>
      <c r="BH91" s="99">
        <v>6</v>
      </c>
      <c r="BI91" s="99">
        <v>13780.8</v>
      </c>
      <c r="BJ91" s="99">
        <v>6</v>
      </c>
      <c r="BK91" s="99">
        <v>13780.8</v>
      </c>
      <c r="BL91" s="99">
        <v>4</v>
      </c>
      <c r="BM91" s="99">
        <v>9187.1999999999989</v>
      </c>
      <c r="BN91" s="99">
        <v>6</v>
      </c>
      <c r="BO91" s="99">
        <v>13780.8</v>
      </c>
      <c r="BP91" s="99">
        <v>5</v>
      </c>
      <c r="BQ91" s="99">
        <v>11483.999999999998</v>
      </c>
      <c r="BR91" s="99">
        <v>7</v>
      </c>
      <c r="BS91" s="99">
        <v>16077.599999999999</v>
      </c>
      <c r="BT91" s="99">
        <v>6</v>
      </c>
      <c r="BU91" s="99">
        <v>13780.8</v>
      </c>
      <c r="BV91" s="99">
        <v>4</v>
      </c>
      <c r="BW91" s="99">
        <v>9187.1999999999989</v>
      </c>
      <c r="BX91" s="99">
        <v>6</v>
      </c>
      <c r="BY91" s="99">
        <v>13780.8</v>
      </c>
      <c r="BZ91" s="99">
        <v>5</v>
      </c>
      <c r="CA91" s="99">
        <v>11483.999999999998</v>
      </c>
      <c r="CB91" s="99">
        <v>4</v>
      </c>
      <c r="CC91" s="99">
        <v>9187.1999999999989</v>
      </c>
      <c r="CD91" s="99">
        <v>5</v>
      </c>
      <c r="CE91" s="99">
        <v>11483.999999999998</v>
      </c>
      <c r="CF91" s="99">
        <v>4</v>
      </c>
      <c r="CG91" s="99">
        <v>9187.1999999999989</v>
      </c>
      <c r="CH91" s="99">
        <v>4</v>
      </c>
      <c r="CI91" s="99">
        <v>9187.1999999999989</v>
      </c>
      <c r="CJ91" s="99">
        <v>6</v>
      </c>
      <c r="CK91" s="99">
        <v>13780.8</v>
      </c>
      <c r="CL91" s="99">
        <v>3</v>
      </c>
      <c r="CM91" s="99">
        <v>6890.4</v>
      </c>
      <c r="CN91" s="99">
        <v>6</v>
      </c>
      <c r="CO91" s="99">
        <v>13780.8</v>
      </c>
      <c r="CP91" s="99">
        <v>7</v>
      </c>
      <c r="CQ91" s="99">
        <v>16077.599999999999</v>
      </c>
      <c r="CR91" s="99">
        <v>7</v>
      </c>
      <c r="CS91" s="99">
        <v>16077.599999999999</v>
      </c>
      <c r="CT91" s="99">
        <v>5</v>
      </c>
      <c r="CU91" s="99">
        <v>11483.999999999998</v>
      </c>
    </row>
    <row r="92" spans="2:99">
      <c r="C92" s="98" t="s">
        <v>257</v>
      </c>
      <c r="D92" s="99">
        <v>0</v>
      </c>
      <c r="E92" s="99">
        <v>0</v>
      </c>
      <c r="F92" s="99">
        <v>0</v>
      </c>
      <c r="G92" s="99">
        <v>0</v>
      </c>
      <c r="H92" s="99">
        <v>0</v>
      </c>
      <c r="I92" s="99">
        <v>0</v>
      </c>
      <c r="J92" s="99">
        <v>4</v>
      </c>
      <c r="K92" s="99">
        <v>5683.2</v>
      </c>
      <c r="L92" s="99">
        <v>3</v>
      </c>
      <c r="M92" s="99">
        <v>4262.3999999999996</v>
      </c>
      <c r="N92" s="99">
        <v>4</v>
      </c>
      <c r="O92" s="99">
        <v>5683.2</v>
      </c>
      <c r="P92" s="99">
        <v>6</v>
      </c>
      <c r="Q92" s="99">
        <v>8524.7999999999993</v>
      </c>
      <c r="R92" s="99">
        <v>4</v>
      </c>
      <c r="S92" s="99">
        <v>5683.2</v>
      </c>
      <c r="T92" s="99">
        <v>6</v>
      </c>
      <c r="U92" s="99">
        <v>8524.7999999999993</v>
      </c>
      <c r="V92" s="99">
        <v>4</v>
      </c>
      <c r="W92" s="99">
        <v>5683.2</v>
      </c>
      <c r="X92" s="99">
        <v>7</v>
      </c>
      <c r="Y92" s="99">
        <v>9945.6</v>
      </c>
      <c r="Z92" s="99">
        <v>6</v>
      </c>
      <c r="AA92" s="99">
        <v>8524.7999999999993</v>
      </c>
      <c r="AB92" s="99">
        <v>3</v>
      </c>
      <c r="AC92" s="99">
        <v>4262.3999999999996</v>
      </c>
      <c r="AD92" s="99">
        <v>5</v>
      </c>
      <c r="AE92" s="99">
        <v>7104</v>
      </c>
      <c r="AF92" s="99">
        <v>3</v>
      </c>
      <c r="AG92" s="99">
        <v>4262.3999999999996</v>
      </c>
      <c r="AH92" s="99">
        <v>6</v>
      </c>
      <c r="AI92" s="99">
        <v>8524.7999999999993</v>
      </c>
      <c r="AJ92" s="99">
        <v>5</v>
      </c>
      <c r="AK92" s="99">
        <v>7104</v>
      </c>
      <c r="AL92" s="99">
        <v>6</v>
      </c>
      <c r="AM92" s="99">
        <v>8524.7999999999993</v>
      </c>
      <c r="AN92" s="99">
        <v>4</v>
      </c>
      <c r="AO92" s="99">
        <v>5683.2</v>
      </c>
      <c r="AP92" s="99">
        <v>6</v>
      </c>
      <c r="AQ92" s="99">
        <v>8524.7999999999993</v>
      </c>
      <c r="AR92" s="99">
        <v>5</v>
      </c>
      <c r="AS92" s="99">
        <v>7104</v>
      </c>
      <c r="AT92" s="99">
        <v>7</v>
      </c>
      <c r="AU92" s="99">
        <v>9945.6</v>
      </c>
      <c r="AV92" s="99">
        <v>6</v>
      </c>
      <c r="AW92" s="99">
        <v>8524.7999999999993</v>
      </c>
      <c r="AX92" s="99">
        <v>7</v>
      </c>
      <c r="AY92" s="99">
        <v>9945.6</v>
      </c>
      <c r="AZ92" s="99">
        <v>6</v>
      </c>
      <c r="BA92" s="99">
        <v>8524.7999999999993</v>
      </c>
      <c r="BB92" s="99">
        <v>5</v>
      </c>
      <c r="BC92" s="99">
        <v>7104</v>
      </c>
      <c r="BD92" s="99">
        <v>4</v>
      </c>
      <c r="BE92" s="99">
        <v>5683.2</v>
      </c>
      <c r="BF92" s="99">
        <v>4</v>
      </c>
      <c r="BG92" s="99">
        <v>5683.2</v>
      </c>
      <c r="BH92" s="99">
        <v>6</v>
      </c>
      <c r="BI92" s="99">
        <v>8524.7999999999993</v>
      </c>
      <c r="BJ92" s="99">
        <v>7</v>
      </c>
      <c r="BK92" s="99">
        <v>9945.6</v>
      </c>
      <c r="BL92" s="99">
        <v>4</v>
      </c>
      <c r="BM92" s="99">
        <v>5683.2</v>
      </c>
      <c r="BN92" s="99">
        <v>6</v>
      </c>
      <c r="BO92" s="99">
        <v>8524.7999999999993</v>
      </c>
      <c r="BP92" s="99">
        <v>5</v>
      </c>
      <c r="BQ92" s="99">
        <v>7104</v>
      </c>
      <c r="BR92" s="99">
        <v>7</v>
      </c>
      <c r="BS92" s="99">
        <v>9945.6</v>
      </c>
      <c r="BT92" s="99">
        <v>5</v>
      </c>
      <c r="BU92" s="99">
        <v>7104</v>
      </c>
      <c r="BV92" s="99">
        <v>4</v>
      </c>
      <c r="BW92" s="99">
        <v>5683.2</v>
      </c>
      <c r="BX92" s="99">
        <v>6</v>
      </c>
      <c r="BY92" s="99">
        <v>8524.7999999999993</v>
      </c>
      <c r="BZ92" s="99">
        <v>5</v>
      </c>
      <c r="CA92" s="99">
        <v>7104</v>
      </c>
      <c r="CB92" s="99">
        <v>4</v>
      </c>
      <c r="CC92" s="99">
        <v>5683.2</v>
      </c>
      <c r="CD92" s="99">
        <v>7</v>
      </c>
      <c r="CE92" s="99">
        <v>9945.6</v>
      </c>
      <c r="CF92" s="99">
        <v>5</v>
      </c>
      <c r="CG92" s="99">
        <v>7104</v>
      </c>
      <c r="CH92" s="99">
        <v>5</v>
      </c>
      <c r="CI92" s="99">
        <v>7104</v>
      </c>
      <c r="CJ92" s="99">
        <v>6</v>
      </c>
      <c r="CK92" s="99">
        <v>8524.7999999999993</v>
      </c>
      <c r="CL92" s="99">
        <v>3</v>
      </c>
      <c r="CM92" s="99">
        <v>4262.3999999999996</v>
      </c>
      <c r="CN92" s="99">
        <v>7</v>
      </c>
      <c r="CO92" s="99">
        <v>9945.6</v>
      </c>
      <c r="CP92" s="99">
        <v>6</v>
      </c>
      <c r="CQ92" s="99">
        <v>8524.7999999999993</v>
      </c>
      <c r="CR92" s="99">
        <v>7</v>
      </c>
      <c r="CS92" s="99">
        <v>9945.6</v>
      </c>
      <c r="CT92" s="99">
        <v>5</v>
      </c>
      <c r="CU92" s="99">
        <v>7104</v>
      </c>
    </row>
    <row r="93" spans="2:99">
      <c r="C93" s="98" t="s">
        <v>258</v>
      </c>
      <c r="D93" s="99">
        <v>0</v>
      </c>
      <c r="E93" s="99">
        <v>0</v>
      </c>
      <c r="F93" s="99">
        <v>0</v>
      </c>
      <c r="G93" s="99">
        <v>0</v>
      </c>
      <c r="H93" s="99">
        <v>0</v>
      </c>
      <c r="I93" s="99">
        <v>0</v>
      </c>
      <c r="J93" s="99">
        <v>4</v>
      </c>
      <c r="K93" s="99">
        <v>7089.5999999999995</v>
      </c>
      <c r="L93" s="99">
        <v>3</v>
      </c>
      <c r="M93" s="99">
        <v>5317.2</v>
      </c>
      <c r="N93" s="99">
        <v>5</v>
      </c>
      <c r="O93" s="99">
        <v>8862</v>
      </c>
      <c r="P93" s="99">
        <v>6</v>
      </c>
      <c r="Q93" s="99">
        <v>10634.4</v>
      </c>
      <c r="R93" s="99">
        <v>4</v>
      </c>
      <c r="S93" s="99">
        <v>7089.5999999999995</v>
      </c>
      <c r="T93" s="99">
        <v>5</v>
      </c>
      <c r="U93" s="99">
        <v>8862</v>
      </c>
      <c r="V93" s="99">
        <v>4</v>
      </c>
      <c r="W93" s="99">
        <v>7089.5999999999995</v>
      </c>
      <c r="X93" s="99">
        <v>7</v>
      </c>
      <c r="Y93" s="99">
        <v>12406.8</v>
      </c>
      <c r="Z93" s="99">
        <v>6</v>
      </c>
      <c r="AA93" s="99">
        <v>10634.4</v>
      </c>
      <c r="AB93" s="99">
        <v>3</v>
      </c>
      <c r="AC93" s="99">
        <v>5317.2</v>
      </c>
      <c r="AD93" s="99">
        <v>5</v>
      </c>
      <c r="AE93" s="99">
        <v>8862</v>
      </c>
      <c r="AF93" s="99">
        <v>4</v>
      </c>
      <c r="AG93" s="99">
        <v>7089.5999999999995</v>
      </c>
      <c r="AH93" s="99">
        <v>5</v>
      </c>
      <c r="AI93" s="99">
        <v>8862</v>
      </c>
      <c r="AJ93" s="99">
        <v>5</v>
      </c>
      <c r="AK93" s="99">
        <v>8862</v>
      </c>
      <c r="AL93" s="99">
        <v>6</v>
      </c>
      <c r="AM93" s="99">
        <v>10634.4</v>
      </c>
      <c r="AN93" s="99">
        <v>4</v>
      </c>
      <c r="AO93" s="99">
        <v>7089.5999999999995</v>
      </c>
      <c r="AP93" s="99">
        <v>6</v>
      </c>
      <c r="AQ93" s="99">
        <v>10634.4</v>
      </c>
      <c r="AR93" s="99">
        <v>5</v>
      </c>
      <c r="AS93" s="99">
        <v>8862</v>
      </c>
      <c r="AT93" s="99">
        <v>6</v>
      </c>
      <c r="AU93" s="99">
        <v>10634.4</v>
      </c>
      <c r="AV93" s="99">
        <v>6</v>
      </c>
      <c r="AW93" s="99">
        <v>10634.4</v>
      </c>
      <c r="AX93" s="99">
        <v>6</v>
      </c>
      <c r="AY93" s="99">
        <v>10634.4</v>
      </c>
      <c r="AZ93" s="99">
        <v>6</v>
      </c>
      <c r="BA93" s="99">
        <v>10634.4</v>
      </c>
      <c r="BB93" s="99">
        <v>5</v>
      </c>
      <c r="BC93" s="99">
        <v>8862</v>
      </c>
      <c r="BD93" s="99">
        <v>4</v>
      </c>
      <c r="BE93" s="99">
        <v>7089.5999999999995</v>
      </c>
      <c r="BF93" s="99">
        <v>4</v>
      </c>
      <c r="BG93" s="99">
        <v>7089.5999999999995</v>
      </c>
      <c r="BH93" s="99">
        <v>6</v>
      </c>
      <c r="BI93" s="99">
        <v>10634.4</v>
      </c>
      <c r="BJ93" s="99">
        <v>6</v>
      </c>
      <c r="BK93" s="99">
        <v>10634.4</v>
      </c>
      <c r="BL93" s="99">
        <v>4</v>
      </c>
      <c r="BM93" s="99">
        <v>7089.5999999999995</v>
      </c>
      <c r="BN93" s="99">
        <v>7</v>
      </c>
      <c r="BO93" s="99">
        <v>12406.8</v>
      </c>
      <c r="BP93" s="99">
        <v>5</v>
      </c>
      <c r="BQ93" s="99">
        <v>8862</v>
      </c>
      <c r="BR93" s="99">
        <v>7</v>
      </c>
      <c r="BS93" s="99">
        <v>12406.8</v>
      </c>
      <c r="BT93" s="99">
        <v>6</v>
      </c>
      <c r="BU93" s="99">
        <v>10634.4</v>
      </c>
      <c r="BV93" s="99">
        <v>4</v>
      </c>
      <c r="BW93" s="99">
        <v>7089.5999999999995</v>
      </c>
      <c r="BX93" s="99">
        <v>6</v>
      </c>
      <c r="BY93" s="99">
        <v>10634.4</v>
      </c>
      <c r="BZ93" s="99">
        <v>5</v>
      </c>
      <c r="CA93" s="99">
        <v>8862</v>
      </c>
      <c r="CB93" s="99">
        <v>4</v>
      </c>
      <c r="CC93" s="99">
        <v>7089.5999999999995</v>
      </c>
      <c r="CD93" s="99">
        <v>5</v>
      </c>
      <c r="CE93" s="99">
        <v>8862</v>
      </c>
      <c r="CF93" s="99">
        <v>5</v>
      </c>
      <c r="CG93" s="99">
        <v>8862</v>
      </c>
      <c r="CH93" s="99">
        <v>4</v>
      </c>
      <c r="CI93" s="99">
        <v>7089.5999999999995</v>
      </c>
      <c r="CJ93" s="99">
        <v>6</v>
      </c>
      <c r="CK93" s="99">
        <v>10634.4</v>
      </c>
      <c r="CL93" s="99">
        <v>3</v>
      </c>
      <c r="CM93" s="99">
        <v>5317.2</v>
      </c>
      <c r="CN93" s="99">
        <v>6</v>
      </c>
      <c r="CO93" s="99">
        <v>10634.4</v>
      </c>
      <c r="CP93" s="99">
        <v>7</v>
      </c>
      <c r="CQ93" s="99">
        <v>12406.8</v>
      </c>
      <c r="CR93" s="99">
        <v>6</v>
      </c>
      <c r="CS93" s="99">
        <v>10634.4</v>
      </c>
      <c r="CT93" s="99">
        <v>4</v>
      </c>
      <c r="CU93" s="99">
        <v>7089.5999999999995</v>
      </c>
    </row>
    <row r="94" spans="2:99">
      <c r="C94" s="98" t="s">
        <v>259</v>
      </c>
      <c r="D94" s="99">
        <v>0</v>
      </c>
      <c r="E94" s="99">
        <v>0</v>
      </c>
      <c r="F94" s="99">
        <v>0</v>
      </c>
      <c r="G94" s="99">
        <v>0</v>
      </c>
      <c r="H94" s="99">
        <v>0</v>
      </c>
      <c r="I94" s="99">
        <v>0</v>
      </c>
      <c r="J94" s="99">
        <v>4</v>
      </c>
      <c r="K94" s="99">
        <v>9580.7999999999993</v>
      </c>
      <c r="L94" s="99">
        <v>3</v>
      </c>
      <c r="M94" s="99">
        <v>7185.5999999999995</v>
      </c>
      <c r="N94" s="99">
        <v>4</v>
      </c>
      <c r="O94" s="99">
        <v>9580.7999999999993</v>
      </c>
      <c r="P94" s="99">
        <v>5</v>
      </c>
      <c r="Q94" s="99">
        <v>11976</v>
      </c>
      <c r="R94" s="99">
        <v>4</v>
      </c>
      <c r="S94" s="99">
        <v>9580.7999999999993</v>
      </c>
      <c r="T94" s="99">
        <v>6</v>
      </c>
      <c r="U94" s="99">
        <v>14371.199999999999</v>
      </c>
      <c r="V94" s="99">
        <v>4</v>
      </c>
      <c r="W94" s="99">
        <v>9580.7999999999993</v>
      </c>
      <c r="X94" s="99">
        <v>6</v>
      </c>
      <c r="Y94" s="99">
        <v>14371.199999999999</v>
      </c>
      <c r="Z94" s="99">
        <v>5</v>
      </c>
      <c r="AA94" s="99">
        <v>11976</v>
      </c>
      <c r="AB94" s="99">
        <v>3</v>
      </c>
      <c r="AC94" s="99">
        <v>7185.5999999999995</v>
      </c>
      <c r="AD94" s="99">
        <v>5</v>
      </c>
      <c r="AE94" s="99">
        <v>11976</v>
      </c>
      <c r="AF94" s="99">
        <v>3</v>
      </c>
      <c r="AG94" s="99">
        <v>7185.5999999999995</v>
      </c>
      <c r="AH94" s="99">
        <v>5</v>
      </c>
      <c r="AI94" s="99">
        <v>11976</v>
      </c>
      <c r="AJ94" s="99">
        <v>4</v>
      </c>
      <c r="AK94" s="99">
        <v>9580.7999999999993</v>
      </c>
      <c r="AL94" s="99">
        <v>5</v>
      </c>
      <c r="AM94" s="99">
        <v>11976</v>
      </c>
      <c r="AN94" s="99">
        <v>4</v>
      </c>
      <c r="AO94" s="99">
        <v>9580.7999999999993</v>
      </c>
      <c r="AP94" s="99">
        <v>6</v>
      </c>
      <c r="AQ94" s="99">
        <v>14371.199999999999</v>
      </c>
      <c r="AR94" s="99">
        <v>4</v>
      </c>
      <c r="AS94" s="99">
        <v>9580.7999999999993</v>
      </c>
      <c r="AT94" s="99">
        <v>6</v>
      </c>
      <c r="AU94" s="99">
        <v>14371.199999999999</v>
      </c>
      <c r="AV94" s="99">
        <v>5</v>
      </c>
      <c r="AW94" s="99">
        <v>11976</v>
      </c>
      <c r="AX94" s="99">
        <v>6</v>
      </c>
      <c r="AY94" s="99">
        <v>14371.199999999999</v>
      </c>
      <c r="AZ94" s="99">
        <v>6</v>
      </c>
      <c r="BA94" s="99">
        <v>14371.199999999999</v>
      </c>
      <c r="BB94" s="99">
        <v>5</v>
      </c>
      <c r="BC94" s="99">
        <v>11976</v>
      </c>
      <c r="BD94" s="99">
        <v>4</v>
      </c>
      <c r="BE94" s="99">
        <v>9580.7999999999993</v>
      </c>
      <c r="BF94" s="99">
        <v>4</v>
      </c>
      <c r="BG94" s="99">
        <v>9580.7999999999993</v>
      </c>
      <c r="BH94" s="99">
        <v>5</v>
      </c>
      <c r="BI94" s="99">
        <v>11976</v>
      </c>
      <c r="BJ94" s="99">
        <v>6</v>
      </c>
      <c r="BK94" s="99">
        <v>14371.199999999999</v>
      </c>
      <c r="BL94" s="99">
        <v>4</v>
      </c>
      <c r="BM94" s="99">
        <v>9580.7999999999993</v>
      </c>
      <c r="BN94" s="99">
        <v>7</v>
      </c>
      <c r="BO94" s="99">
        <v>16766.399999999998</v>
      </c>
      <c r="BP94" s="99">
        <v>5</v>
      </c>
      <c r="BQ94" s="99">
        <v>11976</v>
      </c>
      <c r="BR94" s="99">
        <v>7</v>
      </c>
      <c r="BS94" s="99">
        <v>16766.399999999998</v>
      </c>
      <c r="BT94" s="99">
        <v>6</v>
      </c>
      <c r="BU94" s="99">
        <v>14371.199999999999</v>
      </c>
      <c r="BV94" s="99">
        <v>4</v>
      </c>
      <c r="BW94" s="99">
        <v>9580.7999999999993</v>
      </c>
      <c r="BX94" s="99">
        <v>6</v>
      </c>
      <c r="BY94" s="99">
        <v>14371.199999999999</v>
      </c>
      <c r="BZ94" s="99">
        <v>5</v>
      </c>
      <c r="CA94" s="99">
        <v>11976</v>
      </c>
      <c r="CB94" s="99">
        <v>4</v>
      </c>
      <c r="CC94" s="99">
        <v>9580.7999999999993</v>
      </c>
      <c r="CD94" s="99">
        <v>5</v>
      </c>
      <c r="CE94" s="99">
        <v>11976</v>
      </c>
      <c r="CF94" s="99">
        <v>5</v>
      </c>
      <c r="CG94" s="99">
        <v>11976</v>
      </c>
      <c r="CH94" s="99">
        <v>4</v>
      </c>
      <c r="CI94" s="99">
        <v>9580.7999999999993</v>
      </c>
      <c r="CJ94" s="99">
        <v>5</v>
      </c>
      <c r="CK94" s="99">
        <v>11976</v>
      </c>
      <c r="CL94" s="99">
        <v>4</v>
      </c>
      <c r="CM94" s="99">
        <v>9580.7999999999993</v>
      </c>
      <c r="CN94" s="99">
        <v>7</v>
      </c>
      <c r="CO94" s="99">
        <v>16766.399999999998</v>
      </c>
      <c r="CP94" s="99">
        <v>7</v>
      </c>
      <c r="CQ94" s="99">
        <v>16766.399999999998</v>
      </c>
      <c r="CR94" s="99">
        <v>6</v>
      </c>
      <c r="CS94" s="99">
        <v>14371.199999999999</v>
      </c>
      <c r="CT94" s="99">
        <v>5</v>
      </c>
      <c r="CU94" s="99">
        <v>11976</v>
      </c>
    </row>
    <row r="95" spans="2:99">
      <c r="B95" s="98" t="s">
        <v>132</v>
      </c>
      <c r="C95" s="98" t="s">
        <v>260</v>
      </c>
      <c r="D95" s="99">
        <v>0</v>
      </c>
      <c r="E95" s="99">
        <v>0</v>
      </c>
      <c r="F95" s="99">
        <v>0</v>
      </c>
      <c r="G95" s="99">
        <v>0</v>
      </c>
      <c r="H95" s="99">
        <v>0</v>
      </c>
      <c r="I95" s="99">
        <v>0</v>
      </c>
      <c r="J95" s="99">
        <v>10</v>
      </c>
      <c r="K95" s="99">
        <v>17328</v>
      </c>
      <c r="L95" s="99">
        <v>10</v>
      </c>
      <c r="M95" s="99">
        <v>17328</v>
      </c>
      <c r="N95" s="99">
        <v>11</v>
      </c>
      <c r="O95" s="99">
        <v>19060.8</v>
      </c>
      <c r="P95" s="99">
        <v>6</v>
      </c>
      <c r="Q95" s="99">
        <v>10396.799999999999</v>
      </c>
      <c r="R95" s="99">
        <v>8</v>
      </c>
      <c r="S95" s="99">
        <v>13862.4</v>
      </c>
      <c r="T95" s="99">
        <v>8</v>
      </c>
      <c r="U95" s="99">
        <v>13862.4</v>
      </c>
      <c r="V95" s="99">
        <v>6</v>
      </c>
      <c r="W95" s="99">
        <v>10396.799999999999</v>
      </c>
      <c r="X95" s="99">
        <v>8</v>
      </c>
      <c r="Y95" s="99">
        <v>13862.4</v>
      </c>
      <c r="Z95" s="99">
        <v>9</v>
      </c>
      <c r="AA95" s="99">
        <v>15595.199999999999</v>
      </c>
      <c r="AB95" s="99">
        <v>7</v>
      </c>
      <c r="AC95" s="99">
        <v>12129.6</v>
      </c>
      <c r="AD95" s="99">
        <v>9</v>
      </c>
      <c r="AE95" s="99">
        <v>15595.199999999999</v>
      </c>
      <c r="AF95" s="99">
        <v>10</v>
      </c>
      <c r="AG95" s="99">
        <v>17328</v>
      </c>
      <c r="AH95" s="99">
        <v>10</v>
      </c>
      <c r="AI95" s="99">
        <v>17328</v>
      </c>
      <c r="AJ95" s="99">
        <v>8</v>
      </c>
      <c r="AK95" s="99">
        <v>13862.4</v>
      </c>
      <c r="AL95" s="99">
        <v>7</v>
      </c>
      <c r="AM95" s="99">
        <v>12129.6</v>
      </c>
      <c r="AN95" s="99">
        <v>6</v>
      </c>
      <c r="AO95" s="99">
        <v>10396.799999999999</v>
      </c>
      <c r="AP95" s="99">
        <v>8</v>
      </c>
      <c r="AQ95" s="99">
        <v>13862.4</v>
      </c>
      <c r="AR95" s="99">
        <v>6</v>
      </c>
      <c r="AS95" s="99">
        <v>10396.799999999999</v>
      </c>
      <c r="AT95" s="99">
        <v>10</v>
      </c>
      <c r="AU95" s="99">
        <v>17328</v>
      </c>
      <c r="AV95" s="99">
        <v>11</v>
      </c>
      <c r="AW95" s="99">
        <v>19060.8</v>
      </c>
      <c r="AX95" s="99">
        <v>8</v>
      </c>
      <c r="AY95" s="99">
        <v>13862.4</v>
      </c>
      <c r="AZ95" s="99">
        <v>6</v>
      </c>
      <c r="BA95" s="99">
        <v>10396.799999999999</v>
      </c>
      <c r="BB95" s="99">
        <v>9</v>
      </c>
      <c r="BC95" s="99">
        <v>15595.199999999999</v>
      </c>
      <c r="BD95" s="99">
        <v>6</v>
      </c>
      <c r="BE95" s="99">
        <v>10396.799999999999</v>
      </c>
      <c r="BF95" s="99">
        <v>9</v>
      </c>
      <c r="BG95" s="99">
        <v>15595.199999999999</v>
      </c>
      <c r="BH95" s="99">
        <v>10</v>
      </c>
      <c r="BI95" s="99">
        <v>17328</v>
      </c>
      <c r="BJ95" s="99">
        <v>10</v>
      </c>
      <c r="BK95" s="99">
        <v>17328</v>
      </c>
      <c r="BL95" s="99">
        <v>9</v>
      </c>
      <c r="BM95" s="99">
        <v>15595.199999999999</v>
      </c>
      <c r="BN95" s="99">
        <v>7</v>
      </c>
      <c r="BO95" s="99">
        <v>12129.6</v>
      </c>
      <c r="BP95" s="99">
        <v>8</v>
      </c>
      <c r="BQ95" s="99">
        <v>13862.4</v>
      </c>
      <c r="BR95" s="99">
        <v>9</v>
      </c>
      <c r="BS95" s="99">
        <v>15595.199999999999</v>
      </c>
      <c r="BT95" s="99">
        <v>6</v>
      </c>
      <c r="BU95" s="99">
        <v>10396.799999999999</v>
      </c>
      <c r="BV95" s="99">
        <v>6</v>
      </c>
      <c r="BW95" s="99">
        <v>10396.799999999999</v>
      </c>
      <c r="BX95" s="99">
        <v>9</v>
      </c>
      <c r="BY95" s="99">
        <v>15595.199999999999</v>
      </c>
      <c r="BZ95" s="99">
        <v>7</v>
      </c>
      <c r="CA95" s="99">
        <v>12129.6</v>
      </c>
      <c r="CB95" s="99">
        <v>10</v>
      </c>
      <c r="CC95" s="99">
        <v>17328</v>
      </c>
      <c r="CD95" s="99">
        <v>6</v>
      </c>
      <c r="CE95" s="99">
        <v>10396.799999999999</v>
      </c>
      <c r="CF95" s="99">
        <v>9</v>
      </c>
      <c r="CG95" s="99">
        <v>15595.199999999999</v>
      </c>
      <c r="CH95" s="99">
        <v>8</v>
      </c>
      <c r="CI95" s="99">
        <v>13862.4</v>
      </c>
      <c r="CJ95" s="99">
        <v>7</v>
      </c>
      <c r="CK95" s="99">
        <v>12129.6</v>
      </c>
      <c r="CL95" s="99">
        <v>9</v>
      </c>
      <c r="CM95" s="99">
        <v>15595.199999999999</v>
      </c>
      <c r="CN95" s="99">
        <v>10</v>
      </c>
      <c r="CO95" s="99">
        <v>17328</v>
      </c>
      <c r="CP95" s="99">
        <v>6</v>
      </c>
      <c r="CQ95" s="99">
        <v>10396.799999999999</v>
      </c>
      <c r="CR95" s="99">
        <v>6</v>
      </c>
      <c r="CS95" s="99">
        <v>10396.799999999999</v>
      </c>
      <c r="CT95" s="99">
        <v>8</v>
      </c>
      <c r="CU95" s="99">
        <v>13862.4</v>
      </c>
    </row>
    <row r="96" spans="2:99">
      <c r="C96" s="98" t="s">
        <v>261</v>
      </c>
      <c r="D96" s="99">
        <v>0</v>
      </c>
      <c r="E96" s="99">
        <v>0</v>
      </c>
      <c r="F96" s="99">
        <v>0</v>
      </c>
      <c r="G96" s="99">
        <v>0</v>
      </c>
      <c r="H96" s="99">
        <v>0</v>
      </c>
      <c r="I96" s="99">
        <v>0</v>
      </c>
      <c r="J96" s="99">
        <v>11</v>
      </c>
      <c r="K96" s="99">
        <v>9055.1999999999989</v>
      </c>
      <c r="L96" s="99">
        <v>9</v>
      </c>
      <c r="M96" s="99">
        <v>7408.7999999999993</v>
      </c>
      <c r="N96" s="99">
        <v>10</v>
      </c>
      <c r="O96" s="99">
        <v>8232</v>
      </c>
      <c r="P96" s="99">
        <v>8</v>
      </c>
      <c r="Q96" s="99">
        <v>6585.5999999999995</v>
      </c>
      <c r="R96" s="99">
        <v>7</v>
      </c>
      <c r="S96" s="99">
        <v>5762.4</v>
      </c>
      <c r="T96" s="99">
        <v>9</v>
      </c>
      <c r="U96" s="99">
        <v>7408.7999999999993</v>
      </c>
      <c r="V96" s="99">
        <v>5</v>
      </c>
      <c r="W96" s="99">
        <v>4116</v>
      </c>
      <c r="X96" s="99">
        <v>9</v>
      </c>
      <c r="Y96" s="99">
        <v>7408.7999999999993</v>
      </c>
      <c r="Z96" s="99">
        <v>9</v>
      </c>
      <c r="AA96" s="99">
        <v>7408.7999999999993</v>
      </c>
      <c r="AB96" s="99">
        <v>7</v>
      </c>
      <c r="AC96" s="99">
        <v>5762.4</v>
      </c>
      <c r="AD96" s="99">
        <v>10</v>
      </c>
      <c r="AE96" s="99">
        <v>8232</v>
      </c>
      <c r="AF96" s="99">
        <v>12</v>
      </c>
      <c r="AG96" s="99">
        <v>9878.4</v>
      </c>
      <c r="AH96" s="99">
        <v>9</v>
      </c>
      <c r="AI96" s="99">
        <v>7408.7999999999993</v>
      </c>
      <c r="AJ96" s="99">
        <v>8</v>
      </c>
      <c r="AK96" s="99">
        <v>6585.5999999999995</v>
      </c>
      <c r="AL96" s="99">
        <v>7</v>
      </c>
      <c r="AM96" s="99">
        <v>5762.4</v>
      </c>
      <c r="AN96" s="99">
        <v>6</v>
      </c>
      <c r="AO96" s="99">
        <v>4939.2</v>
      </c>
      <c r="AP96" s="99">
        <v>9</v>
      </c>
      <c r="AQ96" s="99">
        <v>7408.7999999999993</v>
      </c>
      <c r="AR96" s="99">
        <v>6</v>
      </c>
      <c r="AS96" s="99">
        <v>4939.2</v>
      </c>
      <c r="AT96" s="99">
        <v>10</v>
      </c>
      <c r="AU96" s="99">
        <v>8232</v>
      </c>
      <c r="AV96" s="99">
        <v>11</v>
      </c>
      <c r="AW96" s="99">
        <v>9055.1999999999989</v>
      </c>
      <c r="AX96" s="99">
        <v>9</v>
      </c>
      <c r="AY96" s="99">
        <v>7408.7999999999993</v>
      </c>
      <c r="AZ96" s="99">
        <v>6</v>
      </c>
      <c r="BA96" s="99">
        <v>4939.2</v>
      </c>
      <c r="BB96" s="99">
        <v>9</v>
      </c>
      <c r="BC96" s="99">
        <v>7408.7999999999993</v>
      </c>
      <c r="BD96" s="99">
        <v>7</v>
      </c>
      <c r="BE96" s="99">
        <v>5762.4</v>
      </c>
      <c r="BF96" s="99">
        <v>10</v>
      </c>
      <c r="BG96" s="99">
        <v>8232</v>
      </c>
      <c r="BH96" s="99">
        <v>11</v>
      </c>
      <c r="BI96" s="99">
        <v>9055.1999999999989</v>
      </c>
      <c r="BJ96" s="99">
        <v>9</v>
      </c>
      <c r="BK96" s="99">
        <v>7408.7999999999993</v>
      </c>
      <c r="BL96" s="99">
        <v>10</v>
      </c>
      <c r="BM96" s="99">
        <v>8232</v>
      </c>
      <c r="BN96" s="99">
        <v>7</v>
      </c>
      <c r="BO96" s="99">
        <v>5762.4</v>
      </c>
      <c r="BP96" s="99">
        <v>8</v>
      </c>
      <c r="BQ96" s="99">
        <v>6585.5999999999995</v>
      </c>
      <c r="BR96" s="99">
        <v>10</v>
      </c>
      <c r="BS96" s="99">
        <v>8232</v>
      </c>
      <c r="BT96" s="99">
        <v>7</v>
      </c>
      <c r="BU96" s="99">
        <v>5762.4</v>
      </c>
      <c r="BV96" s="99">
        <v>8</v>
      </c>
      <c r="BW96" s="99">
        <v>6585.5999999999995</v>
      </c>
      <c r="BX96" s="99">
        <v>10</v>
      </c>
      <c r="BY96" s="99">
        <v>8232</v>
      </c>
      <c r="BZ96" s="99">
        <v>7</v>
      </c>
      <c r="CA96" s="99">
        <v>5762.4</v>
      </c>
      <c r="CB96" s="99">
        <v>10</v>
      </c>
      <c r="CC96" s="99">
        <v>8232</v>
      </c>
      <c r="CD96" s="99">
        <v>7</v>
      </c>
      <c r="CE96" s="99">
        <v>5762.4</v>
      </c>
      <c r="CF96" s="99">
        <v>10</v>
      </c>
      <c r="CG96" s="99">
        <v>8232</v>
      </c>
      <c r="CH96" s="99">
        <v>8</v>
      </c>
      <c r="CI96" s="99">
        <v>6585.5999999999995</v>
      </c>
      <c r="CJ96" s="99">
        <v>7</v>
      </c>
      <c r="CK96" s="99">
        <v>5762.4</v>
      </c>
      <c r="CL96" s="99">
        <v>11</v>
      </c>
      <c r="CM96" s="99">
        <v>9055.1999999999989</v>
      </c>
      <c r="CN96" s="99">
        <v>11</v>
      </c>
      <c r="CO96" s="99">
        <v>9055.1999999999989</v>
      </c>
      <c r="CP96" s="99">
        <v>6</v>
      </c>
      <c r="CQ96" s="99">
        <v>4939.2</v>
      </c>
      <c r="CR96" s="99">
        <v>7</v>
      </c>
      <c r="CS96" s="99">
        <v>5762.4</v>
      </c>
      <c r="CT96" s="99">
        <v>7</v>
      </c>
      <c r="CU96" s="99">
        <v>5762.4</v>
      </c>
    </row>
    <row r="97" spans="2:99">
      <c r="C97" s="98" t="s">
        <v>262</v>
      </c>
      <c r="D97" s="99">
        <v>0</v>
      </c>
      <c r="E97" s="99">
        <v>0</v>
      </c>
      <c r="F97" s="99">
        <v>0</v>
      </c>
      <c r="G97" s="99">
        <v>0</v>
      </c>
      <c r="H97" s="99">
        <v>0</v>
      </c>
      <c r="I97" s="99">
        <v>0</v>
      </c>
      <c r="J97" s="99">
        <v>9</v>
      </c>
      <c r="K97" s="99">
        <v>16459.2</v>
      </c>
      <c r="L97" s="99">
        <v>9</v>
      </c>
      <c r="M97" s="99">
        <v>16459.2</v>
      </c>
      <c r="N97" s="99">
        <v>9</v>
      </c>
      <c r="O97" s="99">
        <v>16459.2</v>
      </c>
      <c r="P97" s="99">
        <v>6</v>
      </c>
      <c r="Q97" s="99">
        <v>10972.8</v>
      </c>
      <c r="R97" s="99">
        <v>8</v>
      </c>
      <c r="S97" s="99">
        <v>14630.4</v>
      </c>
      <c r="T97" s="99">
        <v>8</v>
      </c>
      <c r="U97" s="99">
        <v>14630.4</v>
      </c>
      <c r="V97" s="99">
        <v>6</v>
      </c>
      <c r="W97" s="99">
        <v>10972.8</v>
      </c>
      <c r="X97" s="99">
        <v>8</v>
      </c>
      <c r="Y97" s="99">
        <v>14630.4</v>
      </c>
      <c r="Z97" s="99">
        <v>10</v>
      </c>
      <c r="AA97" s="99">
        <v>18288</v>
      </c>
      <c r="AB97" s="99">
        <v>7</v>
      </c>
      <c r="AC97" s="99">
        <v>12801.6</v>
      </c>
      <c r="AD97" s="99">
        <v>10</v>
      </c>
      <c r="AE97" s="99">
        <v>18288</v>
      </c>
      <c r="AF97" s="99">
        <v>10</v>
      </c>
      <c r="AG97" s="99">
        <v>18288</v>
      </c>
      <c r="AH97" s="99">
        <v>10</v>
      </c>
      <c r="AI97" s="99">
        <v>18288</v>
      </c>
      <c r="AJ97" s="99">
        <v>7</v>
      </c>
      <c r="AK97" s="99">
        <v>12801.6</v>
      </c>
      <c r="AL97" s="99">
        <v>7</v>
      </c>
      <c r="AM97" s="99">
        <v>12801.6</v>
      </c>
      <c r="AN97" s="99">
        <v>5</v>
      </c>
      <c r="AO97" s="99">
        <v>9144</v>
      </c>
      <c r="AP97" s="99">
        <v>7</v>
      </c>
      <c r="AQ97" s="99">
        <v>12801.6</v>
      </c>
      <c r="AR97" s="99">
        <v>5</v>
      </c>
      <c r="AS97" s="99">
        <v>9144</v>
      </c>
      <c r="AT97" s="99">
        <v>11</v>
      </c>
      <c r="AU97" s="99">
        <v>20116.8</v>
      </c>
      <c r="AV97" s="99">
        <v>9</v>
      </c>
      <c r="AW97" s="99">
        <v>16459.2</v>
      </c>
      <c r="AX97" s="99">
        <v>7</v>
      </c>
      <c r="AY97" s="99">
        <v>12801.6</v>
      </c>
      <c r="AZ97" s="99">
        <v>5</v>
      </c>
      <c r="BA97" s="99">
        <v>9144</v>
      </c>
      <c r="BB97" s="99">
        <v>9</v>
      </c>
      <c r="BC97" s="99">
        <v>16459.2</v>
      </c>
      <c r="BD97" s="99">
        <v>7</v>
      </c>
      <c r="BE97" s="99">
        <v>12801.6</v>
      </c>
      <c r="BF97" s="99">
        <v>9</v>
      </c>
      <c r="BG97" s="99">
        <v>16459.2</v>
      </c>
      <c r="BH97" s="99">
        <v>11</v>
      </c>
      <c r="BI97" s="99">
        <v>20116.8</v>
      </c>
      <c r="BJ97" s="99">
        <v>10</v>
      </c>
      <c r="BK97" s="99">
        <v>18288</v>
      </c>
      <c r="BL97" s="99">
        <v>10</v>
      </c>
      <c r="BM97" s="99">
        <v>18288</v>
      </c>
      <c r="BN97" s="99">
        <v>7</v>
      </c>
      <c r="BO97" s="99">
        <v>12801.6</v>
      </c>
      <c r="BP97" s="99">
        <v>7</v>
      </c>
      <c r="BQ97" s="99">
        <v>12801.6</v>
      </c>
      <c r="BR97" s="99">
        <v>8</v>
      </c>
      <c r="BS97" s="99">
        <v>14630.4</v>
      </c>
      <c r="BT97" s="99">
        <v>6</v>
      </c>
      <c r="BU97" s="99">
        <v>10972.8</v>
      </c>
      <c r="BV97" s="99">
        <v>7</v>
      </c>
      <c r="BW97" s="99">
        <v>12801.6</v>
      </c>
      <c r="BX97" s="99">
        <v>11</v>
      </c>
      <c r="BY97" s="99">
        <v>20116.8</v>
      </c>
      <c r="BZ97" s="99">
        <v>7</v>
      </c>
      <c r="CA97" s="99">
        <v>12801.6</v>
      </c>
      <c r="CB97" s="99">
        <v>9</v>
      </c>
      <c r="CC97" s="99">
        <v>16459.2</v>
      </c>
      <c r="CD97" s="99">
        <v>6</v>
      </c>
      <c r="CE97" s="99">
        <v>10972.8</v>
      </c>
      <c r="CF97" s="99">
        <v>9</v>
      </c>
      <c r="CG97" s="99">
        <v>16459.2</v>
      </c>
      <c r="CH97" s="99">
        <v>8</v>
      </c>
      <c r="CI97" s="99">
        <v>14630.4</v>
      </c>
      <c r="CJ97" s="99">
        <v>7</v>
      </c>
      <c r="CK97" s="99">
        <v>12801.6</v>
      </c>
      <c r="CL97" s="99">
        <v>9</v>
      </c>
      <c r="CM97" s="99">
        <v>16459.2</v>
      </c>
      <c r="CN97" s="99">
        <v>11</v>
      </c>
      <c r="CO97" s="99">
        <v>20116.8</v>
      </c>
      <c r="CP97" s="99">
        <v>6</v>
      </c>
      <c r="CQ97" s="99">
        <v>10972.8</v>
      </c>
      <c r="CR97" s="99">
        <v>6</v>
      </c>
      <c r="CS97" s="99">
        <v>10972.8</v>
      </c>
      <c r="CT97" s="99">
        <v>8</v>
      </c>
      <c r="CU97" s="99">
        <v>14630.4</v>
      </c>
    </row>
    <row r="98" spans="2:99">
      <c r="C98" s="98" t="s">
        <v>263</v>
      </c>
      <c r="D98" s="99">
        <v>0</v>
      </c>
      <c r="E98" s="99">
        <v>0</v>
      </c>
      <c r="F98" s="99">
        <v>0</v>
      </c>
      <c r="G98" s="99">
        <v>0</v>
      </c>
      <c r="H98" s="99">
        <v>0</v>
      </c>
      <c r="I98" s="99">
        <v>0</v>
      </c>
      <c r="J98" s="99">
        <v>11</v>
      </c>
      <c r="K98" s="99">
        <v>13899.599999999999</v>
      </c>
      <c r="L98" s="99">
        <v>10</v>
      </c>
      <c r="M98" s="99">
        <v>12636</v>
      </c>
      <c r="N98" s="99">
        <v>10</v>
      </c>
      <c r="O98" s="99">
        <v>12636</v>
      </c>
      <c r="P98" s="99">
        <v>7</v>
      </c>
      <c r="Q98" s="99">
        <v>8845.1999999999989</v>
      </c>
      <c r="R98" s="99">
        <v>7</v>
      </c>
      <c r="S98" s="99">
        <v>8845.1999999999989</v>
      </c>
      <c r="T98" s="99">
        <v>8</v>
      </c>
      <c r="U98" s="99">
        <v>10108.799999999999</v>
      </c>
      <c r="V98" s="99">
        <v>5</v>
      </c>
      <c r="W98" s="99">
        <v>6318</v>
      </c>
      <c r="X98" s="99">
        <v>8</v>
      </c>
      <c r="Y98" s="99">
        <v>10108.799999999999</v>
      </c>
      <c r="Z98" s="99">
        <v>10</v>
      </c>
      <c r="AA98" s="99">
        <v>12636</v>
      </c>
      <c r="AB98" s="99">
        <v>7</v>
      </c>
      <c r="AC98" s="99">
        <v>8845.1999999999989</v>
      </c>
      <c r="AD98" s="99">
        <v>9</v>
      </c>
      <c r="AE98" s="99">
        <v>11372.4</v>
      </c>
      <c r="AF98" s="99">
        <v>11</v>
      </c>
      <c r="AG98" s="99">
        <v>13899.599999999999</v>
      </c>
      <c r="AH98" s="99">
        <v>9</v>
      </c>
      <c r="AI98" s="99">
        <v>11372.4</v>
      </c>
      <c r="AJ98" s="99">
        <v>8</v>
      </c>
      <c r="AK98" s="99">
        <v>10108.799999999999</v>
      </c>
      <c r="AL98" s="99">
        <v>6</v>
      </c>
      <c r="AM98" s="99">
        <v>7581.5999999999995</v>
      </c>
      <c r="AN98" s="99">
        <v>6</v>
      </c>
      <c r="AO98" s="99">
        <v>7581.5999999999995</v>
      </c>
      <c r="AP98" s="99">
        <v>8</v>
      </c>
      <c r="AQ98" s="99">
        <v>10108.799999999999</v>
      </c>
      <c r="AR98" s="99">
        <v>6</v>
      </c>
      <c r="AS98" s="99">
        <v>7581.5999999999995</v>
      </c>
      <c r="AT98" s="99">
        <v>11</v>
      </c>
      <c r="AU98" s="99">
        <v>13899.599999999999</v>
      </c>
      <c r="AV98" s="99">
        <v>11</v>
      </c>
      <c r="AW98" s="99">
        <v>13899.599999999999</v>
      </c>
      <c r="AX98" s="99">
        <v>8</v>
      </c>
      <c r="AY98" s="99">
        <v>10108.799999999999</v>
      </c>
      <c r="AZ98" s="99">
        <v>6</v>
      </c>
      <c r="BA98" s="99">
        <v>7581.5999999999995</v>
      </c>
      <c r="BB98" s="99">
        <v>9</v>
      </c>
      <c r="BC98" s="99">
        <v>11372.4</v>
      </c>
      <c r="BD98" s="99">
        <v>7</v>
      </c>
      <c r="BE98" s="99">
        <v>8845.1999999999989</v>
      </c>
      <c r="BF98" s="99">
        <v>10</v>
      </c>
      <c r="BG98" s="99">
        <v>12636</v>
      </c>
      <c r="BH98" s="99">
        <v>10</v>
      </c>
      <c r="BI98" s="99">
        <v>12636</v>
      </c>
      <c r="BJ98" s="99">
        <v>10</v>
      </c>
      <c r="BK98" s="99">
        <v>12636</v>
      </c>
      <c r="BL98" s="99">
        <v>10</v>
      </c>
      <c r="BM98" s="99">
        <v>12636</v>
      </c>
      <c r="BN98" s="99">
        <v>8</v>
      </c>
      <c r="BO98" s="99">
        <v>10108.799999999999</v>
      </c>
      <c r="BP98" s="99">
        <v>8</v>
      </c>
      <c r="BQ98" s="99">
        <v>10108.799999999999</v>
      </c>
      <c r="BR98" s="99">
        <v>9</v>
      </c>
      <c r="BS98" s="99">
        <v>11372.4</v>
      </c>
      <c r="BT98" s="99">
        <v>6</v>
      </c>
      <c r="BU98" s="99">
        <v>7581.5999999999995</v>
      </c>
      <c r="BV98" s="99">
        <v>8</v>
      </c>
      <c r="BW98" s="99">
        <v>10108.799999999999</v>
      </c>
      <c r="BX98" s="99">
        <v>9</v>
      </c>
      <c r="BY98" s="99">
        <v>11372.4</v>
      </c>
      <c r="BZ98" s="99">
        <v>7</v>
      </c>
      <c r="CA98" s="99">
        <v>8845.1999999999989</v>
      </c>
      <c r="CB98" s="99">
        <v>10</v>
      </c>
      <c r="CC98" s="99">
        <v>12636</v>
      </c>
      <c r="CD98" s="99">
        <v>7</v>
      </c>
      <c r="CE98" s="99">
        <v>8845.1999999999989</v>
      </c>
      <c r="CF98" s="99">
        <v>10</v>
      </c>
      <c r="CG98" s="99">
        <v>12636</v>
      </c>
      <c r="CH98" s="99">
        <v>8</v>
      </c>
      <c r="CI98" s="99">
        <v>10108.799999999999</v>
      </c>
      <c r="CJ98" s="99">
        <v>6</v>
      </c>
      <c r="CK98" s="99">
        <v>7581.5999999999995</v>
      </c>
      <c r="CL98" s="99">
        <v>12</v>
      </c>
      <c r="CM98" s="99">
        <v>15163.199999999999</v>
      </c>
      <c r="CN98" s="99">
        <v>12</v>
      </c>
      <c r="CO98" s="99">
        <v>15163.199999999999</v>
      </c>
      <c r="CP98" s="99">
        <v>7</v>
      </c>
      <c r="CQ98" s="99">
        <v>8845.1999999999989</v>
      </c>
      <c r="CR98" s="99">
        <v>6</v>
      </c>
      <c r="CS98" s="99">
        <v>7581.5999999999995</v>
      </c>
      <c r="CT98" s="99">
        <v>8</v>
      </c>
      <c r="CU98" s="99">
        <v>10108.799999999999</v>
      </c>
    </row>
    <row r="99" spans="2:99">
      <c r="C99" s="98" t="s">
        <v>264</v>
      </c>
      <c r="D99" s="99">
        <v>0</v>
      </c>
      <c r="E99" s="99">
        <v>0</v>
      </c>
      <c r="F99" s="99">
        <v>0</v>
      </c>
      <c r="G99" s="99">
        <v>0</v>
      </c>
      <c r="H99" s="99">
        <v>0</v>
      </c>
      <c r="I99" s="99">
        <v>0</v>
      </c>
      <c r="J99" s="99">
        <v>7</v>
      </c>
      <c r="K99" s="99">
        <v>38371.199999999997</v>
      </c>
      <c r="L99" s="99">
        <v>7</v>
      </c>
      <c r="M99" s="99">
        <v>38371.199999999997</v>
      </c>
      <c r="N99" s="99">
        <v>8</v>
      </c>
      <c r="O99" s="99">
        <v>43852.799999999996</v>
      </c>
      <c r="P99" s="99">
        <v>6</v>
      </c>
      <c r="Q99" s="99">
        <v>32889.599999999999</v>
      </c>
      <c r="R99" s="99">
        <v>6</v>
      </c>
      <c r="S99" s="99">
        <v>32889.599999999999</v>
      </c>
      <c r="T99" s="99">
        <v>8</v>
      </c>
      <c r="U99" s="99">
        <v>43852.799999999996</v>
      </c>
      <c r="V99" s="99">
        <v>4</v>
      </c>
      <c r="W99" s="99">
        <v>21926.399999999998</v>
      </c>
      <c r="X99" s="99">
        <v>7</v>
      </c>
      <c r="Y99" s="99">
        <v>38371.199999999997</v>
      </c>
      <c r="Z99" s="99">
        <v>8</v>
      </c>
      <c r="AA99" s="99">
        <v>43852.799999999996</v>
      </c>
      <c r="AB99" s="99">
        <v>6</v>
      </c>
      <c r="AC99" s="99">
        <v>32889.599999999999</v>
      </c>
      <c r="AD99" s="99">
        <v>7</v>
      </c>
      <c r="AE99" s="99">
        <v>38371.199999999997</v>
      </c>
      <c r="AF99" s="99">
        <v>8</v>
      </c>
      <c r="AG99" s="99">
        <v>43852.799999999996</v>
      </c>
      <c r="AH99" s="99">
        <v>7</v>
      </c>
      <c r="AI99" s="99">
        <v>38371.199999999997</v>
      </c>
      <c r="AJ99" s="99">
        <v>7</v>
      </c>
      <c r="AK99" s="99">
        <v>38371.199999999997</v>
      </c>
      <c r="AL99" s="99">
        <v>5</v>
      </c>
      <c r="AM99" s="99">
        <v>27407.999999999996</v>
      </c>
      <c r="AN99" s="99">
        <v>5</v>
      </c>
      <c r="AO99" s="99">
        <v>27407.999999999996</v>
      </c>
      <c r="AP99" s="99">
        <v>7</v>
      </c>
      <c r="AQ99" s="99">
        <v>38371.199999999997</v>
      </c>
      <c r="AR99" s="99">
        <v>4</v>
      </c>
      <c r="AS99" s="99">
        <v>21926.399999999998</v>
      </c>
      <c r="AT99" s="99">
        <v>9</v>
      </c>
      <c r="AU99" s="99">
        <v>49334.399999999994</v>
      </c>
      <c r="AV99" s="99">
        <v>8</v>
      </c>
      <c r="AW99" s="99">
        <v>43852.799999999996</v>
      </c>
      <c r="AX99" s="99">
        <v>7</v>
      </c>
      <c r="AY99" s="99">
        <v>38371.199999999997</v>
      </c>
      <c r="AZ99" s="99">
        <v>4</v>
      </c>
      <c r="BA99" s="99">
        <v>21926.399999999998</v>
      </c>
      <c r="BB99" s="99">
        <v>7</v>
      </c>
      <c r="BC99" s="99">
        <v>38371.199999999997</v>
      </c>
      <c r="BD99" s="99">
        <v>6</v>
      </c>
      <c r="BE99" s="99">
        <v>32889.599999999999</v>
      </c>
      <c r="BF99" s="99">
        <v>7</v>
      </c>
      <c r="BG99" s="99">
        <v>38371.199999999997</v>
      </c>
      <c r="BH99" s="99">
        <v>9</v>
      </c>
      <c r="BI99" s="99">
        <v>49334.399999999994</v>
      </c>
      <c r="BJ99" s="99">
        <v>8</v>
      </c>
      <c r="BK99" s="99">
        <v>43852.799999999996</v>
      </c>
      <c r="BL99" s="99">
        <v>8</v>
      </c>
      <c r="BM99" s="99">
        <v>43852.799999999996</v>
      </c>
      <c r="BN99" s="99">
        <v>6</v>
      </c>
      <c r="BO99" s="99">
        <v>32889.599999999999</v>
      </c>
      <c r="BP99" s="99">
        <v>6</v>
      </c>
      <c r="BQ99" s="99">
        <v>32889.599999999999</v>
      </c>
      <c r="BR99" s="99">
        <v>8</v>
      </c>
      <c r="BS99" s="99">
        <v>43852.799999999996</v>
      </c>
      <c r="BT99" s="99">
        <v>5</v>
      </c>
      <c r="BU99" s="99">
        <v>27407.999999999996</v>
      </c>
      <c r="BV99" s="99">
        <v>6</v>
      </c>
      <c r="BW99" s="99">
        <v>32889.599999999999</v>
      </c>
      <c r="BX99" s="99">
        <v>9</v>
      </c>
      <c r="BY99" s="99">
        <v>49334.399999999994</v>
      </c>
      <c r="BZ99" s="99">
        <v>5</v>
      </c>
      <c r="CA99" s="99">
        <v>27407.999999999996</v>
      </c>
      <c r="CB99" s="99">
        <v>7</v>
      </c>
      <c r="CC99" s="99">
        <v>38371.199999999997</v>
      </c>
      <c r="CD99" s="99">
        <v>5</v>
      </c>
      <c r="CE99" s="99">
        <v>27407.999999999996</v>
      </c>
      <c r="CF99" s="99">
        <v>8</v>
      </c>
      <c r="CG99" s="99">
        <v>43852.799999999996</v>
      </c>
      <c r="CH99" s="99">
        <v>6</v>
      </c>
      <c r="CI99" s="99">
        <v>32889.599999999999</v>
      </c>
      <c r="CJ99" s="99">
        <v>5</v>
      </c>
      <c r="CK99" s="99">
        <v>27407.999999999996</v>
      </c>
      <c r="CL99" s="99">
        <v>8</v>
      </c>
      <c r="CM99" s="99">
        <v>43852.799999999996</v>
      </c>
      <c r="CN99" s="99">
        <v>9</v>
      </c>
      <c r="CO99" s="99">
        <v>49334.399999999994</v>
      </c>
      <c r="CP99" s="99">
        <v>5</v>
      </c>
      <c r="CQ99" s="99">
        <v>27407.999999999996</v>
      </c>
      <c r="CR99" s="99">
        <v>5</v>
      </c>
      <c r="CS99" s="99">
        <v>27407.999999999996</v>
      </c>
      <c r="CT99" s="99">
        <v>6</v>
      </c>
      <c r="CU99" s="99">
        <v>32889.599999999999</v>
      </c>
    </row>
    <row r="100" spans="2:99">
      <c r="C100" s="98" t="s">
        <v>265</v>
      </c>
      <c r="D100" s="99">
        <v>0</v>
      </c>
      <c r="E100" s="99">
        <v>0</v>
      </c>
      <c r="F100" s="99">
        <v>0</v>
      </c>
      <c r="G100" s="99">
        <v>0</v>
      </c>
      <c r="H100" s="99">
        <v>0</v>
      </c>
      <c r="I100" s="99">
        <v>0</v>
      </c>
      <c r="J100" s="99">
        <v>9</v>
      </c>
      <c r="K100" s="99">
        <v>14601.599999999999</v>
      </c>
      <c r="L100" s="99">
        <v>8</v>
      </c>
      <c r="M100" s="99">
        <v>12979.199999999999</v>
      </c>
      <c r="N100" s="99">
        <v>9</v>
      </c>
      <c r="O100" s="99">
        <v>14601.599999999999</v>
      </c>
      <c r="P100" s="99">
        <v>7</v>
      </c>
      <c r="Q100" s="99">
        <v>11356.8</v>
      </c>
      <c r="R100" s="99">
        <v>7</v>
      </c>
      <c r="S100" s="99">
        <v>11356.8</v>
      </c>
      <c r="T100" s="99">
        <v>10</v>
      </c>
      <c r="U100" s="99">
        <v>16223.999999999998</v>
      </c>
      <c r="V100" s="99">
        <v>6</v>
      </c>
      <c r="W100" s="99">
        <v>9734.4</v>
      </c>
      <c r="X100" s="99">
        <v>8</v>
      </c>
      <c r="Y100" s="99">
        <v>12979.199999999999</v>
      </c>
      <c r="Z100" s="99">
        <v>10</v>
      </c>
      <c r="AA100" s="99">
        <v>16223.999999999998</v>
      </c>
      <c r="AB100" s="99">
        <v>7</v>
      </c>
      <c r="AC100" s="99">
        <v>11356.8</v>
      </c>
      <c r="AD100" s="99">
        <v>9</v>
      </c>
      <c r="AE100" s="99">
        <v>14601.599999999999</v>
      </c>
      <c r="AF100" s="99">
        <v>10</v>
      </c>
      <c r="AG100" s="99">
        <v>16223.999999999998</v>
      </c>
      <c r="AH100" s="99">
        <v>9</v>
      </c>
      <c r="AI100" s="99">
        <v>14601.599999999999</v>
      </c>
      <c r="AJ100" s="99">
        <v>8</v>
      </c>
      <c r="AK100" s="99">
        <v>12979.199999999999</v>
      </c>
      <c r="AL100" s="99">
        <v>7</v>
      </c>
      <c r="AM100" s="99">
        <v>11356.8</v>
      </c>
      <c r="AN100" s="99">
        <v>5</v>
      </c>
      <c r="AO100" s="99">
        <v>8111.9999999999991</v>
      </c>
      <c r="AP100" s="99">
        <v>7</v>
      </c>
      <c r="AQ100" s="99">
        <v>11356.8</v>
      </c>
      <c r="AR100" s="99">
        <v>5</v>
      </c>
      <c r="AS100" s="99">
        <v>8111.9999999999991</v>
      </c>
      <c r="AT100" s="99">
        <v>11</v>
      </c>
      <c r="AU100" s="99">
        <v>17846.399999999998</v>
      </c>
      <c r="AV100" s="99">
        <v>11</v>
      </c>
      <c r="AW100" s="99">
        <v>17846.399999999998</v>
      </c>
      <c r="AX100" s="99">
        <v>8</v>
      </c>
      <c r="AY100" s="99">
        <v>12979.199999999999</v>
      </c>
      <c r="AZ100" s="99">
        <v>6</v>
      </c>
      <c r="BA100" s="99">
        <v>9734.4</v>
      </c>
      <c r="BB100" s="99">
        <v>8</v>
      </c>
      <c r="BC100" s="99">
        <v>12979.199999999999</v>
      </c>
      <c r="BD100" s="99">
        <v>6</v>
      </c>
      <c r="BE100" s="99">
        <v>9734.4</v>
      </c>
      <c r="BF100" s="99">
        <v>9</v>
      </c>
      <c r="BG100" s="99">
        <v>14601.599999999999</v>
      </c>
      <c r="BH100" s="99">
        <v>10</v>
      </c>
      <c r="BI100" s="99">
        <v>16223.999999999998</v>
      </c>
      <c r="BJ100" s="99">
        <v>10</v>
      </c>
      <c r="BK100" s="99">
        <v>16223.999999999998</v>
      </c>
      <c r="BL100" s="99">
        <v>10</v>
      </c>
      <c r="BM100" s="99">
        <v>16223.999999999998</v>
      </c>
      <c r="BN100" s="99">
        <v>7</v>
      </c>
      <c r="BO100" s="99">
        <v>11356.8</v>
      </c>
      <c r="BP100" s="99">
        <v>8</v>
      </c>
      <c r="BQ100" s="99">
        <v>12979.199999999999</v>
      </c>
      <c r="BR100" s="99">
        <v>10</v>
      </c>
      <c r="BS100" s="99">
        <v>16223.999999999998</v>
      </c>
      <c r="BT100" s="99">
        <v>6</v>
      </c>
      <c r="BU100" s="99">
        <v>9734.4</v>
      </c>
      <c r="BV100" s="99">
        <v>8</v>
      </c>
      <c r="BW100" s="99">
        <v>12979.199999999999</v>
      </c>
      <c r="BX100" s="99">
        <v>10</v>
      </c>
      <c r="BY100" s="99">
        <v>16223.999999999998</v>
      </c>
      <c r="BZ100" s="99">
        <v>7</v>
      </c>
      <c r="CA100" s="99">
        <v>11356.8</v>
      </c>
      <c r="CB100" s="99">
        <v>9</v>
      </c>
      <c r="CC100" s="99">
        <v>14601.599999999999</v>
      </c>
      <c r="CD100" s="99">
        <v>7</v>
      </c>
      <c r="CE100" s="99">
        <v>11356.8</v>
      </c>
      <c r="CF100" s="99">
        <v>8</v>
      </c>
      <c r="CG100" s="99">
        <v>12979.199999999999</v>
      </c>
      <c r="CH100" s="99">
        <v>7</v>
      </c>
      <c r="CI100" s="99">
        <v>11356.8</v>
      </c>
      <c r="CJ100" s="99">
        <v>7</v>
      </c>
      <c r="CK100" s="99">
        <v>11356.8</v>
      </c>
      <c r="CL100" s="99">
        <v>10</v>
      </c>
      <c r="CM100" s="99">
        <v>16223.999999999998</v>
      </c>
      <c r="CN100" s="99">
        <v>10</v>
      </c>
      <c r="CO100" s="99">
        <v>16223.999999999998</v>
      </c>
      <c r="CP100" s="99">
        <v>6</v>
      </c>
      <c r="CQ100" s="99">
        <v>9734.4</v>
      </c>
      <c r="CR100" s="99">
        <v>6</v>
      </c>
      <c r="CS100" s="99">
        <v>9734.4</v>
      </c>
      <c r="CT100" s="99">
        <v>8</v>
      </c>
      <c r="CU100" s="99">
        <v>12979.199999999999</v>
      </c>
    </row>
    <row r="101" spans="2:99">
      <c r="C101" s="98" t="s">
        <v>266</v>
      </c>
      <c r="D101" s="99">
        <v>0</v>
      </c>
      <c r="E101" s="99">
        <v>0</v>
      </c>
      <c r="F101" s="99">
        <v>0</v>
      </c>
      <c r="G101" s="99">
        <v>0</v>
      </c>
      <c r="H101" s="99">
        <v>0</v>
      </c>
      <c r="I101" s="99">
        <v>0</v>
      </c>
      <c r="J101" s="99">
        <v>10</v>
      </c>
      <c r="K101" s="99">
        <v>11903.999999999998</v>
      </c>
      <c r="L101" s="99">
        <v>9</v>
      </c>
      <c r="M101" s="99">
        <v>10713.599999999999</v>
      </c>
      <c r="N101" s="99">
        <v>10</v>
      </c>
      <c r="O101" s="99">
        <v>11903.999999999998</v>
      </c>
      <c r="P101" s="99">
        <v>7</v>
      </c>
      <c r="Q101" s="99">
        <v>8332.7999999999993</v>
      </c>
      <c r="R101" s="99">
        <v>7</v>
      </c>
      <c r="S101" s="99">
        <v>8332.7999999999993</v>
      </c>
      <c r="T101" s="99">
        <v>9</v>
      </c>
      <c r="U101" s="99">
        <v>10713.599999999999</v>
      </c>
      <c r="V101" s="99">
        <v>6</v>
      </c>
      <c r="W101" s="99">
        <v>7142.4</v>
      </c>
      <c r="X101" s="99">
        <v>8</v>
      </c>
      <c r="Y101" s="99">
        <v>9523.1999999999989</v>
      </c>
      <c r="Z101" s="99">
        <v>9</v>
      </c>
      <c r="AA101" s="99">
        <v>10713.599999999999</v>
      </c>
      <c r="AB101" s="99">
        <v>7</v>
      </c>
      <c r="AC101" s="99">
        <v>8332.7999999999993</v>
      </c>
      <c r="AD101" s="99">
        <v>9</v>
      </c>
      <c r="AE101" s="99">
        <v>10713.599999999999</v>
      </c>
      <c r="AF101" s="99">
        <v>9</v>
      </c>
      <c r="AG101" s="99">
        <v>10713.599999999999</v>
      </c>
      <c r="AH101" s="99">
        <v>10</v>
      </c>
      <c r="AI101" s="99">
        <v>11903.999999999998</v>
      </c>
      <c r="AJ101" s="99">
        <v>7</v>
      </c>
      <c r="AK101" s="99">
        <v>8332.7999999999993</v>
      </c>
      <c r="AL101" s="99">
        <v>7</v>
      </c>
      <c r="AM101" s="99">
        <v>8332.7999999999993</v>
      </c>
      <c r="AN101" s="99">
        <v>6</v>
      </c>
      <c r="AO101" s="99">
        <v>7142.4</v>
      </c>
      <c r="AP101" s="99">
        <v>9</v>
      </c>
      <c r="AQ101" s="99">
        <v>10713.599999999999</v>
      </c>
      <c r="AR101" s="99">
        <v>6</v>
      </c>
      <c r="AS101" s="99">
        <v>7142.4</v>
      </c>
      <c r="AT101" s="99">
        <v>10</v>
      </c>
      <c r="AU101" s="99">
        <v>11903.999999999998</v>
      </c>
      <c r="AV101" s="99">
        <v>10</v>
      </c>
      <c r="AW101" s="99">
        <v>11903.999999999998</v>
      </c>
      <c r="AX101" s="99">
        <v>7</v>
      </c>
      <c r="AY101" s="99">
        <v>8332.7999999999993</v>
      </c>
      <c r="AZ101" s="99">
        <v>6</v>
      </c>
      <c r="BA101" s="99">
        <v>7142.4</v>
      </c>
      <c r="BB101" s="99">
        <v>8</v>
      </c>
      <c r="BC101" s="99">
        <v>9523.1999999999989</v>
      </c>
      <c r="BD101" s="99">
        <v>7</v>
      </c>
      <c r="BE101" s="99">
        <v>8332.7999999999993</v>
      </c>
      <c r="BF101" s="99">
        <v>9</v>
      </c>
      <c r="BG101" s="99">
        <v>10713.599999999999</v>
      </c>
      <c r="BH101" s="99">
        <v>10</v>
      </c>
      <c r="BI101" s="99">
        <v>11903.999999999998</v>
      </c>
      <c r="BJ101" s="99">
        <v>10</v>
      </c>
      <c r="BK101" s="99">
        <v>11903.999999999998</v>
      </c>
      <c r="BL101" s="99">
        <v>10</v>
      </c>
      <c r="BM101" s="99">
        <v>11903.999999999998</v>
      </c>
      <c r="BN101" s="99">
        <v>8</v>
      </c>
      <c r="BO101" s="99">
        <v>9523.1999999999989</v>
      </c>
      <c r="BP101" s="99">
        <v>8</v>
      </c>
      <c r="BQ101" s="99">
        <v>9523.1999999999989</v>
      </c>
      <c r="BR101" s="99">
        <v>10</v>
      </c>
      <c r="BS101" s="99">
        <v>11903.999999999998</v>
      </c>
      <c r="BT101" s="99">
        <v>6</v>
      </c>
      <c r="BU101" s="99">
        <v>7142.4</v>
      </c>
      <c r="BV101" s="99">
        <v>8</v>
      </c>
      <c r="BW101" s="99">
        <v>9523.1999999999989</v>
      </c>
      <c r="BX101" s="99">
        <v>11</v>
      </c>
      <c r="BY101" s="99">
        <v>13094.399999999998</v>
      </c>
      <c r="BZ101" s="99">
        <v>7</v>
      </c>
      <c r="CA101" s="99">
        <v>8332.7999999999993</v>
      </c>
      <c r="CB101" s="99">
        <v>9</v>
      </c>
      <c r="CC101" s="99">
        <v>10713.599999999999</v>
      </c>
      <c r="CD101" s="99">
        <v>6</v>
      </c>
      <c r="CE101" s="99">
        <v>7142.4</v>
      </c>
      <c r="CF101" s="99">
        <v>8</v>
      </c>
      <c r="CG101" s="99">
        <v>9523.1999999999989</v>
      </c>
      <c r="CH101" s="99">
        <v>8</v>
      </c>
      <c r="CI101" s="99">
        <v>9523.1999999999989</v>
      </c>
      <c r="CJ101" s="99">
        <v>7</v>
      </c>
      <c r="CK101" s="99">
        <v>8332.7999999999993</v>
      </c>
      <c r="CL101" s="99">
        <v>11</v>
      </c>
      <c r="CM101" s="99">
        <v>13094.399999999998</v>
      </c>
      <c r="CN101" s="99">
        <v>10</v>
      </c>
      <c r="CO101" s="99">
        <v>11903.999999999998</v>
      </c>
      <c r="CP101" s="99">
        <v>6</v>
      </c>
      <c r="CQ101" s="99">
        <v>7142.4</v>
      </c>
      <c r="CR101" s="99">
        <v>7</v>
      </c>
      <c r="CS101" s="99">
        <v>8332.7999999999993</v>
      </c>
      <c r="CT101" s="99">
        <v>8</v>
      </c>
      <c r="CU101" s="99">
        <v>9523.1999999999989</v>
      </c>
    </row>
    <row r="102" spans="2:99">
      <c r="C102" s="98" t="s">
        <v>267</v>
      </c>
      <c r="D102" s="99">
        <v>0</v>
      </c>
      <c r="E102" s="99">
        <v>0</v>
      </c>
      <c r="F102" s="99">
        <v>0</v>
      </c>
      <c r="G102" s="99">
        <v>0</v>
      </c>
      <c r="H102" s="99">
        <v>0</v>
      </c>
      <c r="I102" s="99">
        <v>0</v>
      </c>
      <c r="J102" s="99">
        <v>9</v>
      </c>
      <c r="K102" s="99">
        <v>17452.8</v>
      </c>
      <c r="L102" s="99">
        <v>9</v>
      </c>
      <c r="M102" s="99">
        <v>17452.8</v>
      </c>
      <c r="N102" s="99">
        <v>10</v>
      </c>
      <c r="O102" s="99">
        <v>19392</v>
      </c>
      <c r="P102" s="99">
        <v>7</v>
      </c>
      <c r="Q102" s="99">
        <v>13574.399999999998</v>
      </c>
      <c r="R102" s="99">
        <v>7</v>
      </c>
      <c r="S102" s="99">
        <v>13574.399999999998</v>
      </c>
      <c r="T102" s="99">
        <v>9</v>
      </c>
      <c r="U102" s="99">
        <v>17452.8</v>
      </c>
      <c r="V102" s="99">
        <v>6</v>
      </c>
      <c r="W102" s="99">
        <v>11635.199999999999</v>
      </c>
      <c r="X102" s="99">
        <v>7</v>
      </c>
      <c r="Y102" s="99">
        <v>13574.399999999998</v>
      </c>
      <c r="Z102" s="99">
        <v>10</v>
      </c>
      <c r="AA102" s="99">
        <v>19392</v>
      </c>
      <c r="AB102" s="99">
        <v>7</v>
      </c>
      <c r="AC102" s="99">
        <v>13574.399999999998</v>
      </c>
      <c r="AD102" s="99">
        <v>9</v>
      </c>
      <c r="AE102" s="99">
        <v>17452.8</v>
      </c>
      <c r="AF102" s="99">
        <v>9</v>
      </c>
      <c r="AG102" s="99">
        <v>17452.8</v>
      </c>
      <c r="AH102" s="99">
        <v>10</v>
      </c>
      <c r="AI102" s="99">
        <v>19392</v>
      </c>
      <c r="AJ102" s="99">
        <v>7</v>
      </c>
      <c r="AK102" s="99">
        <v>13574.399999999998</v>
      </c>
      <c r="AL102" s="99">
        <v>7</v>
      </c>
      <c r="AM102" s="99">
        <v>13574.399999999998</v>
      </c>
      <c r="AN102" s="99">
        <v>6</v>
      </c>
      <c r="AO102" s="99">
        <v>11635.199999999999</v>
      </c>
      <c r="AP102" s="99">
        <v>7</v>
      </c>
      <c r="AQ102" s="99">
        <v>13574.399999999998</v>
      </c>
      <c r="AR102" s="99">
        <v>5</v>
      </c>
      <c r="AS102" s="99">
        <v>9696</v>
      </c>
      <c r="AT102" s="99">
        <v>10</v>
      </c>
      <c r="AU102" s="99">
        <v>19392</v>
      </c>
      <c r="AV102" s="99">
        <v>10</v>
      </c>
      <c r="AW102" s="99">
        <v>19392</v>
      </c>
      <c r="AX102" s="99">
        <v>7</v>
      </c>
      <c r="AY102" s="99">
        <v>13574.399999999998</v>
      </c>
      <c r="AZ102" s="99">
        <v>6</v>
      </c>
      <c r="BA102" s="99">
        <v>11635.199999999999</v>
      </c>
      <c r="BB102" s="99">
        <v>9</v>
      </c>
      <c r="BC102" s="99">
        <v>17452.8</v>
      </c>
      <c r="BD102" s="99">
        <v>7</v>
      </c>
      <c r="BE102" s="99">
        <v>13574.399999999998</v>
      </c>
      <c r="BF102" s="99">
        <v>8</v>
      </c>
      <c r="BG102" s="99">
        <v>15513.599999999999</v>
      </c>
      <c r="BH102" s="99">
        <v>10</v>
      </c>
      <c r="BI102" s="99">
        <v>19392</v>
      </c>
      <c r="BJ102" s="99">
        <v>9</v>
      </c>
      <c r="BK102" s="99">
        <v>17452.8</v>
      </c>
      <c r="BL102" s="99">
        <v>9</v>
      </c>
      <c r="BM102" s="99">
        <v>17452.8</v>
      </c>
      <c r="BN102" s="99">
        <v>7</v>
      </c>
      <c r="BO102" s="99">
        <v>13574.399999999998</v>
      </c>
      <c r="BP102" s="99">
        <v>7</v>
      </c>
      <c r="BQ102" s="99">
        <v>13574.399999999998</v>
      </c>
      <c r="BR102" s="99">
        <v>9</v>
      </c>
      <c r="BS102" s="99">
        <v>17452.8</v>
      </c>
      <c r="BT102" s="99">
        <v>6</v>
      </c>
      <c r="BU102" s="99">
        <v>11635.199999999999</v>
      </c>
      <c r="BV102" s="99">
        <v>7</v>
      </c>
      <c r="BW102" s="99">
        <v>13574.399999999998</v>
      </c>
      <c r="BX102" s="99">
        <v>10</v>
      </c>
      <c r="BY102" s="99">
        <v>19392</v>
      </c>
      <c r="BZ102" s="99">
        <v>7</v>
      </c>
      <c r="CA102" s="99">
        <v>13574.399999999998</v>
      </c>
      <c r="CB102" s="99">
        <v>9</v>
      </c>
      <c r="CC102" s="99">
        <v>17452.8</v>
      </c>
      <c r="CD102" s="99">
        <v>7</v>
      </c>
      <c r="CE102" s="99">
        <v>13574.399999999998</v>
      </c>
      <c r="CF102" s="99">
        <v>8</v>
      </c>
      <c r="CG102" s="99">
        <v>15513.599999999999</v>
      </c>
      <c r="CH102" s="99">
        <v>8</v>
      </c>
      <c r="CI102" s="99">
        <v>15513.599999999999</v>
      </c>
      <c r="CJ102" s="99">
        <v>7</v>
      </c>
      <c r="CK102" s="99">
        <v>13574.399999999998</v>
      </c>
      <c r="CL102" s="99">
        <v>11</v>
      </c>
      <c r="CM102" s="99">
        <v>21331.199999999997</v>
      </c>
      <c r="CN102" s="99">
        <v>11</v>
      </c>
      <c r="CO102" s="99">
        <v>21331.199999999997</v>
      </c>
      <c r="CP102" s="99">
        <v>7</v>
      </c>
      <c r="CQ102" s="99">
        <v>13574.399999999998</v>
      </c>
      <c r="CR102" s="99">
        <v>7</v>
      </c>
      <c r="CS102" s="99">
        <v>13574.399999999998</v>
      </c>
      <c r="CT102" s="99">
        <v>7</v>
      </c>
      <c r="CU102" s="99">
        <v>13574.399999999998</v>
      </c>
    </row>
    <row r="103" spans="2:99">
      <c r="C103" s="98" t="s">
        <v>268</v>
      </c>
      <c r="D103" s="99">
        <v>0</v>
      </c>
      <c r="E103" s="99">
        <v>0</v>
      </c>
      <c r="F103" s="99">
        <v>0</v>
      </c>
      <c r="G103" s="99">
        <v>0</v>
      </c>
      <c r="H103" s="99">
        <v>0</v>
      </c>
      <c r="I103" s="99">
        <v>0</v>
      </c>
      <c r="J103" s="99">
        <v>10</v>
      </c>
      <c r="K103" s="99">
        <v>20280</v>
      </c>
      <c r="L103" s="99">
        <v>9</v>
      </c>
      <c r="M103" s="99">
        <v>18252</v>
      </c>
      <c r="N103" s="99">
        <v>10</v>
      </c>
      <c r="O103" s="99">
        <v>20280</v>
      </c>
      <c r="P103" s="99">
        <v>8</v>
      </c>
      <c r="Q103" s="99">
        <v>16224</v>
      </c>
      <c r="R103" s="99">
        <v>7</v>
      </c>
      <c r="S103" s="99">
        <v>14196</v>
      </c>
      <c r="T103" s="99">
        <v>9</v>
      </c>
      <c r="U103" s="99">
        <v>18252</v>
      </c>
      <c r="V103" s="99">
        <v>5</v>
      </c>
      <c r="W103" s="99">
        <v>10140</v>
      </c>
      <c r="X103" s="99">
        <v>9</v>
      </c>
      <c r="Y103" s="99">
        <v>18252</v>
      </c>
      <c r="Z103" s="99">
        <v>10</v>
      </c>
      <c r="AA103" s="99">
        <v>20280</v>
      </c>
      <c r="AB103" s="99">
        <v>7</v>
      </c>
      <c r="AC103" s="99">
        <v>14196</v>
      </c>
      <c r="AD103" s="99">
        <v>9</v>
      </c>
      <c r="AE103" s="99">
        <v>18252</v>
      </c>
      <c r="AF103" s="99">
        <v>11</v>
      </c>
      <c r="AG103" s="99">
        <v>22308</v>
      </c>
      <c r="AH103" s="99">
        <v>9</v>
      </c>
      <c r="AI103" s="99">
        <v>18252</v>
      </c>
      <c r="AJ103" s="99">
        <v>7</v>
      </c>
      <c r="AK103" s="99">
        <v>14196</v>
      </c>
      <c r="AL103" s="99">
        <v>7</v>
      </c>
      <c r="AM103" s="99">
        <v>14196</v>
      </c>
      <c r="AN103" s="99">
        <v>6</v>
      </c>
      <c r="AO103" s="99">
        <v>12168</v>
      </c>
      <c r="AP103" s="99">
        <v>8</v>
      </c>
      <c r="AQ103" s="99">
        <v>16224</v>
      </c>
      <c r="AR103" s="99">
        <v>6</v>
      </c>
      <c r="AS103" s="99">
        <v>12168</v>
      </c>
      <c r="AT103" s="99">
        <v>10</v>
      </c>
      <c r="AU103" s="99">
        <v>20280</v>
      </c>
      <c r="AV103" s="99">
        <v>10</v>
      </c>
      <c r="AW103" s="99">
        <v>20280</v>
      </c>
      <c r="AX103" s="99">
        <v>7</v>
      </c>
      <c r="AY103" s="99">
        <v>14196</v>
      </c>
      <c r="AZ103" s="99">
        <v>6</v>
      </c>
      <c r="BA103" s="99">
        <v>12168</v>
      </c>
      <c r="BB103" s="99">
        <v>8</v>
      </c>
      <c r="BC103" s="99">
        <v>16224</v>
      </c>
      <c r="BD103" s="99">
        <v>7</v>
      </c>
      <c r="BE103" s="99">
        <v>14196</v>
      </c>
      <c r="BF103" s="99">
        <v>9</v>
      </c>
      <c r="BG103" s="99">
        <v>18252</v>
      </c>
      <c r="BH103" s="99">
        <v>10</v>
      </c>
      <c r="BI103" s="99">
        <v>20280</v>
      </c>
      <c r="BJ103" s="99">
        <v>10</v>
      </c>
      <c r="BK103" s="99">
        <v>20280</v>
      </c>
      <c r="BL103" s="99">
        <v>9</v>
      </c>
      <c r="BM103" s="99">
        <v>18252</v>
      </c>
      <c r="BN103" s="99">
        <v>7</v>
      </c>
      <c r="BO103" s="99">
        <v>14196</v>
      </c>
      <c r="BP103" s="99">
        <v>7</v>
      </c>
      <c r="BQ103" s="99">
        <v>14196</v>
      </c>
      <c r="BR103" s="99">
        <v>9</v>
      </c>
      <c r="BS103" s="99">
        <v>18252</v>
      </c>
      <c r="BT103" s="99">
        <v>6</v>
      </c>
      <c r="BU103" s="99">
        <v>12168</v>
      </c>
      <c r="BV103" s="99">
        <v>7</v>
      </c>
      <c r="BW103" s="99">
        <v>14196</v>
      </c>
      <c r="BX103" s="99">
        <v>9</v>
      </c>
      <c r="BY103" s="99">
        <v>18252</v>
      </c>
      <c r="BZ103" s="99">
        <v>7</v>
      </c>
      <c r="CA103" s="99">
        <v>14196</v>
      </c>
      <c r="CB103" s="99">
        <v>10</v>
      </c>
      <c r="CC103" s="99">
        <v>20280</v>
      </c>
      <c r="CD103" s="99">
        <v>7</v>
      </c>
      <c r="CE103" s="99">
        <v>14196</v>
      </c>
      <c r="CF103" s="99">
        <v>8</v>
      </c>
      <c r="CG103" s="99">
        <v>16224</v>
      </c>
      <c r="CH103" s="99">
        <v>7</v>
      </c>
      <c r="CI103" s="99">
        <v>14196</v>
      </c>
      <c r="CJ103" s="99">
        <v>7</v>
      </c>
      <c r="CK103" s="99">
        <v>14196</v>
      </c>
      <c r="CL103" s="99">
        <v>11</v>
      </c>
      <c r="CM103" s="99">
        <v>22308</v>
      </c>
      <c r="CN103" s="99">
        <v>10</v>
      </c>
      <c r="CO103" s="99">
        <v>20280</v>
      </c>
      <c r="CP103" s="99">
        <v>6</v>
      </c>
      <c r="CQ103" s="99">
        <v>12168</v>
      </c>
      <c r="CR103" s="99">
        <v>5</v>
      </c>
      <c r="CS103" s="99">
        <v>10140</v>
      </c>
      <c r="CT103" s="99">
        <v>7</v>
      </c>
      <c r="CU103" s="99">
        <v>14196</v>
      </c>
    </row>
    <row r="104" spans="2:99">
      <c r="C104" s="98" t="s">
        <v>269</v>
      </c>
      <c r="D104" s="99">
        <v>0</v>
      </c>
      <c r="E104" s="99">
        <v>0</v>
      </c>
      <c r="F104" s="99">
        <v>0</v>
      </c>
      <c r="G104" s="99">
        <v>0</v>
      </c>
      <c r="H104" s="99">
        <v>0</v>
      </c>
      <c r="I104" s="99">
        <v>0</v>
      </c>
      <c r="J104" s="99">
        <v>10</v>
      </c>
      <c r="K104" s="99">
        <v>20724</v>
      </c>
      <c r="L104" s="99">
        <v>9</v>
      </c>
      <c r="M104" s="99">
        <v>18651.600000000002</v>
      </c>
      <c r="N104" s="99">
        <v>11</v>
      </c>
      <c r="O104" s="99">
        <v>22796.400000000001</v>
      </c>
      <c r="P104" s="99">
        <v>7</v>
      </c>
      <c r="Q104" s="99">
        <v>14506.800000000001</v>
      </c>
      <c r="R104" s="99">
        <v>7</v>
      </c>
      <c r="S104" s="99">
        <v>14506.800000000001</v>
      </c>
      <c r="T104" s="99">
        <v>8</v>
      </c>
      <c r="U104" s="99">
        <v>16579.2</v>
      </c>
      <c r="V104" s="99">
        <v>6</v>
      </c>
      <c r="W104" s="99">
        <v>12434.400000000001</v>
      </c>
      <c r="X104" s="99">
        <v>7</v>
      </c>
      <c r="Y104" s="99">
        <v>14506.800000000001</v>
      </c>
      <c r="Z104" s="99">
        <v>9</v>
      </c>
      <c r="AA104" s="99">
        <v>18651.600000000002</v>
      </c>
      <c r="AB104" s="99">
        <v>7</v>
      </c>
      <c r="AC104" s="99">
        <v>14506.800000000001</v>
      </c>
      <c r="AD104" s="99">
        <v>9</v>
      </c>
      <c r="AE104" s="99">
        <v>18651.600000000002</v>
      </c>
      <c r="AF104" s="99">
        <v>10</v>
      </c>
      <c r="AG104" s="99">
        <v>20724</v>
      </c>
      <c r="AH104" s="99">
        <v>9</v>
      </c>
      <c r="AI104" s="99">
        <v>18651.600000000002</v>
      </c>
      <c r="AJ104" s="99">
        <v>8</v>
      </c>
      <c r="AK104" s="99">
        <v>16579.2</v>
      </c>
      <c r="AL104" s="99">
        <v>7</v>
      </c>
      <c r="AM104" s="99">
        <v>14506.800000000001</v>
      </c>
      <c r="AN104" s="99">
        <v>5</v>
      </c>
      <c r="AO104" s="99">
        <v>10362</v>
      </c>
      <c r="AP104" s="99">
        <v>7</v>
      </c>
      <c r="AQ104" s="99">
        <v>14506.800000000001</v>
      </c>
      <c r="AR104" s="99">
        <v>6</v>
      </c>
      <c r="AS104" s="99">
        <v>12434.400000000001</v>
      </c>
      <c r="AT104" s="99">
        <v>9</v>
      </c>
      <c r="AU104" s="99">
        <v>18651.600000000002</v>
      </c>
      <c r="AV104" s="99">
        <v>10</v>
      </c>
      <c r="AW104" s="99">
        <v>20724</v>
      </c>
      <c r="AX104" s="99">
        <v>7</v>
      </c>
      <c r="AY104" s="99">
        <v>14506.800000000001</v>
      </c>
      <c r="AZ104" s="99">
        <v>5</v>
      </c>
      <c r="BA104" s="99">
        <v>10362</v>
      </c>
      <c r="BB104" s="99">
        <v>8</v>
      </c>
      <c r="BC104" s="99">
        <v>16579.2</v>
      </c>
      <c r="BD104" s="99">
        <v>7</v>
      </c>
      <c r="BE104" s="99">
        <v>14506.800000000001</v>
      </c>
      <c r="BF104" s="99">
        <v>9</v>
      </c>
      <c r="BG104" s="99">
        <v>18651.600000000002</v>
      </c>
      <c r="BH104" s="99">
        <v>9</v>
      </c>
      <c r="BI104" s="99">
        <v>18651.600000000002</v>
      </c>
      <c r="BJ104" s="99">
        <v>10</v>
      </c>
      <c r="BK104" s="99">
        <v>20724</v>
      </c>
      <c r="BL104" s="99">
        <v>9</v>
      </c>
      <c r="BM104" s="99">
        <v>18651.600000000002</v>
      </c>
      <c r="BN104" s="99">
        <v>7</v>
      </c>
      <c r="BO104" s="99">
        <v>14506.800000000001</v>
      </c>
      <c r="BP104" s="99">
        <v>7</v>
      </c>
      <c r="BQ104" s="99">
        <v>14506.800000000001</v>
      </c>
      <c r="BR104" s="99">
        <v>9</v>
      </c>
      <c r="BS104" s="99">
        <v>18651.600000000002</v>
      </c>
      <c r="BT104" s="99">
        <v>6</v>
      </c>
      <c r="BU104" s="99">
        <v>12434.400000000001</v>
      </c>
      <c r="BV104" s="99">
        <v>7</v>
      </c>
      <c r="BW104" s="99">
        <v>14506.800000000001</v>
      </c>
      <c r="BX104" s="99">
        <v>10</v>
      </c>
      <c r="BY104" s="99">
        <v>20724</v>
      </c>
      <c r="BZ104" s="99">
        <v>7</v>
      </c>
      <c r="CA104" s="99">
        <v>14506.800000000001</v>
      </c>
      <c r="CB104" s="99">
        <v>10</v>
      </c>
      <c r="CC104" s="99">
        <v>20724</v>
      </c>
      <c r="CD104" s="99">
        <v>7</v>
      </c>
      <c r="CE104" s="99">
        <v>14506.800000000001</v>
      </c>
      <c r="CF104" s="99">
        <v>8</v>
      </c>
      <c r="CG104" s="99">
        <v>16579.2</v>
      </c>
      <c r="CH104" s="99">
        <v>7</v>
      </c>
      <c r="CI104" s="99">
        <v>14506.800000000001</v>
      </c>
      <c r="CJ104" s="99">
        <v>7</v>
      </c>
      <c r="CK104" s="99">
        <v>14506.800000000001</v>
      </c>
      <c r="CL104" s="99">
        <v>11</v>
      </c>
      <c r="CM104" s="99">
        <v>22796.400000000001</v>
      </c>
      <c r="CN104" s="99">
        <v>11</v>
      </c>
      <c r="CO104" s="99">
        <v>22796.400000000001</v>
      </c>
      <c r="CP104" s="99">
        <v>6</v>
      </c>
      <c r="CQ104" s="99">
        <v>12434.400000000001</v>
      </c>
      <c r="CR104" s="99">
        <v>6</v>
      </c>
      <c r="CS104" s="99">
        <v>12434.400000000001</v>
      </c>
      <c r="CT104" s="99">
        <v>7</v>
      </c>
      <c r="CU104" s="99">
        <v>14506.800000000001</v>
      </c>
    </row>
    <row r="105" spans="2:99">
      <c r="C105" s="98" t="s">
        <v>270</v>
      </c>
      <c r="D105" s="99">
        <v>0</v>
      </c>
      <c r="E105" s="99">
        <v>0</v>
      </c>
      <c r="F105" s="99">
        <v>0</v>
      </c>
      <c r="G105" s="99">
        <v>0</v>
      </c>
      <c r="H105" s="99">
        <v>0</v>
      </c>
      <c r="I105" s="99">
        <v>0</v>
      </c>
      <c r="J105" s="99">
        <v>10</v>
      </c>
      <c r="K105" s="99">
        <v>19980</v>
      </c>
      <c r="L105" s="99">
        <v>9</v>
      </c>
      <c r="M105" s="99">
        <v>17982</v>
      </c>
      <c r="N105" s="99">
        <v>10</v>
      </c>
      <c r="O105" s="99">
        <v>19980</v>
      </c>
      <c r="P105" s="99">
        <v>7</v>
      </c>
      <c r="Q105" s="99">
        <v>13986</v>
      </c>
      <c r="R105" s="99">
        <v>7</v>
      </c>
      <c r="S105" s="99">
        <v>13986</v>
      </c>
      <c r="T105" s="99">
        <v>8</v>
      </c>
      <c r="U105" s="99">
        <v>15984</v>
      </c>
      <c r="V105" s="99">
        <v>5</v>
      </c>
      <c r="W105" s="99">
        <v>9990</v>
      </c>
      <c r="X105" s="99">
        <v>8</v>
      </c>
      <c r="Y105" s="99">
        <v>15984</v>
      </c>
      <c r="Z105" s="99">
        <v>9</v>
      </c>
      <c r="AA105" s="99">
        <v>17982</v>
      </c>
      <c r="AB105" s="99">
        <v>7</v>
      </c>
      <c r="AC105" s="99">
        <v>13986</v>
      </c>
      <c r="AD105" s="99">
        <v>9</v>
      </c>
      <c r="AE105" s="99">
        <v>17982</v>
      </c>
      <c r="AF105" s="99">
        <v>10</v>
      </c>
      <c r="AG105" s="99">
        <v>19980</v>
      </c>
      <c r="AH105" s="99">
        <v>9</v>
      </c>
      <c r="AI105" s="99">
        <v>17982</v>
      </c>
      <c r="AJ105" s="99">
        <v>8</v>
      </c>
      <c r="AK105" s="99">
        <v>15984</v>
      </c>
      <c r="AL105" s="99">
        <v>7</v>
      </c>
      <c r="AM105" s="99">
        <v>13986</v>
      </c>
      <c r="AN105" s="99">
        <v>6</v>
      </c>
      <c r="AO105" s="99">
        <v>11988</v>
      </c>
      <c r="AP105" s="99">
        <v>8</v>
      </c>
      <c r="AQ105" s="99">
        <v>15984</v>
      </c>
      <c r="AR105" s="99">
        <v>5</v>
      </c>
      <c r="AS105" s="99">
        <v>9990</v>
      </c>
      <c r="AT105" s="99">
        <v>9</v>
      </c>
      <c r="AU105" s="99">
        <v>17982</v>
      </c>
      <c r="AV105" s="99">
        <v>9</v>
      </c>
      <c r="AW105" s="99">
        <v>17982</v>
      </c>
      <c r="AX105" s="99">
        <v>7</v>
      </c>
      <c r="AY105" s="99">
        <v>13986</v>
      </c>
      <c r="AZ105" s="99">
        <v>6</v>
      </c>
      <c r="BA105" s="99">
        <v>11988</v>
      </c>
      <c r="BB105" s="99">
        <v>8</v>
      </c>
      <c r="BC105" s="99">
        <v>15984</v>
      </c>
      <c r="BD105" s="99">
        <v>6</v>
      </c>
      <c r="BE105" s="99">
        <v>11988</v>
      </c>
      <c r="BF105" s="99">
        <v>8</v>
      </c>
      <c r="BG105" s="99">
        <v>15984</v>
      </c>
      <c r="BH105" s="99">
        <v>11</v>
      </c>
      <c r="BI105" s="99">
        <v>21978</v>
      </c>
      <c r="BJ105" s="99">
        <v>9</v>
      </c>
      <c r="BK105" s="99">
        <v>17982</v>
      </c>
      <c r="BL105" s="99">
        <v>8</v>
      </c>
      <c r="BM105" s="99">
        <v>15984</v>
      </c>
      <c r="BN105" s="99">
        <v>7</v>
      </c>
      <c r="BO105" s="99">
        <v>13986</v>
      </c>
      <c r="BP105" s="99">
        <v>8</v>
      </c>
      <c r="BQ105" s="99">
        <v>15984</v>
      </c>
      <c r="BR105" s="99">
        <v>9</v>
      </c>
      <c r="BS105" s="99">
        <v>17982</v>
      </c>
      <c r="BT105" s="99">
        <v>6</v>
      </c>
      <c r="BU105" s="99">
        <v>11988</v>
      </c>
      <c r="BV105" s="99">
        <v>7</v>
      </c>
      <c r="BW105" s="99">
        <v>13986</v>
      </c>
      <c r="BX105" s="99">
        <v>11</v>
      </c>
      <c r="BY105" s="99">
        <v>21978</v>
      </c>
      <c r="BZ105" s="99">
        <v>7</v>
      </c>
      <c r="CA105" s="99">
        <v>13986</v>
      </c>
      <c r="CB105" s="99">
        <v>10</v>
      </c>
      <c r="CC105" s="99">
        <v>19980</v>
      </c>
      <c r="CD105" s="99">
        <v>7</v>
      </c>
      <c r="CE105" s="99">
        <v>13986</v>
      </c>
      <c r="CF105" s="99">
        <v>10</v>
      </c>
      <c r="CG105" s="99">
        <v>19980</v>
      </c>
      <c r="CH105" s="99">
        <v>7</v>
      </c>
      <c r="CI105" s="99">
        <v>13986</v>
      </c>
      <c r="CJ105" s="99">
        <v>7</v>
      </c>
      <c r="CK105" s="99">
        <v>13986</v>
      </c>
      <c r="CL105" s="99">
        <v>11</v>
      </c>
      <c r="CM105" s="99">
        <v>21978</v>
      </c>
      <c r="CN105" s="99">
        <v>11</v>
      </c>
      <c r="CO105" s="99">
        <v>21978</v>
      </c>
      <c r="CP105" s="99">
        <v>6</v>
      </c>
      <c r="CQ105" s="99">
        <v>11988</v>
      </c>
      <c r="CR105" s="99">
        <v>6</v>
      </c>
      <c r="CS105" s="99">
        <v>11988</v>
      </c>
      <c r="CT105" s="99">
        <v>7</v>
      </c>
      <c r="CU105" s="99">
        <v>13986</v>
      </c>
    </row>
    <row r="107" spans="2:99">
      <c r="B107" s="103" t="s">
        <v>275</v>
      </c>
    </row>
    <row r="108" spans="2:99">
      <c r="C108" s="98" t="s">
        <v>276</v>
      </c>
      <c r="D108" s="98" t="s">
        <v>92</v>
      </c>
      <c r="E108" s="98" t="s">
        <v>93</v>
      </c>
      <c r="F108" s="98" t="s">
        <v>94</v>
      </c>
      <c r="G108" s="98" t="s">
        <v>95</v>
      </c>
      <c r="H108" s="98" t="s">
        <v>96</v>
      </c>
      <c r="I108" s="98" t="s">
        <v>97</v>
      </c>
      <c r="J108" s="98" t="s">
        <v>98</v>
      </c>
      <c r="K108" s="98" t="s">
        <v>99</v>
      </c>
      <c r="L108" s="98" t="s">
        <v>100</v>
      </c>
      <c r="M108" s="98" t="s">
        <v>101</v>
      </c>
      <c r="N108" s="98" t="s">
        <v>102</v>
      </c>
      <c r="O108" s="98" t="s">
        <v>103</v>
      </c>
    </row>
    <row r="109" spans="2:99">
      <c r="C109" s="98" t="s">
        <v>126</v>
      </c>
      <c r="D109" s="99">
        <f>SUM(D$6:D$19)+SUM(F$6:F$19)+SUM(H$6:H$19)+SUM(J$6:J$19)</f>
        <v>73.453062195916601</v>
      </c>
      <c r="E109" s="99">
        <f>SUM(L$6:L$19)+SUM(N$6:N$19)+SUM(P$6:P$19)+SUM(R$6:R$19)</f>
        <v>388.70085133425778</v>
      </c>
      <c r="F109" s="99">
        <f>SUM(T$6:T$19)+SUM(V$6:V$19)+SUM(X$6:X$19)+SUM(Z$6:Z$19)</f>
        <v>348</v>
      </c>
      <c r="G109" s="99">
        <f>SUM(AB$6:AB$19)+SUM(AD$6:AD$19)+SUM(AF$6:AF$19)+SUM(AH$6:AH$19)</f>
        <v>370</v>
      </c>
      <c r="H109" s="99">
        <f>SUM(AJ$6:AJ$19)+SUM(AL$6:AL$19)+SUM(AN$6:AN$19)+SUM(AP$6:AP$19)</f>
        <v>420</v>
      </c>
      <c r="I109" s="99">
        <f>SUM(AR$6:AR$19)+SUM(AT$6:AT$19)+SUM(AV$6:AV$19)+SUM(AX$6:AX$19)</f>
        <v>394.29938334771867</v>
      </c>
      <c r="J109" s="99">
        <f>SUM(AZ$6:AZ$19)+SUM(BB$6:BB$19)+SUM(BD$6:BD$19)+SUM(BF$6:BF$19)</f>
        <v>451</v>
      </c>
      <c r="K109" s="99">
        <f>SUM(BH$6:BH$19)+SUM(BJ$6:BJ$19)+SUM(BL$6:BL$19)+SUM(BN$6:BN$19)</f>
        <v>491.32759254888026</v>
      </c>
      <c r="L109" s="99">
        <f>SUM(BP$6:BP$19)+SUM(BR$6:BR$19)+SUM(BT$6:BT$19)+SUM(BV$6:BV$19)</f>
        <v>537</v>
      </c>
      <c r="M109" s="99">
        <f>SUM(BX$6:BX$19)+SUM(BZ$6:BZ$19)+SUM(CB$6:CB$19)+SUM(CD$6:CD$19)</f>
        <v>407.54855845133801</v>
      </c>
      <c r="N109" s="99">
        <f>SUM(CF$6:CF$19)+SUM(CH$6:CH$19)+SUM(CJ$6:CJ$19)+SUM(CL$6:CL$19)</f>
        <v>509</v>
      </c>
      <c r="O109" s="99">
        <f>SUM(CN$6:CN$19)+SUM(CP$6:CP$19)+SUM(CR$6:CR$19)+SUM(CT$6:CT$19)</f>
        <v>517.77900647576064</v>
      </c>
    </row>
    <row r="110" spans="2:99">
      <c r="C110" s="98" t="s">
        <v>127</v>
      </c>
      <c r="D110" s="99">
        <f>SUM(D$20:D$36)+SUM(F$20:F$36)+SUM(H$20:H$36)+SUM(J$20:J$36)</f>
        <v>144.37120306591038</v>
      </c>
      <c r="E110" s="99">
        <f>SUM(L$20:L$36)+SUM(N$20:N$36)+SUM(P$20:P$36)+SUM(R$20:R$36)</f>
        <v>746.08541632548213</v>
      </c>
      <c r="F110" s="99">
        <f>SUM(T$20:T$36)+SUM(V$20:V$36)+SUM(X$20:X$36)+SUM(Z$20:Z$36)</f>
        <v>821</v>
      </c>
      <c r="G110" s="99">
        <f>SUM(AB$20:AB$36)+SUM(AD$20:AD$36)+SUM(AF$20:AF$36)+SUM(AH$20:AH$36)</f>
        <v>822</v>
      </c>
      <c r="H110" s="99">
        <f>SUM(AJ$20:AJ$36)+SUM(AL$20:AL$36)+SUM(AN$20:AN$36)+SUM(AP$20:AP$36)</f>
        <v>780</v>
      </c>
      <c r="I110" s="99">
        <f>SUM(AR$20:AR$36)+SUM(AT$20:AT$36)+SUM(AV$20:AV$36)+SUM(AX$20:AX$36)</f>
        <v>696</v>
      </c>
      <c r="J110" s="99">
        <f>SUM(AZ$20:AZ$36)+SUM(BB$20:BB$36)+SUM(BD$20:BD$36)+SUM(BF$20:BF$36)</f>
        <v>762</v>
      </c>
      <c r="K110" s="99">
        <f>SUM(BH$20:BH$36)+SUM(BJ$20:BJ$36)+SUM(BL$20:BL$36)+SUM(BN$20:BN$36)</f>
        <v>772</v>
      </c>
      <c r="L110" s="99">
        <f>SUM(BP$20:BP$36)+SUM(BR$20:BR$36)+SUM(BT$20:BT$36)+SUM(BV$20:BV$36)</f>
        <v>775</v>
      </c>
      <c r="M110" s="99">
        <f>SUM(BX$20:BX$36)+SUM(BZ$20:BZ$36)+SUM(CB$20:CB$36)+SUM(CD$20:CD$36)</f>
        <v>646</v>
      </c>
      <c r="N110" s="99">
        <f>SUM(CF$20:CF$36)+SUM(CH$20:CH$36)+SUM(CJ$20:CJ$36)+SUM(CL$20:CL$36)</f>
        <v>915</v>
      </c>
      <c r="O110" s="99">
        <f>SUM(CN$20:CN$36)+SUM(CP$20:CP$36)+SUM(CR$20:CR$36)+SUM(CT$20:CT$36)</f>
        <v>836</v>
      </c>
    </row>
    <row r="111" spans="2:99">
      <c r="C111" s="98" t="s">
        <v>128</v>
      </c>
      <c r="D111" s="99">
        <f>SUM(D$37:D$48)+SUM(F$37:F$48)+SUM(H$37:H$48)+SUM(J$37:J$48)</f>
        <v>50.807224505176833</v>
      </c>
      <c r="E111" s="99">
        <f>SUM(L$37:L$48)+SUM(N$37:N$48)+SUM(P$37:P$48)+SUM(R$37:R$48)</f>
        <v>282.72918936922622</v>
      </c>
      <c r="F111" s="99">
        <f>SUM(T$37:T$48)+SUM(V$37:V$48)+SUM(X$37:X$48)+SUM(Z$37:Z$48)</f>
        <v>324</v>
      </c>
      <c r="G111" s="99">
        <f>SUM(AB$37:AB$48)+SUM(AD$37:AD$48)+SUM(AF$37:AF$48)+SUM(AH$37:AH$48)</f>
        <v>293</v>
      </c>
      <c r="H111" s="99">
        <f>SUM(AJ$37:AJ$48)+SUM(AL$37:AL$48)+SUM(AN$37:AN$48)+SUM(AP$37:AP$48)</f>
        <v>335</v>
      </c>
      <c r="I111" s="99">
        <f>SUM(AR$37:AR$48)+SUM(AT$37:AT$48)+SUM(AV$37:AV$48)+SUM(AX$37:AX$48)</f>
        <v>296</v>
      </c>
      <c r="J111" s="99">
        <f>SUM(AZ$37:AZ$48)+SUM(BB$37:BB$48)+SUM(BD$37:BD$48)+SUM(BF$37:BF$48)</f>
        <v>275</v>
      </c>
      <c r="K111" s="99">
        <f>SUM(BH$37:BH$48)+SUM(BJ$37:BJ$48)+SUM(BL$37:BL$48)+SUM(BN$37:BN$48)</f>
        <v>250.68295482447706</v>
      </c>
      <c r="L111" s="99">
        <f>SUM(BP$37:BP$48)+SUM(BR$37:BR$48)+SUM(BT$37:BT$48)+SUM(BV$37:BV$48)</f>
        <v>286</v>
      </c>
      <c r="M111" s="99">
        <f>SUM(BX$37:BX$48)+SUM(BZ$37:BZ$48)+SUM(CB$37:CB$48)+SUM(CD$37:CD$48)</f>
        <v>333</v>
      </c>
      <c r="N111" s="99">
        <f>SUM(CF$37:CF$48)+SUM(CH$37:CH$48)+SUM(CJ$37:CJ$48)+SUM(CL$37:CL$48)</f>
        <v>306</v>
      </c>
      <c r="O111" s="99">
        <f>SUM(CN$37:CN$48)+SUM(CP$37:CP$48)+SUM(CR$37:CR$48)+SUM(CT$37:CT$48)</f>
        <v>340.07326545375656</v>
      </c>
    </row>
    <row r="112" spans="2:99">
      <c r="C112" s="98" t="s">
        <v>129</v>
      </c>
      <c r="D112" s="99">
        <f>SUM(D$49:D$70)+SUM(F$49:F$70)+SUM(H$49:H$70)+SUM(J$49:J$70)</f>
        <v>83.113593241352618</v>
      </c>
      <c r="E112" s="99">
        <f>SUM(L$49:L$70)+SUM(N$49:N$70)+SUM(P$49:P$70)+SUM(R$49:R$70)</f>
        <v>309.59356667360066</v>
      </c>
      <c r="F112" s="99">
        <f>SUM(T$49:T$70)+SUM(V$49:V$70)+SUM(X$49:X$70)+SUM(Z$49:Z$70)</f>
        <v>361</v>
      </c>
      <c r="G112" s="99">
        <f>SUM(AB$49:AB$70)+SUM(AD$49:AD$70)+SUM(AF$49:AF$70)+SUM(AH$49:AH$70)</f>
        <v>365</v>
      </c>
      <c r="H112" s="99">
        <f>SUM(AJ$49:AJ$70)+SUM(AL$49:AL$70)+SUM(AN$49:AN$70)+SUM(AP$49:AP$70)</f>
        <v>365</v>
      </c>
      <c r="I112" s="99">
        <f>SUM(AR$49:AR$70)+SUM(AT$49:AT$70)+SUM(AV$49:AV$70)+SUM(AX$49:AX$70)</f>
        <v>416</v>
      </c>
      <c r="J112" s="99">
        <f>SUM(AZ$49:AZ$70)+SUM(BB$49:BB$70)+SUM(BD$49:BD$70)+SUM(BF$49:BF$70)</f>
        <v>457</v>
      </c>
      <c r="K112" s="99">
        <f>SUM(BH$49:BH$70)+SUM(BJ$49:BJ$70)+SUM(BL$49:BL$70)+SUM(BN$49:BN$70)</f>
        <v>437</v>
      </c>
      <c r="L112" s="99">
        <f>SUM(BP$49:BP$70)+SUM(BR$49:BR$70)+SUM(BT$49:BT$70)+SUM(BV$49:BV$70)</f>
        <v>383</v>
      </c>
      <c r="M112" s="99">
        <f>SUM(BX$49:BX$70)+SUM(BZ$49:BZ$70)+SUM(CB$49:CB$70)+SUM(CD$49:CD$70)</f>
        <v>367</v>
      </c>
      <c r="N112" s="99">
        <f>SUM(CF$49:CF$70)+SUM(CH$49:CH$70)+SUM(CJ$49:CJ$70)+SUM(CL$49:CL$70)</f>
        <v>457</v>
      </c>
      <c r="O112" s="99">
        <f>SUM(CN$49:CN$70)+SUM(CP$49:CP$70)+SUM(CR$49:CR$70)+SUM(CT$49:CT$70)</f>
        <v>471</v>
      </c>
    </row>
    <row r="113" spans="2:15">
      <c r="C113" s="98" t="s">
        <v>130</v>
      </c>
      <c r="D113" s="99">
        <f>SUM(D$71:D$86)+SUM(F$71:F$86)+SUM(H$71:H$86)+SUM(J$71:J$86)</f>
        <v>64</v>
      </c>
      <c r="E113" s="99">
        <f>SUM(L$71:L$86)+SUM(N$71:N$86)+SUM(P$71:P$86)+SUM(R$71:R$86)</f>
        <v>319</v>
      </c>
      <c r="F113" s="99">
        <f>SUM(T$71:T$86)+SUM(V$71:V$86)+SUM(X$71:X$86)+SUM(Z$71:Z$86)</f>
        <v>289</v>
      </c>
      <c r="G113" s="99">
        <f>SUM(AB$71:AB$86)+SUM(AD$71:AD$86)+SUM(AF$71:AF$86)+SUM(AH$71:AH$86)</f>
        <v>272</v>
      </c>
      <c r="H113" s="99">
        <f>SUM(AJ$71:AJ$86)+SUM(AL$71:AL$86)+SUM(AN$71:AN$86)+SUM(AP$71:AP$86)</f>
        <v>301</v>
      </c>
      <c r="I113" s="99">
        <f>SUM(AR$71:AR$86)+SUM(AT$71:AT$86)+SUM(AV$71:AV$86)+SUM(AX$71:AX$86)</f>
        <v>284</v>
      </c>
      <c r="J113" s="99">
        <f>SUM(AZ$71:AZ$86)+SUM(BB$71:BB$86)+SUM(BD$71:BD$86)+SUM(BF$71:BF$86)</f>
        <v>282</v>
      </c>
      <c r="K113" s="99">
        <f>SUM(BH$71:BH$86)+SUM(BJ$71:BJ$86)+SUM(BL$71:BL$86)+SUM(BN$71:BN$86)</f>
        <v>254</v>
      </c>
      <c r="L113" s="99">
        <f>SUM(BP$71:BP$86)+SUM(BR$71:BR$86)+SUM(BT$71:BT$86)+SUM(BV$71:BV$86)</f>
        <v>282</v>
      </c>
      <c r="M113" s="99">
        <f>SUM(BX$71:BX$86)+SUM(BZ$71:BZ$86)+SUM(CB$71:CB$86)+SUM(CD$71:CD$86)</f>
        <v>344</v>
      </c>
      <c r="N113" s="99">
        <f>SUM(CF$71:CF$86)+SUM(CH$71:CH$86)+SUM(CJ$71:CJ$86)+SUM(CL$71:CL$86)</f>
        <v>259</v>
      </c>
      <c r="O113" s="99">
        <f>SUM(CN$71:CN$86)+SUM(CP$71:CP$86)+SUM(CR$71:CR$86)+SUM(CT$71:CT$86)</f>
        <v>283</v>
      </c>
    </row>
    <row r="114" spans="2:15">
      <c r="C114" s="98" t="s">
        <v>131</v>
      </c>
      <c r="D114" s="99">
        <f>SUM(D$87:D$94)+SUM(F$87:F$94)+SUM(H$87:H$94)+SUM(J$87:J$94)</f>
        <v>32</v>
      </c>
      <c r="E114" s="99">
        <f>SUM(L$87:L$94)+SUM(N$87:N$94)+SUM(P$87:P$94)+SUM(R$87:R$94)</f>
        <v>138</v>
      </c>
      <c r="F114" s="99">
        <f>SUM(T$87:T$94)+SUM(V$87:V$94)+SUM(X$87:X$94)+SUM(Z$87:Z$94)</f>
        <v>173</v>
      </c>
      <c r="G114" s="99">
        <f>SUM(AB$87:AB$94)+SUM(AD$87:AD$94)+SUM(AF$87:AF$94)+SUM(AH$87:AH$94)</f>
        <v>137</v>
      </c>
      <c r="H114" s="99">
        <f>SUM(AJ$87:AJ$94)+SUM(AL$87:AL$94)+SUM(AN$87:AN$94)+SUM(AP$87:AP$94)</f>
        <v>160</v>
      </c>
      <c r="I114" s="99">
        <f>SUM(AR$87:AR$94)+SUM(AT$87:AT$94)+SUM(AV$87:AV$94)+SUM(AX$87:AX$94)</f>
        <v>182</v>
      </c>
      <c r="J114" s="99">
        <f>SUM(AZ$87:AZ$94)+SUM(BB$87:BB$94)+SUM(BD$87:BD$94)+SUM(BF$87:BF$94)</f>
        <v>145</v>
      </c>
      <c r="K114" s="99">
        <f>SUM(BH$87:BH$94)+SUM(BJ$87:BJ$94)+SUM(BL$87:BL$94)+SUM(BN$87:BN$94)</f>
        <v>178</v>
      </c>
      <c r="L114" s="99">
        <f>SUM(BP$87:BP$94)+SUM(BR$87:BR$94)+SUM(BT$87:BT$94)+SUM(BV$87:BV$94)</f>
        <v>174</v>
      </c>
      <c r="M114" s="99">
        <f>SUM(BX$87:BX$94)+SUM(BZ$87:BZ$94)+SUM(CB$87:CB$94)+SUM(CD$87:CD$94)</f>
        <v>165</v>
      </c>
      <c r="N114" s="99">
        <f>SUM(CF$87:CF$94)+SUM(CH$87:CH$94)+SUM(CJ$87:CJ$94)+SUM(CL$87:CL$94)</f>
        <v>144</v>
      </c>
      <c r="O114" s="99">
        <f>SUM(CN$87:CN$94)+SUM(CP$87:CP$94)+SUM(CR$87:CR$94)+SUM(CT$87:CT$94)</f>
        <v>196</v>
      </c>
    </row>
    <row r="115" spans="2:15">
      <c r="C115" s="98" t="s">
        <v>132</v>
      </c>
      <c r="D115" s="99">
        <f>SUM(D$95:D$105)+SUM(F$95:F$105)+SUM(H$95:H$105)+SUM(J$95:J$105)</f>
        <v>106</v>
      </c>
      <c r="E115" s="99">
        <f>SUM(L$95:L$105)+SUM(N$95:N$105)+SUM(P$95:P$105)+SUM(R$95:R$105)</f>
        <v>360</v>
      </c>
      <c r="F115" s="99">
        <f>SUM(T$95:T$105)+SUM(V$95:V$105)+SUM(X$95:X$105)+SUM(Z$95:Z$105)</f>
        <v>344</v>
      </c>
      <c r="G115" s="99">
        <f>SUM(AB$95:AB$105)+SUM(AD$95:AD$105)+SUM(AF$95:AF$105)+SUM(AH$95:AH$105)</f>
        <v>386</v>
      </c>
      <c r="H115" s="99">
        <f>SUM(AJ$95:AJ$105)+SUM(AL$95:AL$105)+SUM(AN$95:AN$105)+SUM(AP$95:AP$105)</f>
        <v>304</v>
      </c>
      <c r="I115" s="99">
        <f>SUM(AR$95:AR$105)+SUM(AT$95:AT$105)+SUM(AV$95:AV$105)+SUM(AX$95:AX$105)</f>
        <v>362</v>
      </c>
      <c r="J115" s="99">
        <f>SUM(AZ$95:AZ$105)+SUM(BB$95:BB$105)+SUM(BD$95:BD$105)+SUM(BF$95:BF$105)</f>
        <v>324</v>
      </c>
      <c r="K115" s="99">
        <f>SUM(BH$95:BH$105)+SUM(BJ$95:BJ$105)+SUM(BL$95:BL$105)+SUM(BN$95:BN$105)</f>
        <v>396</v>
      </c>
      <c r="L115" s="99">
        <f>SUM(BP$95:BP$105)+SUM(BR$95:BR$105)+SUM(BT$95:BT$105)+SUM(BV$95:BV$105)</f>
        <v>327</v>
      </c>
      <c r="M115" s="99">
        <f>SUM(BX$95:BX$105)+SUM(BZ$95:BZ$105)+SUM(CB$95:CB$105)+SUM(CD$95:CD$105)</f>
        <v>359</v>
      </c>
      <c r="N115" s="99">
        <f>SUM(CF$95:CF$105)+SUM(CH$95:CH$105)+SUM(CJ$95:CJ$105)+SUM(CL$95:CL$105)</f>
        <v>366</v>
      </c>
      <c r="O115" s="99">
        <f>SUM(CN$95:CN$105)+SUM(CP$95:CP$105)+SUM(CR$95:CR$105)+SUM(CT$95:CT$105)</f>
        <v>331</v>
      </c>
    </row>
    <row r="116" spans="2:15">
      <c r="C116" s="98" t="s">
        <v>277</v>
      </c>
      <c r="D116" s="99">
        <f t="shared" ref="D116:O116" si="0">SUM(D$109:D$115)</f>
        <v>553.74508300835646</v>
      </c>
      <c r="E116" s="99">
        <f t="shared" si="0"/>
        <v>2544.1090237025664</v>
      </c>
      <c r="F116" s="99">
        <f t="shared" si="0"/>
        <v>2660</v>
      </c>
      <c r="G116" s="99">
        <f t="shared" si="0"/>
        <v>2645</v>
      </c>
      <c r="H116" s="99">
        <f t="shared" si="0"/>
        <v>2665</v>
      </c>
      <c r="I116" s="99">
        <f t="shared" si="0"/>
        <v>2630.2993833477185</v>
      </c>
      <c r="J116" s="99">
        <f t="shared" si="0"/>
        <v>2696</v>
      </c>
      <c r="K116" s="99">
        <f t="shared" si="0"/>
        <v>2779.0105473733574</v>
      </c>
      <c r="L116" s="99">
        <f t="shared" si="0"/>
        <v>2764</v>
      </c>
      <c r="M116" s="99">
        <f t="shared" si="0"/>
        <v>2621.5485584513381</v>
      </c>
      <c r="N116" s="99">
        <f t="shared" si="0"/>
        <v>2956</v>
      </c>
      <c r="O116" s="99">
        <f t="shared" si="0"/>
        <v>2974.852271929517</v>
      </c>
    </row>
    <row r="118" spans="2:15">
      <c r="B118" s="102" t="s">
        <v>278</v>
      </c>
    </row>
    <row r="119" spans="2:15">
      <c r="C119" s="98" t="s">
        <v>276</v>
      </c>
      <c r="D119" s="98" t="s">
        <v>92</v>
      </c>
      <c r="E119" s="98" t="s">
        <v>93</v>
      </c>
      <c r="F119" s="98" t="s">
        <v>94</v>
      </c>
      <c r="G119" s="98" t="s">
        <v>95</v>
      </c>
      <c r="H119" s="98" t="s">
        <v>96</v>
      </c>
      <c r="I119" s="98" t="s">
        <v>97</v>
      </c>
      <c r="J119" s="98" t="s">
        <v>98</v>
      </c>
      <c r="K119" s="98" t="s">
        <v>99</v>
      </c>
      <c r="L119" s="98" t="s">
        <v>100</v>
      </c>
      <c r="M119" s="98" t="s">
        <v>101</v>
      </c>
      <c r="N119" s="98" t="s">
        <v>102</v>
      </c>
      <c r="O119" s="98" t="s">
        <v>103</v>
      </c>
    </row>
    <row r="120" spans="2:15">
      <c r="C120" s="98" t="s">
        <v>126</v>
      </c>
      <c r="D120" s="99">
        <f>D109*pricing!D24*2000</f>
        <v>558243.27268896613</v>
      </c>
      <c r="E120" s="99">
        <f>E109*pricing!E24*2000</f>
        <v>2954126.4701403589</v>
      </c>
      <c r="F120" s="99">
        <f>F109*pricing!F24*2000</f>
        <v>2644799.9999999995</v>
      </c>
      <c r="G120" s="99">
        <f>G109*pricing!G24*2000</f>
        <v>2812000</v>
      </c>
      <c r="H120" s="99">
        <f>H109*pricing!H24*2000</f>
        <v>3192000</v>
      </c>
      <c r="I120" s="99">
        <f>I109*pricing!I24*2000</f>
        <v>2996675.3134426619</v>
      </c>
      <c r="J120" s="99">
        <f>J109*pricing!J24*2000</f>
        <v>3427600</v>
      </c>
      <c r="K120" s="99">
        <f>K109*pricing!K24*2000</f>
        <v>3734089.7033714899</v>
      </c>
      <c r="L120" s="99">
        <f>L109*pricing!L24*2000</f>
        <v>4081200</v>
      </c>
      <c r="M120" s="99">
        <f>M109*pricing!M24*2000</f>
        <v>3097369.0442301687</v>
      </c>
      <c r="N120" s="99">
        <f>N109*pricing!N24*2000</f>
        <v>3868399.9999999995</v>
      </c>
      <c r="O120" s="99">
        <f>O109*pricing!O24*2000</f>
        <v>3935120.4492157809</v>
      </c>
    </row>
    <row r="121" spans="2:15">
      <c r="C121" s="98" t="s">
        <v>127</v>
      </c>
      <c r="D121" s="99">
        <f>D110*pricing!D25*2000</f>
        <v>1097221.1433009189</v>
      </c>
      <c r="E121" s="99">
        <f>E110*pricing!E25*2000</f>
        <v>5670249.1640736647</v>
      </c>
      <c r="F121" s="99">
        <f>F110*pricing!F25*2000</f>
        <v>6239599.9999999991</v>
      </c>
      <c r="G121" s="99">
        <f>G110*pricing!G25*2000</f>
        <v>6247200</v>
      </c>
      <c r="H121" s="99">
        <f>H110*pricing!H25*2000</f>
        <v>5928000</v>
      </c>
      <c r="I121" s="99">
        <f>I110*pricing!I25*2000</f>
        <v>5289599.9999999991</v>
      </c>
      <c r="J121" s="99">
        <f>J110*pricing!J25*2000</f>
        <v>5791200</v>
      </c>
      <c r="K121" s="99">
        <f>K110*pricing!K25*2000</f>
        <v>5867200</v>
      </c>
      <c r="L121" s="99">
        <f>L110*pricing!L25*2000</f>
        <v>5890000</v>
      </c>
      <c r="M121" s="99">
        <f>M110*pricing!M25*2000</f>
        <v>4909599.9999999991</v>
      </c>
      <c r="N121" s="99">
        <f>N110*pricing!N25*2000</f>
        <v>6954000</v>
      </c>
      <c r="O121" s="99">
        <f>O110*pricing!O25*2000</f>
        <v>6353599.9999999991</v>
      </c>
    </row>
    <row r="122" spans="2:15">
      <c r="C122" s="98" t="s">
        <v>128</v>
      </c>
      <c r="D122" s="99">
        <f>D111*pricing!D26*2000</f>
        <v>396296.35114037927</v>
      </c>
      <c r="E122" s="99">
        <f>E111*pricing!E26*2000</f>
        <v>2205287.6770799644</v>
      </c>
      <c r="F122" s="99">
        <f>F111*pricing!F26*2000</f>
        <v>2527200</v>
      </c>
      <c r="G122" s="99">
        <f>G111*pricing!G26*2000</f>
        <v>2285400</v>
      </c>
      <c r="H122" s="99">
        <f>H111*pricing!H26*2000</f>
        <v>2613000</v>
      </c>
      <c r="I122" s="99">
        <f>I111*pricing!I26*2000</f>
        <v>2308799.9999999995</v>
      </c>
      <c r="J122" s="99">
        <f>J111*pricing!J26*2000</f>
        <v>2145000</v>
      </c>
      <c r="K122" s="99">
        <f>K111*pricing!K26*2000</f>
        <v>1955327.047630921</v>
      </c>
      <c r="L122" s="99">
        <f>L111*pricing!L26*2000</f>
        <v>2230799.9999999995</v>
      </c>
      <c r="M122" s="99">
        <f>M111*pricing!M26*2000</f>
        <v>2597400</v>
      </c>
      <c r="N122" s="99">
        <f>N111*pricing!N26*2000</f>
        <v>2386799.9999999995</v>
      </c>
      <c r="O122" s="99">
        <f>O111*pricing!O26*2000</f>
        <v>2652571.4705393012</v>
      </c>
    </row>
    <row r="123" spans="2:15">
      <c r="C123" s="98" t="s">
        <v>129</v>
      </c>
      <c r="D123" s="99">
        <f>D112*pricing!D27*2000</f>
        <v>648286.02728255047</v>
      </c>
      <c r="E123" s="99">
        <f>E112*pricing!E27*2000</f>
        <v>2414829.8200540855</v>
      </c>
      <c r="F123" s="99">
        <f>F112*pricing!F27*2000</f>
        <v>2815799.9999999995</v>
      </c>
      <c r="G123" s="99">
        <f>G112*pricing!G27*2000</f>
        <v>2847000</v>
      </c>
      <c r="H123" s="99">
        <f>H112*pricing!H27*2000</f>
        <v>2847000</v>
      </c>
      <c r="I123" s="99">
        <f>I112*pricing!I27*2000</f>
        <v>3244799.9999999995</v>
      </c>
      <c r="J123" s="99">
        <f>J112*pricing!J27*2000</f>
        <v>3564600</v>
      </c>
      <c r="K123" s="99">
        <f>K112*pricing!K27*2000</f>
        <v>3408600</v>
      </c>
      <c r="L123" s="99">
        <f>L112*pricing!L27*2000</f>
        <v>2987400</v>
      </c>
      <c r="M123" s="99">
        <f>M112*pricing!M27*2000</f>
        <v>2862600</v>
      </c>
      <c r="N123" s="99">
        <f>N112*pricing!N27*2000</f>
        <v>3564600</v>
      </c>
      <c r="O123" s="99">
        <f>O112*pricing!O27*2000</f>
        <v>3673799.9999999995</v>
      </c>
    </row>
    <row r="124" spans="2:15">
      <c r="C124" s="98" t="s">
        <v>130</v>
      </c>
      <c r="D124" s="99">
        <f>D113*pricing!D28*2000</f>
        <v>486400</v>
      </c>
      <c r="E124" s="99">
        <f>E113*pricing!E28*2000</f>
        <v>2424400</v>
      </c>
      <c r="F124" s="99">
        <f>F113*pricing!F28*2000</f>
        <v>2196400</v>
      </c>
      <c r="G124" s="99">
        <f>G113*pricing!G28*2000</f>
        <v>2067199.9999999998</v>
      </c>
      <c r="H124" s="99">
        <f>H113*pricing!H28*2000</f>
        <v>2287600</v>
      </c>
      <c r="I124" s="99">
        <f>I113*pricing!I28*2000</f>
        <v>2158400</v>
      </c>
      <c r="J124" s="99">
        <f>J113*pricing!J28*2000</f>
        <v>2143200</v>
      </c>
      <c r="K124" s="99">
        <f>K113*pricing!K28*2000</f>
        <v>1930399.9999999998</v>
      </c>
      <c r="L124" s="99">
        <f>L113*pricing!L28*2000</f>
        <v>2143200</v>
      </c>
      <c r="M124" s="99">
        <f>M113*pricing!M28*2000</f>
        <v>2614400</v>
      </c>
      <c r="N124" s="99">
        <f>N113*pricing!N28*2000</f>
        <v>1968399.9999999998</v>
      </c>
      <c r="O124" s="99">
        <f>O113*pricing!O28*2000</f>
        <v>2150799.9999999995</v>
      </c>
    </row>
    <row r="125" spans="2:15">
      <c r="C125" s="98" t="s">
        <v>131</v>
      </c>
      <c r="D125" s="99">
        <f>D114*pricing!D29*2000</f>
        <v>243200</v>
      </c>
      <c r="E125" s="99">
        <f>E114*pricing!E29*2000</f>
        <v>1048800</v>
      </c>
      <c r="F125" s="99">
        <f>F114*pricing!F29*2000</f>
        <v>1314800</v>
      </c>
      <c r="G125" s="99">
        <f>G114*pricing!G29*2000</f>
        <v>1041200</v>
      </c>
      <c r="H125" s="99">
        <f>H114*pricing!H29*2000</f>
        <v>1216000</v>
      </c>
      <c r="I125" s="99">
        <f>I114*pricing!I29*2000</f>
        <v>1383200</v>
      </c>
      <c r="J125" s="99">
        <f>J114*pricing!J29*2000</f>
        <v>1102000</v>
      </c>
      <c r="K125" s="99">
        <f>K114*pricing!K29*2000</f>
        <v>1352800</v>
      </c>
      <c r="L125" s="99">
        <f>L114*pricing!L29*2000</f>
        <v>1322399.9999999998</v>
      </c>
      <c r="M125" s="99">
        <f>M114*pricing!M29*2000</f>
        <v>1254000</v>
      </c>
      <c r="N125" s="99">
        <f>N114*pricing!N29*2000</f>
        <v>1094399.9999999998</v>
      </c>
      <c r="O125" s="99">
        <f>O114*pricing!O29*2000</f>
        <v>1489600</v>
      </c>
    </row>
    <row r="126" spans="2:15">
      <c r="C126" s="98" t="s">
        <v>132</v>
      </c>
      <c r="D126" s="99">
        <f>D115*pricing!D30*2000</f>
        <v>805599.99999999988</v>
      </c>
      <c r="E126" s="99">
        <f>E115*pricing!E30*2000</f>
        <v>2736000</v>
      </c>
      <c r="F126" s="99">
        <f>F115*pricing!F30*2000</f>
        <v>2614400</v>
      </c>
      <c r="G126" s="99">
        <f>G115*pricing!G30*2000</f>
        <v>2933600</v>
      </c>
      <c r="H126" s="99">
        <f>H115*pricing!H30*2000</f>
        <v>2310400</v>
      </c>
      <c r="I126" s="99">
        <f>I115*pricing!I30*2000</f>
        <v>2751200</v>
      </c>
      <c r="J126" s="99">
        <f>J115*pricing!J30*2000</f>
        <v>2462400</v>
      </c>
      <c r="K126" s="99">
        <f>K115*pricing!K30*2000</f>
        <v>3009600</v>
      </c>
      <c r="L126" s="99">
        <f>L115*pricing!L30*2000</f>
        <v>2485200</v>
      </c>
      <c r="M126" s="99">
        <f>M115*pricing!M30*2000</f>
        <v>2728400</v>
      </c>
      <c r="N126" s="99">
        <f>N115*pricing!N30*2000</f>
        <v>2781600</v>
      </c>
      <c r="O126" s="99">
        <f>O115*pricing!O30*2000</f>
        <v>2515600</v>
      </c>
    </row>
    <row r="127" spans="2:15">
      <c r="C127" s="98" t="s">
        <v>277</v>
      </c>
      <c r="D127" s="99">
        <f t="shared" ref="D127:O127" si="1">SUM(D$120:D$126)</f>
        <v>4235246.794412815</v>
      </c>
      <c r="E127" s="99">
        <f t="shared" si="1"/>
        <v>19453693.131348073</v>
      </c>
      <c r="F127" s="99">
        <f t="shared" si="1"/>
        <v>20353000</v>
      </c>
      <c r="G127" s="99">
        <f t="shared" si="1"/>
        <v>20233600</v>
      </c>
      <c r="H127" s="99">
        <f t="shared" si="1"/>
        <v>20394000</v>
      </c>
      <c r="I127" s="99">
        <f t="shared" si="1"/>
        <v>20132675.313442662</v>
      </c>
      <c r="J127" s="99">
        <f t="shared" si="1"/>
        <v>20636000</v>
      </c>
      <c r="K127" s="99">
        <f t="shared" si="1"/>
        <v>21258016.751002409</v>
      </c>
      <c r="L127" s="99">
        <f t="shared" si="1"/>
        <v>21140200</v>
      </c>
      <c r="M127" s="99">
        <f t="shared" si="1"/>
        <v>20063769.044230167</v>
      </c>
      <c r="N127" s="99">
        <f t="shared" si="1"/>
        <v>22618200</v>
      </c>
      <c r="O127" s="99">
        <f t="shared" si="1"/>
        <v>22771091.919755083</v>
      </c>
    </row>
    <row r="129" spans="2:15">
      <c r="B129" s="102" t="s">
        <v>279</v>
      </c>
    </row>
    <row r="130" spans="2:15">
      <c r="C130" s="104" t="s">
        <v>276</v>
      </c>
      <c r="D130" s="104" t="s">
        <v>92</v>
      </c>
      <c r="E130" s="104" t="s">
        <v>93</v>
      </c>
      <c r="F130" s="104" t="s">
        <v>94</v>
      </c>
      <c r="G130" s="104" t="s">
        <v>95</v>
      </c>
      <c r="H130" s="104" t="s">
        <v>96</v>
      </c>
      <c r="I130" s="104" t="s">
        <v>97</v>
      </c>
      <c r="J130" s="104" t="s">
        <v>98</v>
      </c>
      <c r="K130" s="104" t="s">
        <v>99</v>
      </c>
      <c r="L130" s="104" t="s">
        <v>100</v>
      </c>
      <c r="M130" s="104" t="s">
        <v>101</v>
      </c>
      <c r="N130" s="104" t="s">
        <v>102</v>
      </c>
      <c r="O130" s="104" t="s">
        <v>103</v>
      </c>
    </row>
    <row r="131" spans="2:15">
      <c r="C131" s="104" t="s">
        <v>126</v>
      </c>
      <c r="D131" s="105">
        <f>SUM(E$6:E$19)+SUM(G$6:G$19)+SUM(I$6:I$19)+SUM(K$6:K$19)</f>
        <v>37414.007283578962</v>
      </c>
      <c r="E131" s="105">
        <f>SUM(M$6:M$19)+SUM(O$6:O$19)+SUM(Q$6:Q$19)+SUM(S$6:S$19)</f>
        <v>196169.39731211835</v>
      </c>
      <c r="F131" s="105">
        <f>SUM(U$6:U$19)+SUM(W$6:W$19)+SUM(Y$6:Y$19)+SUM(AA$6:AA$19)</f>
        <v>174972</v>
      </c>
      <c r="G131" s="105">
        <f>SUM(AC$6:AC$19)+SUM(AE$6:AE$19)+SUM(AG$6:AG$19)+SUM(AI$6:AI$19)</f>
        <v>186558.00000000003</v>
      </c>
      <c r="H131" s="105">
        <f>SUM(AK$6:AK$19)+SUM(AM$6:AM$19)+SUM(AO$6:AO$19)+SUM(AQ$6:AQ$19)</f>
        <v>213551.99999999997</v>
      </c>
      <c r="I131" s="105">
        <f>SUM(AS$6:AS$19)+SUM(AU$6:AU$19)+SUM(AW$6:AW$19)+SUM(AY$6:AY$19)</f>
        <v>199702.48575702397</v>
      </c>
      <c r="J131" s="105">
        <f>SUM(BA$6:BA$19)+SUM(BC$6:BC$19)+SUM(BE$6:BE$19)+SUM(BG$6:BG$19)</f>
        <v>226146</v>
      </c>
      <c r="K131" s="105">
        <f>SUM(BI$6:BI$19)+SUM(BK$6:BK$19)+SUM(BM$6:BM$19)+SUM(BO$6:BO$19)</f>
        <v>249614.10151861294</v>
      </c>
      <c r="L131" s="105">
        <f>SUM(BQ$6:BQ$19)+SUM(BS$6:BS$19)+SUM(BU$6:BU$19)+SUM(BW$6:BW$19)</f>
        <v>270339.59999999998</v>
      </c>
      <c r="M131" s="105">
        <f>SUM(BY$6:BY$19)+SUM(CA$6:CA$19)+SUM(CC$6:CC$19)+SUM(CE$6:CE$19)</f>
        <v>206310.08799942341</v>
      </c>
      <c r="N131" s="105">
        <f>SUM(CG$6:CG$19)+SUM(CI$6:CI$19)+SUM(CK$6:CK$19)+SUM(CM$6:CM$19)</f>
        <v>257235.59999999998</v>
      </c>
      <c r="O131" s="105">
        <f>SUM(CO$6:CO$19)+SUM(CQ$6:CQ$19)+SUM(CS$6:CS$19)+SUM(CU$6:CU$19)</f>
        <v>261942.89652624901</v>
      </c>
    </row>
    <row r="132" spans="2:15">
      <c r="C132" s="104" t="s">
        <v>127</v>
      </c>
      <c r="D132" s="105">
        <f>SUM(E$20:E$36)+SUM(G$20:G$36)+SUM(I$20:I$36)+SUM(K$20:K$36)</f>
        <v>61466.594979169276</v>
      </c>
      <c r="E132" s="105">
        <f>SUM(M$20:M$36)+SUM(O$20:O$36)+SUM(Q$20:Q$36)+SUM(S$20:S$36)</f>
        <v>321426.7260206744</v>
      </c>
      <c r="F132" s="105">
        <f>SUM(U$20:U$36)+SUM(W$20:W$36)+SUM(Y$20:Y$36)+SUM(AA$20:AA$36)</f>
        <v>352316.4</v>
      </c>
      <c r="G132" s="105">
        <f>SUM(AC$20:AC$36)+SUM(AE$20:AE$36)+SUM(AG$20:AG$36)+SUM(AI$20:AI$36)</f>
        <v>354678</v>
      </c>
      <c r="H132" s="105">
        <f>SUM(AK$20:AK$36)+SUM(AM$20:AM$36)+SUM(AO$20:AO$36)+SUM(AQ$20:AQ$36)</f>
        <v>333517.2</v>
      </c>
      <c r="I132" s="105">
        <f>SUM(AS$20:AS$36)+SUM(AU$20:AU$36)+SUM(AW$20:AW$36)+SUM(AY$20:AY$36)</f>
        <v>297010.80000000005</v>
      </c>
      <c r="J132" s="105">
        <f>SUM(BA$20:BA$36)+SUM(BC$20:BC$36)+SUM(BE$20:BE$36)+SUM(BG$20:BG$36)</f>
        <v>327457.2</v>
      </c>
      <c r="K132" s="105">
        <f>SUM(BI$20:BI$36)+SUM(BK$20:BK$36)+SUM(BM$20:BM$36)+SUM(BO$20:BO$36)</f>
        <v>330614.40000000002</v>
      </c>
      <c r="L132" s="105">
        <f>SUM(BQ$20:BQ$36)+SUM(BS$20:BS$36)+SUM(BU$20:BU$36)+SUM(BW$20:BW$36)</f>
        <v>328812</v>
      </c>
      <c r="M132" s="105">
        <f>SUM(BY$20:BY$36)+SUM(CA$20:CA$36)+SUM(CC$20:CC$36)+SUM(CE$20:CE$36)</f>
        <v>276573.59999999998</v>
      </c>
      <c r="N132" s="105">
        <f>SUM(CG$20:CG$36)+SUM(CI$20:CI$36)+SUM(CK$20:CK$36)+SUM(CM$20:CM$36)</f>
        <v>389965.2</v>
      </c>
      <c r="O132" s="105">
        <f>SUM(CO$20:CO$36)+SUM(CQ$20:CQ$36)+SUM(CS$20:CS$36)+SUM(CU$20:CU$36)</f>
        <v>357662.4</v>
      </c>
    </row>
    <row r="133" spans="2:15">
      <c r="C133" s="104" t="s">
        <v>128</v>
      </c>
      <c r="D133" s="105">
        <f>SUM(E$37:E$48)+SUM(G$37:G$48)+SUM(I$37:I$48)+SUM(K$37:K$48)</f>
        <v>53813.692310266459</v>
      </c>
      <c r="E133" s="105">
        <f>SUM(M$37:M$48)+SUM(O$37:O$48)+SUM(Q$37:Q$48)+SUM(S$37:S$48)</f>
        <v>297861.25409772503</v>
      </c>
      <c r="F133" s="105">
        <f>SUM(U$37:U$48)+SUM(W$37:W$48)+SUM(Y$37:Y$48)+SUM(AA$37:AA$48)</f>
        <v>339324</v>
      </c>
      <c r="G133" s="105">
        <f>SUM(AC$37:AC$48)+SUM(AE$37:AE$48)+SUM(AG$37:AG$48)+SUM(AI$37:AI$48)</f>
        <v>307468.80000000005</v>
      </c>
      <c r="H133" s="105">
        <f>SUM(AK$37:AK$48)+SUM(AM$37:AM$48)+SUM(AO$37:AO$48)+SUM(AQ$37:AQ$48)</f>
        <v>354670.8</v>
      </c>
      <c r="I133" s="105">
        <f>SUM(AS$37:AS$48)+SUM(AU$37:AU$48)+SUM(AW$37:AW$48)+SUM(AY$37:AY$48)</f>
        <v>310588.79999999999</v>
      </c>
      <c r="J133" s="105">
        <f>SUM(BA$37:BA$48)+SUM(BC$37:BC$48)+SUM(BE$37:BE$48)+SUM(BG$37:BG$48)</f>
        <v>288842.40000000002</v>
      </c>
      <c r="K133" s="105">
        <f>SUM(BI$37:BI$48)+SUM(BK$37:BK$48)+SUM(BM$37:BM$48)+SUM(BO$37:BO$48)</f>
        <v>264324.6264842184</v>
      </c>
      <c r="L133" s="105">
        <f>SUM(BQ$37:BQ$48)+SUM(BS$37:BS$48)+SUM(BU$37:BU$48)+SUM(BW$37:BW$48)</f>
        <v>302020.80000000005</v>
      </c>
      <c r="M133" s="105">
        <f>SUM(BY$37:BY$48)+SUM(CA$37:CA$48)+SUM(CC$37:CC$48)+SUM(CE$37:CE$48)</f>
        <v>350338.8</v>
      </c>
      <c r="N133" s="105">
        <f>SUM(CG$37:CG$48)+SUM(CI$37:CI$48)+SUM(CK$37:CK$48)+SUM(CM$37:CM$48)</f>
        <v>322353.59999999998</v>
      </c>
      <c r="O133" s="105">
        <f>SUM(CO$37:CO$48)+SUM(CQ$37:CQ$48)+SUM(CS$37:CS$48)+SUM(CU$37:CU$48)</f>
        <v>357983.42697991163</v>
      </c>
    </row>
    <row r="134" spans="2:15">
      <c r="C134" s="104" t="s">
        <v>129</v>
      </c>
      <c r="D134" s="105">
        <f>SUM(E$49:E$70)+SUM(G$49:G$70)+SUM(I$49:I$70)+SUM(K$49:K$70)</f>
        <v>72234.647464042326</v>
      </c>
      <c r="E134" s="105">
        <f>SUM(M$49:M$70)+SUM(O$49:O$70)+SUM(Q$49:Q$70)+SUM(S$49:S$70)</f>
        <v>268464.29333120113</v>
      </c>
      <c r="F134" s="105">
        <f>SUM(U$49:U$70)+SUM(W$49:W$70)+SUM(Y$49:Y$70)+SUM(AA$49:AA$70)</f>
        <v>309126.00000000006</v>
      </c>
      <c r="G134" s="105">
        <f>SUM(AC$49:AC$70)+SUM(AE$49:AE$70)+SUM(AG$49:AG$70)+SUM(AI$49:AI$70)</f>
        <v>311740.80000000005</v>
      </c>
      <c r="H134" s="105">
        <f>SUM(AK$49:AK$70)+SUM(AM$49:AM$70)+SUM(AO$49:AO$70)+SUM(AQ$49:AQ$70)</f>
        <v>309394.8</v>
      </c>
      <c r="I134" s="105">
        <f>SUM(AS$49:AS$70)+SUM(AU$49:AU$70)+SUM(AW$49:AW$70)+SUM(AY$49:AY$70)</f>
        <v>355264.80000000005</v>
      </c>
      <c r="J134" s="105">
        <f>SUM(BA$49:BA$70)+SUM(BC$49:BC$70)+SUM(BE$49:BE$70)+SUM(BG$49:BG$70)</f>
        <v>390024</v>
      </c>
      <c r="K134" s="105">
        <f>SUM(BI$49:BI$70)+SUM(BK$49:BK$70)+SUM(BM$49:BM$70)+SUM(BO$49:BO$70)</f>
        <v>374882.39999999997</v>
      </c>
      <c r="L134" s="105">
        <f>SUM(BQ$49:BQ$70)+SUM(BS$49:BS$70)+SUM(BU$49:BU$70)+SUM(BW$49:BW$70)</f>
        <v>325783.20000000007</v>
      </c>
      <c r="M134" s="105">
        <f>SUM(BY$49:BY$70)+SUM(CA$49:CA$70)+SUM(CC$49:CC$70)+SUM(CE$49:CE$70)</f>
        <v>309681.60000000003</v>
      </c>
      <c r="N134" s="105">
        <f>SUM(CG$49:CG$70)+SUM(CI$49:CI$70)+SUM(CK$49:CK$70)+SUM(CM$49:CM$70)</f>
        <v>391368</v>
      </c>
      <c r="O134" s="105">
        <f>SUM(CO$49:CO$70)+SUM(CQ$49:CQ$70)+SUM(CS$49:CS$70)+SUM(CU$49:CU$70)</f>
        <v>405339.6</v>
      </c>
    </row>
    <row r="135" spans="2:15">
      <c r="C135" s="104" t="s">
        <v>130</v>
      </c>
      <c r="D135" s="105">
        <f>SUM(E$71:E$86)+SUM(G$71:G$86)+SUM(I$71:I$86)+SUM(K$71:K$86)</f>
        <v>36038.400000000001</v>
      </c>
      <c r="E135" s="105">
        <f>SUM(M$71:M$86)+SUM(O$71:O$86)+SUM(Q$71:Q$86)+SUM(S$71:S$86)</f>
        <v>178312.80000000002</v>
      </c>
      <c r="F135" s="105">
        <f>SUM(U$71:U$86)+SUM(W$71:W$86)+SUM(Y$71:Y$86)+SUM(AA$71:AA$86)</f>
        <v>161160</v>
      </c>
      <c r="G135" s="105">
        <f>SUM(AC$71:AC$86)+SUM(AE$71:AE$86)+SUM(AG$71:AG$86)+SUM(AI$71:AI$86)</f>
        <v>153331.19999999998</v>
      </c>
      <c r="H135" s="105">
        <f>SUM(AK$71:AK$86)+SUM(AM$71:AM$86)+SUM(AO$71:AO$86)+SUM(AQ$71:AQ$86)</f>
        <v>169635.6</v>
      </c>
      <c r="I135" s="105">
        <f>SUM(AS$71:AS$86)+SUM(AU$71:AU$86)+SUM(AW$71:AW$86)+SUM(AY$71:AY$86)</f>
        <v>160465.20000000001</v>
      </c>
      <c r="J135" s="105">
        <f>SUM(BA$71:BA$86)+SUM(BC$71:BC$86)+SUM(BE$71:BE$86)+SUM(BG$71:BG$86)</f>
        <v>158617.20000000001</v>
      </c>
      <c r="K135" s="105">
        <f>SUM(BI$71:BI$86)+SUM(BK$71:BK$86)+SUM(BM$71:BM$86)+SUM(BO$71:BO$86)</f>
        <v>142419.6</v>
      </c>
      <c r="L135" s="105">
        <f>SUM(BQ$71:BQ$86)+SUM(BS$71:BS$86)+SUM(BU$71:BU$86)+SUM(BW$71:BW$86)</f>
        <v>158132.40000000002</v>
      </c>
      <c r="M135" s="105">
        <f>SUM(BY$71:BY$86)+SUM(CA$71:CA$86)+SUM(CC$71:CC$86)+SUM(CE$71:CE$86)</f>
        <v>192994.8</v>
      </c>
      <c r="N135" s="105">
        <f>SUM(CG$71:CG$86)+SUM(CI$71:CI$86)+SUM(CK$71:CK$86)+SUM(CM$71:CM$86)</f>
        <v>144644.4</v>
      </c>
      <c r="O135" s="105">
        <f>SUM(CO$71:CO$86)+SUM(CQ$71:CQ$86)+SUM(CS$71:CS$86)+SUM(CU$71:CU$86)</f>
        <v>158071.20000000001</v>
      </c>
    </row>
    <row r="136" spans="2:15">
      <c r="C136" s="104" t="s">
        <v>131</v>
      </c>
      <c r="D136" s="105">
        <f>SUM(E$87:E$94)+SUM(G$87:G$94)+SUM(I$87:I$94)+SUM(K$87:K$94)</f>
        <v>65308.799999999988</v>
      </c>
      <c r="E136" s="105">
        <f>SUM(M$87:M$94)+SUM(O$87:O$94)+SUM(Q$87:Q$94)+SUM(S$87:S$94)</f>
        <v>281634</v>
      </c>
      <c r="F136" s="105">
        <f>SUM(U$87:U$94)+SUM(W$87:W$94)+SUM(Y$87:Y$94)+SUM(AA$87:AA$94)</f>
        <v>351775.19999999995</v>
      </c>
      <c r="G136" s="105">
        <f>SUM(AC$87:AC$94)+SUM(AE$87:AE$94)+SUM(AG$87:AG$94)+SUM(AI$87:AI$94)</f>
        <v>279561.59999999998</v>
      </c>
      <c r="H136" s="105">
        <f>SUM(AK$87:AK$94)+SUM(AM$87:AM$94)+SUM(AO$87:AO$94)+SUM(AQ$87:AQ$94)</f>
        <v>324982.79999999993</v>
      </c>
      <c r="I136" s="105">
        <f>SUM(AS$87:AS$94)+SUM(AU$87:AU$94)+SUM(AW$87:AW$94)+SUM(AY$87:AY$94)</f>
        <v>369791.99999999994</v>
      </c>
      <c r="J136" s="105">
        <f>SUM(BA$87:BA$94)+SUM(BC$87:BC$94)+SUM(BE$87:BE$94)+SUM(BG$87:BG$94)</f>
        <v>295225.19999999995</v>
      </c>
      <c r="K136" s="105">
        <f>SUM(BI$87:BI$94)+SUM(BK$87:BK$94)+SUM(BM$87:BM$94)+SUM(BO$87:BO$94)</f>
        <v>362329.19999999995</v>
      </c>
      <c r="L136" s="105">
        <f>SUM(BQ$87:BQ$94)+SUM(BS$87:BS$94)+SUM(BU$87:BU$94)+SUM(BW$87:BW$94)</f>
        <v>355380</v>
      </c>
      <c r="M136" s="105">
        <f>SUM(BY$87:BY$94)+SUM(CA$87:CA$94)+SUM(CC$87:CC$94)+SUM(CE$87:CE$94)</f>
        <v>335630.39999999997</v>
      </c>
      <c r="N136" s="105">
        <f>SUM(CG$87:CG$94)+SUM(CI$87:CI$94)+SUM(CK$87:CK$94)+SUM(CM$87:CM$94)</f>
        <v>293076</v>
      </c>
      <c r="O136" s="105">
        <f>SUM(CO$87:CO$94)+SUM(CQ$87:CQ$94)+SUM(CS$87:CS$94)+SUM(CU$87:CU$94)</f>
        <v>400102.80000000005</v>
      </c>
    </row>
    <row r="137" spans="2:15">
      <c r="C137" s="104" t="s">
        <v>132</v>
      </c>
      <c r="D137" s="105">
        <f>SUM(E$95:E$105)+SUM(G$95:G$105)+SUM(I$95:I$105)+SUM(K$95:K$105)</f>
        <v>200055.59999999998</v>
      </c>
      <c r="E137" s="105">
        <f>SUM(M$95:M$105)+SUM(O$95:O$105)+SUM(Q$95:Q$105)+SUM(S$95:S$105)</f>
        <v>697042.8</v>
      </c>
      <c r="F137" s="105">
        <f>SUM(U$95:U$105)+SUM(W$95:W$105)+SUM(Y$95:Y$105)+SUM(AA$95:AA$105)</f>
        <v>670100.39999999991</v>
      </c>
      <c r="G137" s="105">
        <f>SUM(AC$95:AC$105)+SUM(AE$95:AE$105)+SUM(AG$95:AG$105)+SUM(AI$95:AI$105)</f>
        <v>742094.39999999991</v>
      </c>
      <c r="H137" s="105">
        <f>SUM(AK$95:AK$105)+SUM(AM$95:AM$105)+SUM(AO$95:AO$105)+SUM(AQ$95:AQ$105)</f>
        <v>590800.79999999981</v>
      </c>
      <c r="I137" s="105">
        <f>SUM(AS$95:AS$105)+SUM(AU$95:AU$105)+SUM(AW$95:AW$105)+SUM(AY$95:AY$105)</f>
        <v>699081.6</v>
      </c>
      <c r="J137" s="105">
        <f>SUM(BA$95:BA$105)+SUM(BC$95:BC$105)+SUM(BE$95:BE$105)+SUM(BG$95:BG$105)</f>
        <v>623005.19999999995</v>
      </c>
      <c r="K137" s="105">
        <f>SUM(BI$95:BI$105)+SUM(BK$95:BK$105)+SUM(BM$95:BM$105)+SUM(BO$95:BO$105)</f>
        <v>768888</v>
      </c>
      <c r="L137" s="105">
        <f>SUM(BQ$95:BQ$105)+SUM(BS$95:BS$105)+SUM(BU$95:BU$105)+SUM(BW$95:BW$105)</f>
        <v>629932.79999999993</v>
      </c>
      <c r="M137" s="105">
        <f>SUM(BY$95:BY$105)+SUM(CA$95:CA$105)+SUM(CC$95:CC$105)+SUM(CE$95:CE$105)</f>
        <v>692140.79999999993</v>
      </c>
      <c r="N137" s="105">
        <f>SUM(CG$95:CG$105)+SUM(CI$95:CI$105)+SUM(CK$95:CK$105)+SUM(CM$95:CM$105)</f>
        <v>704227.2</v>
      </c>
      <c r="O137" s="105">
        <f>SUM(CO$95:CO$105)+SUM(CQ$95:CQ$105)+SUM(CS$95:CS$105)+SUM(CU$95:CU$105)</f>
        <v>639459.59999999986</v>
      </c>
    </row>
    <row r="138" spans="2:15">
      <c r="C138" s="104" t="s">
        <v>277</v>
      </c>
      <c r="D138" s="99">
        <f t="shared" ref="D138:O138" si="2">SUM(D$131:D$137)</f>
        <v>526331.74203705695</v>
      </c>
      <c r="E138" s="99">
        <f t="shared" si="2"/>
        <v>2240911.270761719</v>
      </c>
      <c r="F138" s="99">
        <f t="shared" si="2"/>
        <v>2358774</v>
      </c>
      <c r="G138" s="99">
        <f t="shared" si="2"/>
        <v>2335432.7999999998</v>
      </c>
      <c r="H138" s="99">
        <f t="shared" si="2"/>
        <v>2296554</v>
      </c>
      <c r="I138" s="99">
        <f t="shared" si="2"/>
        <v>2391905.6857570237</v>
      </c>
      <c r="J138" s="99">
        <f t="shared" si="2"/>
        <v>2309317.2000000002</v>
      </c>
      <c r="K138" s="99">
        <f t="shared" si="2"/>
        <v>2493072.3280028314</v>
      </c>
      <c r="L138" s="99">
        <f t="shared" si="2"/>
        <v>2370400.7999999998</v>
      </c>
      <c r="M138" s="99">
        <f t="shared" si="2"/>
        <v>2363670.0879994235</v>
      </c>
      <c r="N138" s="99">
        <f t="shared" si="2"/>
        <v>2502870</v>
      </c>
      <c r="O138" s="99">
        <f t="shared" si="2"/>
        <v>2580561.9235061603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99"/>
  </cols>
  <sheetData>
    <row r="1" spans="1:99">
      <c r="A1" s="100"/>
    </row>
    <row r="2" spans="1:99">
      <c r="B2" s="101" t="s">
        <v>271</v>
      </c>
    </row>
    <row r="3" spans="1:99">
      <c r="B3" s="102" t="s">
        <v>272</v>
      </c>
    </row>
    <row r="4" spans="1:99">
      <c r="A4" s="100"/>
      <c r="B4" s="100"/>
      <c r="C4" s="98" t="s">
        <v>273</v>
      </c>
      <c r="D4" s="98" t="s">
        <v>92</v>
      </c>
      <c r="E4" s="100"/>
      <c r="F4" s="100"/>
      <c r="G4" s="100"/>
      <c r="H4" s="100"/>
      <c r="I4" s="100"/>
      <c r="J4" s="100"/>
      <c r="K4" s="100"/>
      <c r="L4" s="98" t="s">
        <v>93</v>
      </c>
      <c r="M4" s="100"/>
      <c r="N4" s="100"/>
      <c r="O4" s="100"/>
      <c r="P4" s="100"/>
      <c r="Q4" s="100"/>
      <c r="R4" s="100"/>
      <c r="S4" s="100"/>
      <c r="T4" s="98" t="s">
        <v>94</v>
      </c>
      <c r="U4" s="100"/>
      <c r="V4" s="100"/>
      <c r="W4" s="100"/>
      <c r="X4" s="100"/>
      <c r="Y4" s="100"/>
      <c r="Z4" s="100"/>
      <c r="AA4" s="100"/>
      <c r="AB4" s="98" t="s">
        <v>95</v>
      </c>
      <c r="AC4" s="100"/>
      <c r="AD4" s="100"/>
      <c r="AE4" s="100"/>
      <c r="AF4" s="100"/>
      <c r="AG4" s="100"/>
      <c r="AH4" s="100"/>
      <c r="AI4" s="100"/>
      <c r="AJ4" s="98" t="s">
        <v>96</v>
      </c>
      <c r="AK4" s="100"/>
      <c r="AL4" s="100"/>
      <c r="AM4" s="100"/>
      <c r="AN4" s="100"/>
      <c r="AO4" s="100"/>
      <c r="AP4" s="100"/>
      <c r="AQ4" s="100"/>
      <c r="AR4" s="98" t="s">
        <v>97</v>
      </c>
      <c r="AS4" s="100"/>
      <c r="AT4" s="100"/>
      <c r="AU4" s="100"/>
      <c r="AV4" s="100"/>
      <c r="AW4" s="100"/>
      <c r="AX4" s="100"/>
      <c r="AY4" s="100"/>
      <c r="AZ4" s="98" t="s">
        <v>98</v>
      </c>
      <c r="BA4" s="100"/>
      <c r="BB4" s="100"/>
      <c r="BC4" s="100"/>
      <c r="BD4" s="100"/>
      <c r="BE4" s="100"/>
      <c r="BF4" s="100"/>
      <c r="BG4" s="100"/>
      <c r="BH4" s="98" t="s">
        <v>99</v>
      </c>
      <c r="BI4" s="100"/>
      <c r="BJ4" s="100"/>
      <c r="BK4" s="100"/>
      <c r="BL4" s="100"/>
      <c r="BM4" s="100"/>
      <c r="BN4" s="100"/>
      <c r="BO4" s="100"/>
      <c r="BP4" s="98" t="s">
        <v>100</v>
      </c>
      <c r="BQ4" s="100"/>
      <c r="BR4" s="100"/>
      <c r="BS4" s="100"/>
      <c r="BT4" s="100"/>
      <c r="BU4" s="100"/>
      <c r="BV4" s="100"/>
      <c r="BW4" s="100"/>
      <c r="BX4" s="98" t="s">
        <v>101</v>
      </c>
      <c r="BY4" s="100"/>
      <c r="BZ4" s="100"/>
      <c r="CA4" s="100"/>
      <c r="CB4" s="100"/>
      <c r="CC4" s="100"/>
      <c r="CD4" s="100"/>
      <c r="CE4" s="100"/>
      <c r="CF4" s="98" t="s">
        <v>102</v>
      </c>
      <c r="CG4" s="100"/>
      <c r="CH4" s="100"/>
      <c r="CI4" s="100"/>
      <c r="CJ4" s="100"/>
      <c r="CK4" s="100"/>
      <c r="CL4" s="100"/>
      <c r="CM4" s="100"/>
      <c r="CN4" s="98" t="s">
        <v>103</v>
      </c>
      <c r="CO4" s="100"/>
      <c r="CP4" s="100"/>
      <c r="CQ4" s="100"/>
      <c r="CR4" s="100"/>
      <c r="CS4" s="100"/>
      <c r="CT4" s="100"/>
      <c r="CU4" s="100"/>
    </row>
    <row r="5" spans="1:99">
      <c r="B5" s="98" t="s">
        <v>166</v>
      </c>
      <c r="C5" s="98" t="s">
        <v>274</v>
      </c>
      <c r="D5" s="98">
        <v>1</v>
      </c>
      <c r="E5" s="98"/>
      <c r="F5" s="98">
        <v>2</v>
      </c>
      <c r="G5" s="98"/>
      <c r="H5" s="98">
        <v>3</v>
      </c>
      <c r="I5" s="98"/>
      <c r="J5" s="98">
        <v>4</v>
      </c>
      <c r="K5" s="98"/>
      <c r="L5" s="98">
        <v>1</v>
      </c>
      <c r="M5" s="98"/>
      <c r="N5" s="98">
        <v>2</v>
      </c>
      <c r="O5" s="98"/>
      <c r="P5" s="98">
        <v>3</v>
      </c>
      <c r="Q5" s="98"/>
      <c r="R5" s="98">
        <v>4</v>
      </c>
      <c r="S5" s="98"/>
      <c r="T5" s="98">
        <v>1</v>
      </c>
      <c r="U5" s="98"/>
      <c r="V5" s="98">
        <v>2</v>
      </c>
      <c r="W5" s="98"/>
      <c r="X5" s="98">
        <v>3</v>
      </c>
      <c r="Y5" s="98"/>
      <c r="Z5" s="98">
        <v>4</v>
      </c>
      <c r="AA5" s="98"/>
      <c r="AB5" s="98">
        <v>1</v>
      </c>
      <c r="AC5" s="98"/>
      <c r="AD5" s="98">
        <v>2</v>
      </c>
      <c r="AE5" s="98"/>
      <c r="AF5" s="98">
        <v>3</v>
      </c>
      <c r="AG5" s="98"/>
      <c r="AH5" s="98">
        <v>4</v>
      </c>
      <c r="AI5" s="98"/>
      <c r="AJ5" s="98">
        <v>1</v>
      </c>
      <c r="AK5" s="98"/>
      <c r="AL5" s="98">
        <v>2</v>
      </c>
      <c r="AM5" s="98"/>
      <c r="AN5" s="98">
        <v>3</v>
      </c>
      <c r="AO5" s="98"/>
      <c r="AP5" s="98">
        <v>4</v>
      </c>
      <c r="AQ5" s="98"/>
      <c r="AR5" s="98">
        <v>1</v>
      </c>
      <c r="AS5" s="98"/>
      <c r="AT5" s="98">
        <v>2</v>
      </c>
      <c r="AU5" s="98"/>
      <c r="AV5" s="98">
        <v>3</v>
      </c>
      <c r="AW5" s="98"/>
      <c r="AX5" s="98">
        <v>4</v>
      </c>
      <c r="AY5" s="98"/>
      <c r="AZ5" s="98">
        <v>1</v>
      </c>
      <c r="BA5" s="98"/>
      <c r="BB5" s="98">
        <v>2</v>
      </c>
      <c r="BC5" s="98"/>
      <c r="BD5" s="98">
        <v>3</v>
      </c>
      <c r="BE5" s="98"/>
      <c r="BF5" s="98">
        <v>4</v>
      </c>
      <c r="BG5" s="98"/>
      <c r="BH5" s="98">
        <v>1</v>
      </c>
      <c r="BI5" s="98"/>
      <c r="BJ5" s="98">
        <v>2</v>
      </c>
      <c r="BK5" s="98"/>
      <c r="BL5" s="98">
        <v>3</v>
      </c>
      <c r="BM5" s="98"/>
      <c r="BN5" s="98">
        <v>4</v>
      </c>
      <c r="BO5" s="98"/>
      <c r="BP5" s="98">
        <v>1</v>
      </c>
      <c r="BQ5" s="98"/>
      <c r="BR5" s="98">
        <v>2</v>
      </c>
      <c r="BS5" s="98"/>
      <c r="BT5" s="98">
        <v>3</v>
      </c>
      <c r="BU5" s="98"/>
      <c r="BV5" s="98">
        <v>4</v>
      </c>
      <c r="BW5" s="98"/>
      <c r="BX5" s="98">
        <v>1</v>
      </c>
      <c r="BY5" s="98"/>
      <c r="BZ5" s="98">
        <v>2</v>
      </c>
      <c r="CA5" s="98"/>
      <c r="CB5" s="98">
        <v>3</v>
      </c>
      <c r="CC5" s="98"/>
      <c r="CD5" s="98">
        <v>4</v>
      </c>
      <c r="CE5" s="98"/>
      <c r="CF5" s="98">
        <v>1</v>
      </c>
      <c r="CG5" s="98"/>
      <c r="CH5" s="98">
        <v>2</v>
      </c>
      <c r="CI5" s="98"/>
      <c r="CJ5" s="98">
        <v>3</v>
      </c>
      <c r="CK5" s="98"/>
      <c r="CL5" s="98">
        <v>4</v>
      </c>
      <c r="CM5" s="98"/>
      <c r="CN5" s="98">
        <v>1</v>
      </c>
      <c r="CO5" s="98"/>
      <c r="CP5" s="98">
        <v>2</v>
      </c>
      <c r="CQ5" s="98"/>
      <c r="CR5" s="98">
        <v>3</v>
      </c>
      <c r="CS5" s="98"/>
      <c r="CT5" s="98">
        <v>4</v>
      </c>
      <c r="CU5" s="98"/>
    </row>
    <row r="6" spans="1:99">
      <c r="B6" s="98" t="s">
        <v>126</v>
      </c>
      <c r="C6" s="98" t="s">
        <v>171</v>
      </c>
      <c r="D6" s="99">
        <v>0</v>
      </c>
      <c r="E6" s="99">
        <v>0</v>
      </c>
      <c r="F6" s="99">
        <v>0</v>
      </c>
      <c r="G6" s="99">
        <v>0</v>
      </c>
      <c r="H6" s="99">
        <v>2.7478138689341716</v>
      </c>
      <c r="I6" s="99">
        <v>1589.3355417915247</v>
      </c>
      <c r="J6" s="99">
        <v>1.623355950308373</v>
      </c>
      <c r="K6" s="99">
        <v>938.94908165836284</v>
      </c>
      <c r="L6" s="99">
        <v>4.0487929255408002</v>
      </c>
      <c r="M6" s="99">
        <v>2341.8218281327986</v>
      </c>
      <c r="N6" s="99">
        <v>3</v>
      </c>
      <c r="O6" s="99">
        <v>1735.1999999999998</v>
      </c>
      <c r="P6" s="99">
        <v>3</v>
      </c>
      <c r="Q6" s="99">
        <v>1735.1999999999998</v>
      </c>
      <c r="R6" s="99">
        <v>0.86533489225759008</v>
      </c>
      <c r="S6" s="99">
        <v>500.50970168179009</v>
      </c>
      <c r="T6" s="99">
        <v>2</v>
      </c>
      <c r="U6" s="99">
        <v>1156.8</v>
      </c>
      <c r="V6" s="99">
        <v>3</v>
      </c>
      <c r="W6" s="99">
        <v>1735.1999999999998</v>
      </c>
      <c r="X6" s="99">
        <v>3</v>
      </c>
      <c r="Y6" s="99">
        <v>1735.1999999999998</v>
      </c>
      <c r="Z6" s="99">
        <v>3</v>
      </c>
      <c r="AA6" s="99">
        <v>1735.1999999999998</v>
      </c>
      <c r="AB6" s="99">
        <v>3</v>
      </c>
      <c r="AC6" s="99">
        <v>1735.1999999999998</v>
      </c>
      <c r="AD6" s="99">
        <v>3</v>
      </c>
      <c r="AE6" s="99">
        <v>1735.1999999999998</v>
      </c>
      <c r="AF6" s="99">
        <v>3</v>
      </c>
      <c r="AG6" s="99">
        <v>1735.1999999999998</v>
      </c>
      <c r="AH6" s="99">
        <v>0.88066791218639484</v>
      </c>
      <c r="AI6" s="99">
        <v>509.37832040861076</v>
      </c>
      <c r="AJ6" s="99">
        <v>3</v>
      </c>
      <c r="AK6" s="99">
        <v>1735.1999999999998</v>
      </c>
      <c r="AL6" s="99">
        <v>3</v>
      </c>
      <c r="AM6" s="99">
        <v>1735.1999999999998</v>
      </c>
      <c r="AN6" s="99">
        <v>3</v>
      </c>
      <c r="AO6" s="99">
        <v>1735.1999999999998</v>
      </c>
      <c r="AP6" s="99">
        <v>3</v>
      </c>
      <c r="AQ6" s="99">
        <v>1735.1999999999998</v>
      </c>
      <c r="AR6" s="99">
        <v>3</v>
      </c>
      <c r="AS6" s="99">
        <v>1735.1999999999998</v>
      </c>
      <c r="AT6" s="99">
        <v>1.7574741620668872</v>
      </c>
      <c r="AU6" s="99">
        <v>1016.5230553394875</v>
      </c>
      <c r="AV6" s="99">
        <v>3</v>
      </c>
      <c r="AW6" s="99">
        <v>1735.1999999999998</v>
      </c>
      <c r="AX6" s="99">
        <v>3</v>
      </c>
      <c r="AY6" s="99">
        <v>1735.1999999999998</v>
      </c>
      <c r="AZ6" s="99">
        <v>3</v>
      </c>
      <c r="BA6" s="99">
        <v>1735.1999999999998</v>
      </c>
      <c r="BB6" s="99">
        <v>3</v>
      </c>
      <c r="BC6" s="99">
        <v>1735.1999999999998</v>
      </c>
      <c r="BD6" s="99">
        <v>4</v>
      </c>
      <c r="BE6" s="99">
        <v>2313.6</v>
      </c>
      <c r="BF6" s="99">
        <v>4</v>
      </c>
      <c r="BG6" s="99">
        <v>2313.6</v>
      </c>
      <c r="BH6" s="99">
        <v>4</v>
      </c>
      <c r="BI6" s="99">
        <v>2313.6</v>
      </c>
      <c r="BJ6" s="99">
        <v>3</v>
      </c>
      <c r="BK6" s="99">
        <v>1735.1999999999998</v>
      </c>
      <c r="BL6" s="99">
        <v>3.627927979140567</v>
      </c>
      <c r="BM6" s="99">
        <v>2098.3935431349037</v>
      </c>
      <c r="BN6" s="99">
        <v>2.7119657995075519</v>
      </c>
      <c r="BO6" s="99">
        <v>1568.601018435168</v>
      </c>
      <c r="BP6" s="99">
        <v>3</v>
      </c>
      <c r="BQ6" s="99">
        <v>1735.1999999999998</v>
      </c>
      <c r="BR6" s="99">
        <v>1.7615713204399046</v>
      </c>
      <c r="BS6" s="99">
        <v>1018.8928517424408</v>
      </c>
      <c r="BT6" s="99">
        <v>3</v>
      </c>
      <c r="BU6" s="99">
        <v>1735.1999999999998</v>
      </c>
      <c r="BV6" s="99">
        <v>2.8689079477022457</v>
      </c>
      <c r="BW6" s="99">
        <v>1659.3763569509788</v>
      </c>
      <c r="BX6" s="99">
        <v>1.5777036282802819</v>
      </c>
      <c r="BY6" s="99">
        <v>912.54377859731505</v>
      </c>
      <c r="BZ6" s="99">
        <v>0</v>
      </c>
      <c r="CA6" s="99">
        <v>0</v>
      </c>
      <c r="CB6" s="99">
        <v>4</v>
      </c>
      <c r="CC6" s="99">
        <v>2313.6</v>
      </c>
      <c r="CD6" s="99">
        <v>3</v>
      </c>
      <c r="CE6" s="99">
        <v>1735.1999999999998</v>
      </c>
      <c r="CF6" s="99">
        <v>4</v>
      </c>
      <c r="CG6" s="99">
        <v>2313.6</v>
      </c>
      <c r="CH6" s="99">
        <v>0.79564081716188428</v>
      </c>
      <c r="CI6" s="99">
        <v>460.19864864643387</v>
      </c>
      <c r="CJ6" s="99">
        <v>0</v>
      </c>
      <c r="CK6" s="99">
        <v>0</v>
      </c>
      <c r="CL6" s="99">
        <v>0</v>
      </c>
      <c r="CM6" s="99">
        <v>0</v>
      </c>
      <c r="CN6" s="99">
        <v>3</v>
      </c>
      <c r="CO6" s="99">
        <v>1735.1999999999998</v>
      </c>
      <c r="CP6" s="99">
        <v>3</v>
      </c>
      <c r="CQ6" s="99">
        <v>1735.1999999999998</v>
      </c>
      <c r="CR6" s="99">
        <v>2.5471347076892705</v>
      </c>
      <c r="CS6" s="99">
        <v>1473.262714927474</v>
      </c>
      <c r="CT6" s="99">
        <v>1.4985562843724893</v>
      </c>
      <c r="CU6" s="99">
        <v>866.76495488104774</v>
      </c>
    </row>
    <row r="7" spans="1:99">
      <c r="C7" s="98" t="s">
        <v>172</v>
      </c>
      <c r="D7" s="99">
        <v>0</v>
      </c>
      <c r="E7" s="99">
        <v>0</v>
      </c>
      <c r="F7" s="99">
        <v>0</v>
      </c>
      <c r="G7" s="99">
        <v>0</v>
      </c>
      <c r="H7" s="99">
        <v>2.7478138689341716</v>
      </c>
      <c r="I7" s="99">
        <v>2166.3764542677009</v>
      </c>
      <c r="J7" s="99">
        <v>1.6205878208788551</v>
      </c>
      <c r="K7" s="99">
        <v>1277.6714379808893</v>
      </c>
      <c r="L7" s="99">
        <v>3.8739941046173341</v>
      </c>
      <c r="M7" s="99">
        <v>3054.2569520803063</v>
      </c>
      <c r="N7" s="99">
        <v>3</v>
      </c>
      <c r="O7" s="99">
        <v>2365.1999999999998</v>
      </c>
      <c r="P7" s="99">
        <v>3</v>
      </c>
      <c r="Q7" s="99">
        <v>2365.1999999999998</v>
      </c>
      <c r="R7" s="99">
        <v>0.64900116919319262</v>
      </c>
      <c r="S7" s="99">
        <v>511.67252179191303</v>
      </c>
      <c r="T7" s="99">
        <v>2</v>
      </c>
      <c r="U7" s="99">
        <v>1576.8</v>
      </c>
      <c r="V7" s="99">
        <v>3</v>
      </c>
      <c r="W7" s="99">
        <v>2365.1999999999998</v>
      </c>
      <c r="X7" s="99">
        <v>3</v>
      </c>
      <c r="Y7" s="99">
        <v>2365.1999999999998</v>
      </c>
      <c r="Z7" s="99">
        <v>3</v>
      </c>
      <c r="AA7" s="99">
        <v>2365.1999999999998</v>
      </c>
      <c r="AB7" s="99">
        <v>3</v>
      </c>
      <c r="AC7" s="99">
        <v>2365.1999999999998</v>
      </c>
      <c r="AD7" s="99">
        <v>2</v>
      </c>
      <c r="AE7" s="99">
        <v>1576.8</v>
      </c>
      <c r="AF7" s="99">
        <v>3</v>
      </c>
      <c r="AG7" s="99">
        <v>2365.1999999999998</v>
      </c>
      <c r="AH7" s="99">
        <v>0.88066791218639484</v>
      </c>
      <c r="AI7" s="99">
        <v>694.31858196775363</v>
      </c>
      <c r="AJ7" s="99">
        <v>3</v>
      </c>
      <c r="AK7" s="99">
        <v>2365.1999999999998</v>
      </c>
      <c r="AL7" s="99">
        <v>3</v>
      </c>
      <c r="AM7" s="99">
        <v>2365.1999999999998</v>
      </c>
      <c r="AN7" s="99">
        <v>4</v>
      </c>
      <c r="AO7" s="99">
        <v>3153.6</v>
      </c>
      <c r="AP7" s="99">
        <v>3</v>
      </c>
      <c r="AQ7" s="99">
        <v>2365.1999999999998</v>
      </c>
      <c r="AR7" s="99">
        <v>4</v>
      </c>
      <c r="AS7" s="99">
        <v>3153.6</v>
      </c>
      <c r="AT7" s="99">
        <v>1.7574741620668872</v>
      </c>
      <c r="AU7" s="99">
        <v>1385.5926293735338</v>
      </c>
      <c r="AV7" s="99">
        <v>3</v>
      </c>
      <c r="AW7" s="99">
        <v>2365.1999999999998</v>
      </c>
      <c r="AX7" s="99">
        <v>3</v>
      </c>
      <c r="AY7" s="99">
        <v>2365.1999999999998</v>
      </c>
      <c r="AZ7" s="99">
        <v>3</v>
      </c>
      <c r="BA7" s="99">
        <v>2365.1999999999998</v>
      </c>
      <c r="BB7" s="99">
        <v>3</v>
      </c>
      <c r="BC7" s="99">
        <v>2365.1999999999998</v>
      </c>
      <c r="BD7" s="99">
        <v>4</v>
      </c>
      <c r="BE7" s="99">
        <v>3153.6</v>
      </c>
      <c r="BF7" s="99">
        <v>4</v>
      </c>
      <c r="BG7" s="99">
        <v>3153.6</v>
      </c>
      <c r="BH7" s="99">
        <v>3</v>
      </c>
      <c r="BI7" s="99">
        <v>2365.1999999999998</v>
      </c>
      <c r="BJ7" s="99">
        <v>3</v>
      </c>
      <c r="BK7" s="99">
        <v>2365.1999999999998</v>
      </c>
      <c r="BL7" s="99">
        <v>4.5349099739257088</v>
      </c>
      <c r="BM7" s="99">
        <v>3575.3230234430289</v>
      </c>
      <c r="BN7" s="99">
        <v>2.6216113078569849</v>
      </c>
      <c r="BO7" s="99">
        <v>2066.878355114447</v>
      </c>
      <c r="BP7" s="99">
        <v>3</v>
      </c>
      <c r="BQ7" s="99">
        <v>2365.1999999999998</v>
      </c>
      <c r="BR7" s="99">
        <v>1.7615713204399046</v>
      </c>
      <c r="BS7" s="99">
        <v>1388.8228290348206</v>
      </c>
      <c r="BT7" s="99">
        <v>4</v>
      </c>
      <c r="BU7" s="99">
        <v>3153.6</v>
      </c>
      <c r="BV7" s="99">
        <v>2.8689079477022457</v>
      </c>
      <c r="BW7" s="99">
        <v>2261.8470259684505</v>
      </c>
      <c r="BX7" s="99">
        <v>1.5777036282802819</v>
      </c>
      <c r="BY7" s="99">
        <v>1243.8615405361743</v>
      </c>
      <c r="BZ7" s="99">
        <v>0</v>
      </c>
      <c r="CA7" s="99">
        <v>0</v>
      </c>
      <c r="CB7" s="99">
        <v>4</v>
      </c>
      <c r="CC7" s="99">
        <v>3153.6</v>
      </c>
      <c r="CD7" s="99">
        <v>3</v>
      </c>
      <c r="CE7" s="99">
        <v>2365.1999999999998</v>
      </c>
      <c r="CF7" s="99">
        <v>4</v>
      </c>
      <c r="CG7" s="99">
        <v>3153.6</v>
      </c>
      <c r="CH7" s="99">
        <v>0.79564081716188428</v>
      </c>
      <c r="CI7" s="99">
        <v>627.28322025042951</v>
      </c>
      <c r="CJ7" s="99">
        <v>0</v>
      </c>
      <c r="CK7" s="99">
        <v>0</v>
      </c>
      <c r="CL7" s="99">
        <v>0</v>
      </c>
      <c r="CM7" s="99">
        <v>0</v>
      </c>
      <c r="CN7" s="99">
        <v>3</v>
      </c>
      <c r="CO7" s="99">
        <v>2365.1999999999998</v>
      </c>
      <c r="CP7" s="99">
        <v>3</v>
      </c>
      <c r="CQ7" s="99">
        <v>2365.1999999999998</v>
      </c>
      <c r="CR7" s="99">
        <v>3.3961796102523607</v>
      </c>
      <c r="CS7" s="99">
        <v>2677.5480047229612</v>
      </c>
      <c r="CT7" s="99">
        <v>1.4985562843724893</v>
      </c>
      <c r="CU7" s="99">
        <v>1181.4617745992705</v>
      </c>
    </row>
    <row r="8" spans="1:99">
      <c r="C8" s="98" t="s">
        <v>173</v>
      </c>
      <c r="D8" s="99">
        <v>0</v>
      </c>
      <c r="E8" s="99">
        <v>0</v>
      </c>
      <c r="F8" s="99">
        <v>0</v>
      </c>
      <c r="G8" s="99">
        <v>0</v>
      </c>
      <c r="H8" s="99">
        <v>2.7478138689341716</v>
      </c>
      <c r="I8" s="99">
        <v>850.72317382201948</v>
      </c>
      <c r="J8" s="99">
        <v>1.623355950308373</v>
      </c>
      <c r="K8" s="99">
        <v>502.5910022154722</v>
      </c>
      <c r="L8" s="99">
        <v>4.0487929255408002</v>
      </c>
      <c r="M8" s="99">
        <v>1253.5062897474315</v>
      </c>
      <c r="N8" s="99">
        <v>3</v>
      </c>
      <c r="O8" s="99">
        <v>928.8</v>
      </c>
      <c r="P8" s="99">
        <v>3</v>
      </c>
      <c r="Q8" s="99">
        <v>928.8</v>
      </c>
      <c r="R8" s="99">
        <v>0.64900116919319262</v>
      </c>
      <c r="S8" s="99">
        <v>200.9307619822124</v>
      </c>
      <c r="T8" s="99">
        <v>2</v>
      </c>
      <c r="U8" s="99">
        <v>619.19999999999993</v>
      </c>
      <c r="V8" s="99">
        <v>4</v>
      </c>
      <c r="W8" s="99">
        <v>1238.3999999999999</v>
      </c>
      <c r="X8" s="99">
        <v>4</v>
      </c>
      <c r="Y8" s="99">
        <v>1238.3999999999999</v>
      </c>
      <c r="Z8" s="99">
        <v>4</v>
      </c>
      <c r="AA8" s="99">
        <v>1238.3999999999999</v>
      </c>
      <c r="AB8" s="99">
        <v>3</v>
      </c>
      <c r="AC8" s="99">
        <v>928.8</v>
      </c>
      <c r="AD8" s="99">
        <v>3</v>
      </c>
      <c r="AE8" s="99">
        <v>928.8</v>
      </c>
      <c r="AF8" s="99">
        <v>3</v>
      </c>
      <c r="AG8" s="99">
        <v>928.8</v>
      </c>
      <c r="AH8" s="99">
        <v>1.1008348902329936</v>
      </c>
      <c r="AI8" s="99">
        <v>340.81848201613479</v>
      </c>
      <c r="AJ8" s="99">
        <v>3</v>
      </c>
      <c r="AK8" s="99">
        <v>928.8</v>
      </c>
      <c r="AL8" s="99">
        <v>2</v>
      </c>
      <c r="AM8" s="99">
        <v>619.19999999999993</v>
      </c>
      <c r="AN8" s="99">
        <v>4</v>
      </c>
      <c r="AO8" s="99">
        <v>1238.3999999999999</v>
      </c>
      <c r="AP8" s="99">
        <v>2</v>
      </c>
      <c r="AQ8" s="99">
        <v>619.19999999999993</v>
      </c>
      <c r="AR8" s="99">
        <v>4</v>
      </c>
      <c r="AS8" s="99">
        <v>1238.3999999999999</v>
      </c>
      <c r="AT8" s="99">
        <v>1.7574741620668872</v>
      </c>
      <c r="AU8" s="99">
        <v>544.11400057590822</v>
      </c>
      <c r="AV8" s="99">
        <v>3</v>
      </c>
      <c r="AW8" s="99">
        <v>928.8</v>
      </c>
      <c r="AX8" s="99">
        <v>3</v>
      </c>
      <c r="AY8" s="99">
        <v>928.8</v>
      </c>
      <c r="AZ8" s="99">
        <v>3</v>
      </c>
      <c r="BA8" s="99">
        <v>928.8</v>
      </c>
      <c r="BB8" s="99">
        <v>3</v>
      </c>
      <c r="BC8" s="99">
        <v>928.8</v>
      </c>
      <c r="BD8" s="99">
        <v>5</v>
      </c>
      <c r="BE8" s="99">
        <v>1547.9999999999998</v>
      </c>
      <c r="BF8" s="99">
        <v>4</v>
      </c>
      <c r="BG8" s="99">
        <v>1238.3999999999999</v>
      </c>
      <c r="BH8" s="99">
        <v>4</v>
      </c>
      <c r="BI8" s="99">
        <v>1238.3999999999999</v>
      </c>
      <c r="BJ8" s="99">
        <v>3</v>
      </c>
      <c r="BK8" s="99">
        <v>928.8</v>
      </c>
      <c r="BL8" s="99">
        <v>3.627927979140567</v>
      </c>
      <c r="BM8" s="99">
        <v>1123.2065023419193</v>
      </c>
      <c r="BN8" s="99">
        <v>2.7119657995075519</v>
      </c>
      <c r="BO8" s="99">
        <v>839.62461152753792</v>
      </c>
      <c r="BP8" s="99">
        <v>3</v>
      </c>
      <c r="BQ8" s="99">
        <v>928.8</v>
      </c>
      <c r="BR8" s="99">
        <v>1.1743808802932698</v>
      </c>
      <c r="BS8" s="99">
        <v>363.58832053879627</v>
      </c>
      <c r="BT8" s="99">
        <v>4</v>
      </c>
      <c r="BU8" s="99">
        <v>1238.3999999999999</v>
      </c>
      <c r="BV8" s="99">
        <v>2.8689079477022457</v>
      </c>
      <c r="BW8" s="99">
        <v>888.21390060861518</v>
      </c>
      <c r="BX8" s="99">
        <v>2.3665554424204225</v>
      </c>
      <c r="BY8" s="99">
        <v>732.68556497336272</v>
      </c>
      <c r="BZ8" s="99">
        <v>0</v>
      </c>
      <c r="CA8" s="99">
        <v>0</v>
      </c>
      <c r="CB8" s="99">
        <v>3</v>
      </c>
      <c r="CC8" s="99">
        <v>928.8</v>
      </c>
      <c r="CD8" s="99">
        <v>3</v>
      </c>
      <c r="CE8" s="99">
        <v>928.8</v>
      </c>
      <c r="CF8" s="99">
        <v>4</v>
      </c>
      <c r="CG8" s="99">
        <v>1238.3999999999999</v>
      </c>
      <c r="CH8" s="99">
        <v>0.59673061287141316</v>
      </c>
      <c r="CI8" s="99">
        <v>184.7477977449895</v>
      </c>
      <c r="CJ8" s="99">
        <v>0</v>
      </c>
      <c r="CK8" s="99">
        <v>0</v>
      </c>
      <c r="CL8" s="99">
        <v>0</v>
      </c>
      <c r="CM8" s="99">
        <v>0</v>
      </c>
      <c r="CN8" s="99">
        <v>3</v>
      </c>
      <c r="CO8" s="99">
        <v>928.8</v>
      </c>
      <c r="CP8" s="99">
        <v>3</v>
      </c>
      <c r="CQ8" s="99">
        <v>928.8</v>
      </c>
      <c r="CR8" s="99">
        <v>3.3961796102523607</v>
      </c>
      <c r="CS8" s="99">
        <v>1051.4572073341308</v>
      </c>
      <c r="CT8" s="99">
        <v>1.4985562843724893</v>
      </c>
      <c r="CU8" s="99">
        <v>463.95302564172266</v>
      </c>
    </row>
    <row r="9" spans="1:99">
      <c r="C9" s="98" t="s">
        <v>174</v>
      </c>
      <c r="D9" s="99">
        <v>0</v>
      </c>
      <c r="E9" s="99">
        <v>0</v>
      </c>
      <c r="F9" s="99">
        <v>0</v>
      </c>
      <c r="G9" s="99">
        <v>0</v>
      </c>
      <c r="H9" s="99">
        <v>2.7478138689341716</v>
      </c>
      <c r="I9" s="99">
        <v>1928.9653359917884</v>
      </c>
      <c r="J9" s="99">
        <v>1.623355950308373</v>
      </c>
      <c r="K9" s="99">
        <v>1139.5958771164778</v>
      </c>
      <c r="L9" s="99">
        <v>4.0487929255408002</v>
      </c>
      <c r="M9" s="99">
        <v>2842.2526337296417</v>
      </c>
      <c r="N9" s="99">
        <v>3</v>
      </c>
      <c r="O9" s="99">
        <v>2106</v>
      </c>
      <c r="P9" s="99">
        <v>4</v>
      </c>
      <c r="Q9" s="99">
        <v>2808</v>
      </c>
      <c r="R9" s="99">
        <v>0.86533489225759008</v>
      </c>
      <c r="S9" s="99">
        <v>607.46509436482825</v>
      </c>
      <c r="T9" s="99">
        <v>2</v>
      </c>
      <c r="U9" s="99">
        <v>1404</v>
      </c>
      <c r="V9" s="99">
        <v>3</v>
      </c>
      <c r="W9" s="99">
        <v>2106</v>
      </c>
      <c r="X9" s="99">
        <v>3</v>
      </c>
      <c r="Y9" s="99">
        <v>2106</v>
      </c>
      <c r="Z9" s="99">
        <v>4</v>
      </c>
      <c r="AA9" s="99">
        <v>2808</v>
      </c>
      <c r="AB9" s="99">
        <v>3</v>
      </c>
      <c r="AC9" s="99">
        <v>2106</v>
      </c>
      <c r="AD9" s="99">
        <v>2</v>
      </c>
      <c r="AE9" s="99">
        <v>1404</v>
      </c>
      <c r="AF9" s="99">
        <v>3</v>
      </c>
      <c r="AG9" s="99">
        <v>2106</v>
      </c>
      <c r="AH9" s="99">
        <v>0.88066791218639484</v>
      </c>
      <c r="AI9" s="99">
        <v>618.22887435484915</v>
      </c>
      <c r="AJ9" s="99">
        <v>3</v>
      </c>
      <c r="AK9" s="99">
        <v>2106</v>
      </c>
      <c r="AL9" s="99">
        <v>2</v>
      </c>
      <c r="AM9" s="99">
        <v>1404</v>
      </c>
      <c r="AN9" s="99">
        <v>3</v>
      </c>
      <c r="AO9" s="99">
        <v>2106</v>
      </c>
      <c r="AP9" s="99">
        <v>3</v>
      </c>
      <c r="AQ9" s="99">
        <v>2106</v>
      </c>
      <c r="AR9" s="99">
        <v>4</v>
      </c>
      <c r="AS9" s="99">
        <v>2808</v>
      </c>
      <c r="AT9" s="99">
        <v>1.7574741620668872</v>
      </c>
      <c r="AU9" s="99">
        <v>1233.7468617709549</v>
      </c>
      <c r="AV9" s="99">
        <v>3</v>
      </c>
      <c r="AW9" s="99">
        <v>2106</v>
      </c>
      <c r="AX9" s="99">
        <v>3</v>
      </c>
      <c r="AY9" s="99">
        <v>2106</v>
      </c>
      <c r="AZ9" s="99">
        <v>3</v>
      </c>
      <c r="BA9" s="99">
        <v>2106</v>
      </c>
      <c r="BB9" s="99">
        <v>3</v>
      </c>
      <c r="BC9" s="99">
        <v>2106</v>
      </c>
      <c r="BD9" s="99">
        <v>4</v>
      </c>
      <c r="BE9" s="99">
        <v>2808</v>
      </c>
      <c r="BF9" s="99">
        <v>4</v>
      </c>
      <c r="BG9" s="99">
        <v>2808</v>
      </c>
      <c r="BH9" s="99">
        <v>4</v>
      </c>
      <c r="BI9" s="99">
        <v>2808</v>
      </c>
      <c r="BJ9" s="99">
        <v>2</v>
      </c>
      <c r="BK9" s="99">
        <v>1404</v>
      </c>
      <c r="BL9" s="99">
        <v>4.5349099739257088</v>
      </c>
      <c r="BM9" s="99">
        <v>3183.5068016958476</v>
      </c>
      <c r="BN9" s="99">
        <v>2.011718489215657</v>
      </c>
      <c r="BO9" s="99">
        <v>1412.2263794293913</v>
      </c>
      <c r="BP9" s="99">
        <v>4</v>
      </c>
      <c r="BQ9" s="99">
        <v>2808</v>
      </c>
      <c r="BR9" s="99">
        <v>1.7615713204399046</v>
      </c>
      <c r="BS9" s="99">
        <v>1236.6230669488129</v>
      </c>
      <c r="BT9" s="99">
        <v>3</v>
      </c>
      <c r="BU9" s="99">
        <v>2106</v>
      </c>
      <c r="BV9" s="99">
        <v>2.8689079477022457</v>
      </c>
      <c r="BW9" s="99">
        <v>2013.9733792869765</v>
      </c>
      <c r="BX9" s="99">
        <v>1.5777036282802819</v>
      </c>
      <c r="BY9" s="99">
        <v>1107.547947052758</v>
      </c>
      <c r="BZ9" s="99">
        <v>0</v>
      </c>
      <c r="CA9" s="99">
        <v>0</v>
      </c>
      <c r="CB9" s="99">
        <v>3</v>
      </c>
      <c r="CC9" s="99">
        <v>2106</v>
      </c>
      <c r="CD9" s="99">
        <v>3</v>
      </c>
      <c r="CE9" s="99">
        <v>2106</v>
      </c>
      <c r="CF9" s="99">
        <v>4</v>
      </c>
      <c r="CG9" s="99">
        <v>2808</v>
      </c>
      <c r="CH9" s="99">
        <v>0.59673061287141316</v>
      </c>
      <c r="CI9" s="99">
        <v>418.90489023573201</v>
      </c>
      <c r="CJ9" s="99">
        <v>0</v>
      </c>
      <c r="CK9" s="99">
        <v>0</v>
      </c>
      <c r="CL9" s="99">
        <v>0</v>
      </c>
      <c r="CM9" s="99">
        <v>0</v>
      </c>
      <c r="CN9" s="99">
        <v>3</v>
      </c>
      <c r="CO9" s="99">
        <v>2106</v>
      </c>
      <c r="CP9" s="99">
        <v>3</v>
      </c>
      <c r="CQ9" s="99">
        <v>2106</v>
      </c>
      <c r="CR9" s="99">
        <v>3.3961796102523607</v>
      </c>
      <c r="CS9" s="99">
        <v>2384.1180863971572</v>
      </c>
      <c r="CT9" s="99">
        <v>1.4985562843724893</v>
      </c>
      <c r="CU9" s="99">
        <v>1051.9865116294875</v>
      </c>
    </row>
    <row r="10" spans="1:99">
      <c r="C10" s="98" t="s">
        <v>175</v>
      </c>
      <c r="D10" s="99">
        <v>0</v>
      </c>
      <c r="E10" s="99">
        <v>0</v>
      </c>
      <c r="F10" s="99">
        <v>0</v>
      </c>
      <c r="G10" s="99">
        <v>0</v>
      </c>
      <c r="H10" s="99">
        <v>2.7478138689341716</v>
      </c>
      <c r="I10" s="99">
        <v>1497.0089957953364</v>
      </c>
      <c r="J10" s="99">
        <v>1.623355950308373</v>
      </c>
      <c r="K10" s="99">
        <v>884.40432172800149</v>
      </c>
      <c r="L10" s="99">
        <v>3.8739941046173341</v>
      </c>
      <c r="M10" s="99">
        <v>2110.5519881955233</v>
      </c>
      <c r="N10" s="99">
        <v>3</v>
      </c>
      <c r="O10" s="99">
        <v>1634.3999999999999</v>
      </c>
      <c r="P10" s="99">
        <v>3</v>
      </c>
      <c r="Q10" s="99">
        <v>1634.3999999999999</v>
      </c>
      <c r="R10" s="99">
        <v>0.64900116919319262</v>
      </c>
      <c r="S10" s="99">
        <v>353.57583697645128</v>
      </c>
      <c r="T10" s="99">
        <v>2</v>
      </c>
      <c r="U10" s="99">
        <v>1089.5999999999999</v>
      </c>
      <c r="V10" s="99">
        <v>3</v>
      </c>
      <c r="W10" s="99">
        <v>1634.3999999999999</v>
      </c>
      <c r="X10" s="99">
        <v>4</v>
      </c>
      <c r="Y10" s="99">
        <v>2179.1999999999998</v>
      </c>
      <c r="Z10" s="99">
        <v>4</v>
      </c>
      <c r="AA10" s="99">
        <v>2179.1999999999998</v>
      </c>
      <c r="AB10" s="99">
        <v>3</v>
      </c>
      <c r="AC10" s="99">
        <v>1634.3999999999999</v>
      </c>
      <c r="AD10" s="99">
        <v>2</v>
      </c>
      <c r="AE10" s="99">
        <v>1089.5999999999999</v>
      </c>
      <c r="AF10" s="99">
        <v>3</v>
      </c>
      <c r="AG10" s="99">
        <v>1634.3999999999999</v>
      </c>
      <c r="AH10" s="99">
        <v>0.88066791218639484</v>
      </c>
      <c r="AI10" s="99">
        <v>479.78787855914788</v>
      </c>
      <c r="AJ10" s="99">
        <v>3</v>
      </c>
      <c r="AK10" s="99">
        <v>1634.3999999999999</v>
      </c>
      <c r="AL10" s="99">
        <v>3</v>
      </c>
      <c r="AM10" s="99">
        <v>1634.3999999999999</v>
      </c>
      <c r="AN10" s="99">
        <v>3</v>
      </c>
      <c r="AO10" s="99">
        <v>1634.3999999999999</v>
      </c>
      <c r="AP10" s="99">
        <v>3</v>
      </c>
      <c r="AQ10" s="99">
        <v>1634.3999999999999</v>
      </c>
      <c r="AR10" s="99">
        <v>4</v>
      </c>
      <c r="AS10" s="99">
        <v>2179.1999999999998</v>
      </c>
      <c r="AT10" s="99">
        <v>1.1716494413779248</v>
      </c>
      <c r="AU10" s="99">
        <v>638.31461566269343</v>
      </c>
      <c r="AV10" s="99">
        <v>3</v>
      </c>
      <c r="AW10" s="99">
        <v>1634.3999999999999</v>
      </c>
      <c r="AX10" s="99">
        <v>3</v>
      </c>
      <c r="AY10" s="99">
        <v>1634.3999999999999</v>
      </c>
      <c r="AZ10" s="99">
        <v>3</v>
      </c>
      <c r="BA10" s="99">
        <v>1634.3999999999999</v>
      </c>
      <c r="BB10" s="99">
        <v>3</v>
      </c>
      <c r="BC10" s="99">
        <v>1634.3999999999999</v>
      </c>
      <c r="BD10" s="99">
        <v>4</v>
      </c>
      <c r="BE10" s="99">
        <v>2179.1999999999998</v>
      </c>
      <c r="BF10" s="99">
        <v>4</v>
      </c>
      <c r="BG10" s="99">
        <v>2179.1999999999998</v>
      </c>
      <c r="BH10" s="99">
        <v>4</v>
      </c>
      <c r="BI10" s="99">
        <v>2179.1999999999998</v>
      </c>
      <c r="BJ10" s="99">
        <v>2</v>
      </c>
      <c r="BK10" s="99">
        <v>1089.5999999999999</v>
      </c>
      <c r="BL10" s="99">
        <v>3.627927979140567</v>
      </c>
      <c r="BM10" s="99">
        <v>1976.4951630357807</v>
      </c>
      <c r="BN10" s="99">
        <v>2.6667885536822689</v>
      </c>
      <c r="BO10" s="99">
        <v>1452.8664040460999</v>
      </c>
      <c r="BP10" s="99">
        <v>3</v>
      </c>
      <c r="BQ10" s="99">
        <v>1634.3999999999999</v>
      </c>
      <c r="BR10" s="99">
        <v>1.1743808802932698</v>
      </c>
      <c r="BS10" s="99">
        <v>639.80270358377334</v>
      </c>
      <c r="BT10" s="99">
        <v>4</v>
      </c>
      <c r="BU10" s="99">
        <v>2179.1999999999998</v>
      </c>
      <c r="BV10" s="99">
        <v>2.8689079477022457</v>
      </c>
      <c r="BW10" s="99">
        <v>1562.9810499081832</v>
      </c>
      <c r="BX10" s="99">
        <v>2.3665554424204225</v>
      </c>
      <c r="BY10" s="99">
        <v>1289.2994050306461</v>
      </c>
      <c r="BZ10" s="99">
        <v>0</v>
      </c>
      <c r="CA10" s="99">
        <v>0</v>
      </c>
      <c r="CB10" s="99">
        <v>4</v>
      </c>
      <c r="CC10" s="99">
        <v>2179.1999999999998</v>
      </c>
      <c r="CD10" s="99">
        <v>3</v>
      </c>
      <c r="CE10" s="99">
        <v>1634.3999999999999</v>
      </c>
      <c r="CF10" s="99">
        <v>4</v>
      </c>
      <c r="CG10" s="99">
        <v>2179.1999999999998</v>
      </c>
      <c r="CH10" s="99">
        <v>0.79564081716188428</v>
      </c>
      <c r="CI10" s="99">
        <v>433.46511718979451</v>
      </c>
      <c r="CJ10" s="99">
        <v>0</v>
      </c>
      <c r="CK10" s="99">
        <v>0</v>
      </c>
      <c r="CL10" s="99">
        <v>0</v>
      </c>
      <c r="CM10" s="99">
        <v>0</v>
      </c>
      <c r="CN10" s="99">
        <v>3</v>
      </c>
      <c r="CO10" s="99">
        <v>1634.3999999999999</v>
      </c>
      <c r="CP10" s="99">
        <v>3</v>
      </c>
      <c r="CQ10" s="99">
        <v>1634.3999999999999</v>
      </c>
      <c r="CR10" s="99">
        <v>2.5471347076892705</v>
      </c>
      <c r="CS10" s="99">
        <v>1387.6789887491145</v>
      </c>
      <c r="CT10" s="99">
        <v>1.4985562843724893</v>
      </c>
      <c r="CU10" s="99">
        <v>816.41346372613214</v>
      </c>
    </row>
    <row r="11" spans="1:99">
      <c r="C11" s="98" t="s">
        <v>176</v>
      </c>
      <c r="D11" s="99">
        <v>0</v>
      </c>
      <c r="E11" s="99">
        <v>0</v>
      </c>
      <c r="F11" s="99">
        <v>0</v>
      </c>
      <c r="G11" s="99">
        <v>0</v>
      </c>
      <c r="H11" s="99">
        <v>2.7478138689341716</v>
      </c>
      <c r="I11" s="99">
        <v>1464.0352293681265</v>
      </c>
      <c r="J11" s="99">
        <v>1.6806347112419375</v>
      </c>
      <c r="K11" s="99">
        <v>895.44217414970421</v>
      </c>
      <c r="L11" s="99">
        <v>4.0487929255408002</v>
      </c>
      <c r="M11" s="99">
        <v>2157.196870728138</v>
      </c>
      <c r="N11" s="99">
        <v>3</v>
      </c>
      <c r="O11" s="99">
        <v>1598.3999999999999</v>
      </c>
      <c r="P11" s="99">
        <v>4</v>
      </c>
      <c r="Q11" s="99">
        <v>2131.1999999999998</v>
      </c>
      <c r="R11" s="99">
        <v>0.64900116919319262</v>
      </c>
      <c r="S11" s="99">
        <v>345.78782294613302</v>
      </c>
      <c r="T11" s="99">
        <v>2</v>
      </c>
      <c r="U11" s="99">
        <v>1065.5999999999999</v>
      </c>
      <c r="V11" s="99">
        <v>3</v>
      </c>
      <c r="W11" s="99">
        <v>1598.3999999999999</v>
      </c>
      <c r="X11" s="99">
        <v>3</v>
      </c>
      <c r="Y11" s="99">
        <v>1598.3999999999999</v>
      </c>
      <c r="Z11" s="99">
        <v>3</v>
      </c>
      <c r="AA11" s="99">
        <v>1598.3999999999999</v>
      </c>
      <c r="AB11" s="99">
        <v>3</v>
      </c>
      <c r="AC11" s="99">
        <v>1598.3999999999999</v>
      </c>
      <c r="AD11" s="99">
        <v>2</v>
      </c>
      <c r="AE11" s="99">
        <v>1065.5999999999999</v>
      </c>
      <c r="AF11" s="99">
        <v>3</v>
      </c>
      <c r="AG11" s="99">
        <v>1598.3999999999999</v>
      </c>
      <c r="AH11" s="99">
        <v>0.88066791218639484</v>
      </c>
      <c r="AI11" s="99">
        <v>469.21986361291113</v>
      </c>
      <c r="AJ11" s="99">
        <v>3</v>
      </c>
      <c r="AK11" s="99">
        <v>1598.3999999999999</v>
      </c>
      <c r="AL11" s="99">
        <v>3</v>
      </c>
      <c r="AM11" s="99">
        <v>1598.3999999999999</v>
      </c>
      <c r="AN11" s="99">
        <v>4</v>
      </c>
      <c r="AO11" s="99">
        <v>2131.1999999999998</v>
      </c>
      <c r="AP11" s="99">
        <v>3</v>
      </c>
      <c r="AQ11" s="99">
        <v>1598.3999999999999</v>
      </c>
      <c r="AR11" s="99">
        <v>3</v>
      </c>
      <c r="AS11" s="99">
        <v>1598.3999999999999</v>
      </c>
      <c r="AT11" s="99">
        <v>1.7574741620668872</v>
      </c>
      <c r="AU11" s="99">
        <v>936.38223354923741</v>
      </c>
      <c r="AV11" s="99">
        <v>3</v>
      </c>
      <c r="AW11" s="99">
        <v>1598.3999999999999</v>
      </c>
      <c r="AX11" s="99">
        <v>3</v>
      </c>
      <c r="AY11" s="99">
        <v>1598.3999999999999</v>
      </c>
      <c r="AZ11" s="99">
        <v>3</v>
      </c>
      <c r="BA11" s="99">
        <v>1598.3999999999999</v>
      </c>
      <c r="BB11" s="99">
        <v>3</v>
      </c>
      <c r="BC11" s="99">
        <v>1598.3999999999999</v>
      </c>
      <c r="BD11" s="99">
        <v>4</v>
      </c>
      <c r="BE11" s="99">
        <v>2131.1999999999998</v>
      </c>
      <c r="BF11" s="99">
        <v>4</v>
      </c>
      <c r="BG11" s="99">
        <v>2131.1999999999998</v>
      </c>
      <c r="BH11" s="99">
        <v>4</v>
      </c>
      <c r="BI11" s="99">
        <v>2131.1999999999998</v>
      </c>
      <c r="BJ11" s="99">
        <v>3</v>
      </c>
      <c r="BK11" s="99">
        <v>1598.3999999999999</v>
      </c>
      <c r="BL11" s="99">
        <v>4.5349099739257088</v>
      </c>
      <c r="BM11" s="99">
        <v>2416.2000341076173</v>
      </c>
      <c r="BN11" s="99">
        <v>2.5990226849443432</v>
      </c>
      <c r="BO11" s="99">
        <v>1384.759286538346</v>
      </c>
      <c r="BP11" s="99">
        <v>4</v>
      </c>
      <c r="BQ11" s="99">
        <v>2131.1999999999998</v>
      </c>
      <c r="BR11" s="99">
        <v>1.7615713204399046</v>
      </c>
      <c r="BS11" s="99">
        <v>938.56519953038105</v>
      </c>
      <c r="BT11" s="99">
        <v>4</v>
      </c>
      <c r="BU11" s="99">
        <v>2131.1999999999998</v>
      </c>
      <c r="BV11" s="99">
        <v>2.8689079477022457</v>
      </c>
      <c r="BW11" s="99">
        <v>1528.5541545357564</v>
      </c>
      <c r="BX11" s="99">
        <v>1.5777036282802819</v>
      </c>
      <c r="BY11" s="99">
        <v>840.60049314773414</v>
      </c>
      <c r="BZ11" s="99">
        <v>0</v>
      </c>
      <c r="CA11" s="99">
        <v>0</v>
      </c>
      <c r="CB11" s="99">
        <v>4</v>
      </c>
      <c r="CC11" s="99">
        <v>2131.1999999999998</v>
      </c>
      <c r="CD11" s="99">
        <v>3</v>
      </c>
      <c r="CE11" s="99">
        <v>1598.3999999999999</v>
      </c>
      <c r="CF11" s="99">
        <v>4</v>
      </c>
      <c r="CG11" s="99">
        <v>2131.1999999999998</v>
      </c>
      <c r="CH11" s="99">
        <v>0.79564081716188428</v>
      </c>
      <c r="CI11" s="99">
        <v>423.91742738385193</v>
      </c>
      <c r="CJ11" s="99">
        <v>0</v>
      </c>
      <c r="CK11" s="99">
        <v>0</v>
      </c>
      <c r="CL11" s="99">
        <v>0</v>
      </c>
      <c r="CM11" s="99">
        <v>0</v>
      </c>
      <c r="CN11" s="99">
        <v>3</v>
      </c>
      <c r="CO11" s="99">
        <v>1598.3999999999999</v>
      </c>
      <c r="CP11" s="99">
        <v>3</v>
      </c>
      <c r="CQ11" s="99">
        <v>1598.3999999999999</v>
      </c>
      <c r="CR11" s="99">
        <v>3.3961796102523607</v>
      </c>
      <c r="CS11" s="99">
        <v>1809.4844963424575</v>
      </c>
      <c r="CT11" s="99">
        <v>1.4985562843724893</v>
      </c>
      <c r="CU11" s="99">
        <v>798.43078831366222</v>
      </c>
    </row>
    <row r="12" spans="1:99">
      <c r="C12" s="98" t="s">
        <v>177</v>
      </c>
      <c r="D12" s="99">
        <v>0</v>
      </c>
      <c r="E12" s="99">
        <v>0</v>
      </c>
      <c r="F12" s="99">
        <v>0</v>
      </c>
      <c r="G12" s="99">
        <v>0</v>
      </c>
      <c r="H12" s="99">
        <v>2.7478138689341716</v>
      </c>
      <c r="I12" s="99">
        <v>1546.4696454361517</v>
      </c>
      <c r="J12" s="99">
        <v>1.6288922091674085</v>
      </c>
      <c r="K12" s="99">
        <v>916.7405353194174</v>
      </c>
      <c r="L12" s="99">
        <v>3.0487929255408006</v>
      </c>
      <c r="M12" s="99">
        <v>1715.8606584943625</v>
      </c>
      <c r="N12" s="99">
        <v>3</v>
      </c>
      <c r="O12" s="99">
        <v>1688.3999999999999</v>
      </c>
      <c r="P12" s="99">
        <v>4</v>
      </c>
      <c r="Q12" s="99">
        <v>2251.1999999999998</v>
      </c>
      <c r="R12" s="99">
        <v>0.86533489225759008</v>
      </c>
      <c r="S12" s="99">
        <v>487.01047736257163</v>
      </c>
      <c r="T12" s="99">
        <v>2</v>
      </c>
      <c r="U12" s="99">
        <v>1125.5999999999999</v>
      </c>
      <c r="V12" s="99">
        <v>3</v>
      </c>
      <c r="W12" s="99">
        <v>1688.3999999999999</v>
      </c>
      <c r="X12" s="99">
        <v>4</v>
      </c>
      <c r="Y12" s="99">
        <v>2251.1999999999998</v>
      </c>
      <c r="Z12" s="99">
        <v>3</v>
      </c>
      <c r="AA12" s="99">
        <v>1688.3999999999999</v>
      </c>
      <c r="AB12" s="99">
        <v>3</v>
      </c>
      <c r="AC12" s="99">
        <v>1688.3999999999999</v>
      </c>
      <c r="AD12" s="99">
        <v>3</v>
      </c>
      <c r="AE12" s="99">
        <v>1688.3999999999999</v>
      </c>
      <c r="AF12" s="99">
        <v>3</v>
      </c>
      <c r="AG12" s="99">
        <v>1688.3999999999999</v>
      </c>
      <c r="AH12" s="99">
        <v>0.88066791218639484</v>
      </c>
      <c r="AI12" s="99">
        <v>495.63990097850296</v>
      </c>
      <c r="AJ12" s="99">
        <v>3</v>
      </c>
      <c r="AK12" s="99">
        <v>1688.3999999999999</v>
      </c>
      <c r="AL12" s="99">
        <v>3</v>
      </c>
      <c r="AM12" s="99">
        <v>1688.3999999999999</v>
      </c>
      <c r="AN12" s="99">
        <v>4</v>
      </c>
      <c r="AO12" s="99">
        <v>2251.1999999999998</v>
      </c>
      <c r="AP12" s="99">
        <v>3</v>
      </c>
      <c r="AQ12" s="99">
        <v>1688.3999999999999</v>
      </c>
      <c r="AR12" s="99">
        <v>4</v>
      </c>
      <c r="AS12" s="99">
        <v>2251.1999999999998</v>
      </c>
      <c r="AT12" s="99">
        <v>1.7574741620668872</v>
      </c>
      <c r="AU12" s="99">
        <v>989.10645841124403</v>
      </c>
      <c r="AV12" s="99">
        <v>3</v>
      </c>
      <c r="AW12" s="99">
        <v>1688.3999999999999</v>
      </c>
      <c r="AX12" s="99">
        <v>3</v>
      </c>
      <c r="AY12" s="99">
        <v>1688.3999999999999</v>
      </c>
      <c r="AZ12" s="99">
        <v>3</v>
      </c>
      <c r="BA12" s="99">
        <v>1688.3999999999999</v>
      </c>
      <c r="BB12" s="99">
        <v>3</v>
      </c>
      <c r="BC12" s="99">
        <v>1688.3999999999999</v>
      </c>
      <c r="BD12" s="99">
        <v>4</v>
      </c>
      <c r="BE12" s="99">
        <v>2251.1999999999998</v>
      </c>
      <c r="BF12" s="99">
        <v>4</v>
      </c>
      <c r="BG12" s="99">
        <v>2251.1999999999998</v>
      </c>
      <c r="BH12" s="99">
        <v>3</v>
      </c>
      <c r="BI12" s="99">
        <v>1688.3999999999999</v>
      </c>
      <c r="BJ12" s="99">
        <v>3</v>
      </c>
      <c r="BK12" s="99">
        <v>1688.3999999999999</v>
      </c>
      <c r="BL12" s="99">
        <v>3.627927979140567</v>
      </c>
      <c r="BM12" s="99">
        <v>2041.797866660311</v>
      </c>
      <c r="BN12" s="99">
        <v>2.6667885536822689</v>
      </c>
      <c r="BO12" s="99">
        <v>1500.8685980123807</v>
      </c>
      <c r="BP12" s="99">
        <v>4</v>
      </c>
      <c r="BQ12" s="99">
        <v>2251.1999999999998</v>
      </c>
      <c r="BR12" s="99">
        <v>1.7615713204399046</v>
      </c>
      <c r="BS12" s="99">
        <v>991.41233914357827</v>
      </c>
      <c r="BT12" s="99">
        <v>3</v>
      </c>
      <c r="BU12" s="99">
        <v>1688.3999999999999</v>
      </c>
      <c r="BV12" s="99">
        <v>2.8689079477022457</v>
      </c>
      <c r="BW12" s="99">
        <v>1614.6213929668238</v>
      </c>
      <c r="BX12" s="99">
        <v>2.3665554424204225</v>
      </c>
      <c r="BY12" s="99">
        <v>1331.8974029942137</v>
      </c>
      <c r="BZ12" s="99">
        <v>0</v>
      </c>
      <c r="CA12" s="99">
        <v>0</v>
      </c>
      <c r="CB12" s="99">
        <v>3</v>
      </c>
      <c r="CC12" s="99">
        <v>1688.3999999999999</v>
      </c>
      <c r="CD12" s="99">
        <v>4</v>
      </c>
      <c r="CE12" s="99">
        <v>2251.1999999999998</v>
      </c>
      <c r="CF12" s="99">
        <v>4</v>
      </c>
      <c r="CG12" s="99">
        <v>2251.1999999999998</v>
      </c>
      <c r="CH12" s="99">
        <v>0.59673061287141316</v>
      </c>
      <c r="CI12" s="99">
        <v>335.83998892403127</v>
      </c>
      <c r="CJ12" s="99">
        <v>0</v>
      </c>
      <c r="CK12" s="99">
        <v>0</v>
      </c>
      <c r="CL12" s="99">
        <v>0</v>
      </c>
      <c r="CM12" s="99">
        <v>0</v>
      </c>
      <c r="CN12" s="99">
        <v>3</v>
      </c>
      <c r="CO12" s="99">
        <v>1688.3999999999999</v>
      </c>
      <c r="CP12" s="99">
        <v>3</v>
      </c>
      <c r="CQ12" s="99">
        <v>1688.3999999999999</v>
      </c>
      <c r="CR12" s="99">
        <v>3.3961796102523607</v>
      </c>
      <c r="CS12" s="99">
        <v>1911.3698846500286</v>
      </c>
      <c r="CT12" s="99">
        <v>1.4985562843724893</v>
      </c>
      <c r="CU12" s="99">
        <v>843.3874768448369</v>
      </c>
    </row>
    <row r="13" spans="1:99">
      <c r="C13" s="98" t="s">
        <v>178</v>
      </c>
      <c r="D13" s="99">
        <v>0</v>
      </c>
      <c r="E13" s="99">
        <v>0</v>
      </c>
      <c r="F13" s="99">
        <v>0</v>
      </c>
      <c r="G13" s="99">
        <v>0</v>
      </c>
      <c r="H13" s="99">
        <v>2.7478138689341716</v>
      </c>
      <c r="I13" s="99">
        <v>234.11374163319144</v>
      </c>
      <c r="J13" s="99">
        <v>2.0406899804456415</v>
      </c>
      <c r="K13" s="99">
        <v>173.86678633396866</v>
      </c>
      <c r="L13" s="99">
        <v>4.0487929255408002</v>
      </c>
      <c r="M13" s="99">
        <v>344.95715725607619</v>
      </c>
      <c r="N13" s="99">
        <v>3</v>
      </c>
      <c r="O13" s="99">
        <v>255.60000000000002</v>
      </c>
      <c r="P13" s="99">
        <v>3</v>
      </c>
      <c r="Q13" s="99">
        <v>255.60000000000002</v>
      </c>
      <c r="R13" s="99">
        <v>0.86533489225759008</v>
      </c>
      <c r="S13" s="99">
        <v>73.726532820346677</v>
      </c>
      <c r="T13" s="99">
        <v>2</v>
      </c>
      <c r="U13" s="99">
        <v>170.4</v>
      </c>
      <c r="V13" s="99">
        <v>3</v>
      </c>
      <c r="W13" s="99">
        <v>255.60000000000002</v>
      </c>
      <c r="X13" s="99">
        <v>4</v>
      </c>
      <c r="Y13" s="99">
        <v>340.8</v>
      </c>
      <c r="Z13" s="99">
        <v>3</v>
      </c>
      <c r="AA13" s="99">
        <v>255.60000000000002</v>
      </c>
      <c r="AB13" s="99">
        <v>3</v>
      </c>
      <c r="AC13" s="99">
        <v>255.60000000000002</v>
      </c>
      <c r="AD13" s="99">
        <v>3</v>
      </c>
      <c r="AE13" s="99">
        <v>255.60000000000002</v>
      </c>
      <c r="AF13" s="99">
        <v>3</v>
      </c>
      <c r="AG13" s="99">
        <v>255.60000000000002</v>
      </c>
      <c r="AH13" s="99">
        <v>0.88066791218639484</v>
      </c>
      <c r="AI13" s="99">
        <v>75.032906118280849</v>
      </c>
      <c r="AJ13" s="99">
        <v>3</v>
      </c>
      <c r="AK13" s="99">
        <v>255.60000000000002</v>
      </c>
      <c r="AL13" s="99">
        <v>3</v>
      </c>
      <c r="AM13" s="99">
        <v>255.60000000000002</v>
      </c>
      <c r="AN13" s="99">
        <v>4</v>
      </c>
      <c r="AO13" s="99">
        <v>340.8</v>
      </c>
      <c r="AP13" s="99">
        <v>3</v>
      </c>
      <c r="AQ13" s="99">
        <v>255.60000000000002</v>
      </c>
      <c r="AR13" s="99">
        <v>4</v>
      </c>
      <c r="AS13" s="99">
        <v>340.8</v>
      </c>
      <c r="AT13" s="99">
        <v>1.7574741620668872</v>
      </c>
      <c r="AU13" s="99">
        <v>149.73679860809881</v>
      </c>
      <c r="AV13" s="99">
        <v>3</v>
      </c>
      <c r="AW13" s="99">
        <v>255.60000000000002</v>
      </c>
      <c r="AX13" s="99">
        <v>4</v>
      </c>
      <c r="AY13" s="99">
        <v>340.8</v>
      </c>
      <c r="AZ13" s="99">
        <v>3</v>
      </c>
      <c r="BA13" s="99">
        <v>255.60000000000002</v>
      </c>
      <c r="BB13" s="99">
        <v>3</v>
      </c>
      <c r="BC13" s="99">
        <v>255.60000000000002</v>
      </c>
      <c r="BD13" s="99">
        <v>4</v>
      </c>
      <c r="BE13" s="99">
        <v>340.8</v>
      </c>
      <c r="BF13" s="99">
        <v>4</v>
      </c>
      <c r="BG13" s="99">
        <v>340.8</v>
      </c>
      <c r="BH13" s="99">
        <v>4</v>
      </c>
      <c r="BI13" s="99">
        <v>340.8</v>
      </c>
      <c r="BJ13" s="99">
        <v>3</v>
      </c>
      <c r="BK13" s="99">
        <v>255.60000000000002</v>
      </c>
      <c r="BL13" s="99">
        <v>4.5349099739257088</v>
      </c>
      <c r="BM13" s="99">
        <v>386.37432977847038</v>
      </c>
      <c r="BN13" s="99">
        <v>2.6667885536822689</v>
      </c>
      <c r="BO13" s="99">
        <v>227.21038477372932</v>
      </c>
      <c r="BP13" s="99">
        <v>4</v>
      </c>
      <c r="BQ13" s="99">
        <v>340.8</v>
      </c>
      <c r="BR13" s="99">
        <v>1.7615713204399046</v>
      </c>
      <c r="BS13" s="99">
        <v>150.08587650147987</v>
      </c>
      <c r="BT13" s="99">
        <v>4</v>
      </c>
      <c r="BU13" s="99">
        <v>340.8</v>
      </c>
      <c r="BV13" s="99">
        <v>2.8689079477022457</v>
      </c>
      <c r="BW13" s="99">
        <v>244.43095714423134</v>
      </c>
      <c r="BX13" s="99">
        <v>2.3665554424204225</v>
      </c>
      <c r="BY13" s="99">
        <v>201.63052369421999</v>
      </c>
      <c r="BZ13" s="99">
        <v>0</v>
      </c>
      <c r="CA13" s="99">
        <v>0</v>
      </c>
      <c r="CB13" s="99">
        <v>4</v>
      </c>
      <c r="CC13" s="99">
        <v>340.8</v>
      </c>
      <c r="CD13" s="99">
        <v>4</v>
      </c>
      <c r="CE13" s="99">
        <v>340.8</v>
      </c>
      <c r="CF13" s="99">
        <v>4</v>
      </c>
      <c r="CG13" s="99">
        <v>340.8</v>
      </c>
      <c r="CH13" s="99">
        <v>0.79564081716188428</v>
      </c>
      <c r="CI13" s="99">
        <v>67.78859762219254</v>
      </c>
      <c r="CJ13" s="99">
        <v>0</v>
      </c>
      <c r="CK13" s="99">
        <v>0</v>
      </c>
      <c r="CL13" s="99">
        <v>0</v>
      </c>
      <c r="CM13" s="99">
        <v>0</v>
      </c>
      <c r="CN13" s="99">
        <v>3</v>
      </c>
      <c r="CO13" s="99">
        <v>255.60000000000002</v>
      </c>
      <c r="CP13" s="99">
        <v>3</v>
      </c>
      <c r="CQ13" s="99">
        <v>255.60000000000002</v>
      </c>
      <c r="CR13" s="99">
        <v>3.3961796102523607</v>
      </c>
      <c r="CS13" s="99">
        <v>289.35450279350113</v>
      </c>
      <c r="CT13" s="99">
        <v>1.9980750458299856</v>
      </c>
      <c r="CU13" s="99">
        <v>170.23599390471477</v>
      </c>
    </row>
    <row r="14" spans="1:99">
      <c r="C14" s="98" t="s">
        <v>179</v>
      </c>
      <c r="D14" s="99">
        <v>0</v>
      </c>
      <c r="E14" s="99">
        <v>0</v>
      </c>
      <c r="F14" s="99">
        <v>0</v>
      </c>
      <c r="G14" s="99">
        <v>0</v>
      </c>
      <c r="H14" s="99">
        <v>2.7478138689341716</v>
      </c>
      <c r="I14" s="99">
        <v>1342.0322935874494</v>
      </c>
      <c r="J14" s="99">
        <v>1.6288922091674085</v>
      </c>
      <c r="K14" s="99">
        <v>795.55095495736225</v>
      </c>
      <c r="L14" s="99">
        <v>3.8739941046173341</v>
      </c>
      <c r="M14" s="99">
        <v>1892.0587206951059</v>
      </c>
      <c r="N14" s="99">
        <v>3</v>
      </c>
      <c r="O14" s="99">
        <v>1465.1999999999998</v>
      </c>
      <c r="P14" s="99">
        <v>3</v>
      </c>
      <c r="Q14" s="99">
        <v>1465.1999999999998</v>
      </c>
      <c r="R14" s="99">
        <v>0.64900116919319262</v>
      </c>
      <c r="S14" s="99">
        <v>316.97217103395525</v>
      </c>
      <c r="T14" s="99">
        <v>2</v>
      </c>
      <c r="U14" s="99">
        <v>976.8</v>
      </c>
      <c r="V14" s="99">
        <v>3</v>
      </c>
      <c r="W14" s="99">
        <v>1465.1999999999998</v>
      </c>
      <c r="X14" s="99">
        <v>4</v>
      </c>
      <c r="Y14" s="99">
        <v>1953.6</v>
      </c>
      <c r="Z14" s="99">
        <v>3</v>
      </c>
      <c r="AA14" s="99">
        <v>1465.1999999999998</v>
      </c>
      <c r="AB14" s="99">
        <v>3</v>
      </c>
      <c r="AC14" s="99">
        <v>1465.1999999999998</v>
      </c>
      <c r="AD14" s="99">
        <v>2</v>
      </c>
      <c r="AE14" s="99">
        <v>976.8</v>
      </c>
      <c r="AF14" s="99">
        <v>3</v>
      </c>
      <c r="AG14" s="99">
        <v>1465.1999999999998</v>
      </c>
      <c r="AH14" s="99">
        <v>0.88066791218639484</v>
      </c>
      <c r="AI14" s="99">
        <v>430.11820831183525</v>
      </c>
      <c r="AJ14" s="99">
        <v>3</v>
      </c>
      <c r="AK14" s="99">
        <v>1465.1999999999998</v>
      </c>
      <c r="AL14" s="99">
        <v>2</v>
      </c>
      <c r="AM14" s="99">
        <v>976.8</v>
      </c>
      <c r="AN14" s="99">
        <v>3</v>
      </c>
      <c r="AO14" s="99">
        <v>1465.1999999999998</v>
      </c>
      <c r="AP14" s="99">
        <v>3</v>
      </c>
      <c r="AQ14" s="99">
        <v>1465.1999999999998</v>
      </c>
      <c r="AR14" s="99">
        <v>3</v>
      </c>
      <c r="AS14" s="99">
        <v>1465.1999999999998</v>
      </c>
      <c r="AT14" s="99">
        <v>1.7574741620668872</v>
      </c>
      <c r="AU14" s="99">
        <v>858.35038075346768</v>
      </c>
      <c r="AV14" s="99">
        <v>3</v>
      </c>
      <c r="AW14" s="99">
        <v>1465.1999999999998</v>
      </c>
      <c r="AX14" s="99">
        <v>3</v>
      </c>
      <c r="AY14" s="99">
        <v>1465.1999999999998</v>
      </c>
      <c r="AZ14" s="99">
        <v>3</v>
      </c>
      <c r="BA14" s="99">
        <v>1465.1999999999998</v>
      </c>
      <c r="BB14" s="99">
        <v>3</v>
      </c>
      <c r="BC14" s="99">
        <v>1465.1999999999998</v>
      </c>
      <c r="BD14" s="99">
        <v>4</v>
      </c>
      <c r="BE14" s="99">
        <v>1953.6</v>
      </c>
      <c r="BF14" s="99">
        <v>4</v>
      </c>
      <c r="BG14" s="99">
        <v>1953.6</v>
      </c>
      <c r="BH14" s="99">
        <v>4</v>
      </c>
      <c r="BI14" s="99">
        <v>1953.6</v>
      </c>
      <c r="BJ14" s="99">
        <v>2</v>
      </c>
      <c r="BK14" s="99">
        <v>976.8</v>
      </c>
      <c r="BL14" s="99">
        <v>3.627927979140567</v>
      </c>
      <c r="BM14" s="99">
        <v>1771.8800250122529</v>
      </c>
      <c r="BN14" s="99">
        <v>2.6216113078569849</v>
      </c>
      <c r="BO14" s="99">
        <v>1280.3949627573513</v>
      </c>
      <c r="BP14" s="99">
        <v>3</v>
      </c>
      <c r="BQ14" s="99">
        <v>1465.1999999999998</v>
      </c>
      <c r="BR14" s="99">
        <v>1.7615713204399046</v>
      </c>
      <c r="BS14" s="99">
        <v>860.35143290284941</v>
      </c>
      <c r="BT14" s="99">
        <v>4</v>
      </c>
      <c r="BU14" s="99">
        <v>1953.6</v>
      </c>
      <c r="BV14" s="99">
        <v>2.8689079477022457</v>
      </c>
      <c r="BW14" s="99">
        <v>1401.1746416577766</v>
      </c>
      <c r="BX14" s="99">
        <v>2.3665554424204225</v>
      </c>
      <c r="BY14" s="99">
        <v>1155.8256780781344</v>
      </c>
      <c r="BZ14" s="99">
        <v>0</v>
      </c>
      <c r="CA14" s="99">
        <v>0</v>
      </c>
      <c r="CB14" s="99">
        <v>3</v>
      </c>
      <c r="CC14" s="99">
        <v>1465.1999999999998</v>
      </c>
      <c r="CD14" s="99">
        <v>3</v>
      </c>
      <c r="CE14" s="99">
        <v>1465.1999999999998</v>
      </c>
      <c r="CF14" s="99">
        <v>4</v>
      </c>
      <c r="CG14" s="99">
        <v>1953.6</v>
      </c>
      <c r="CH14" s="99">
        <v>0.59673061287141316</v>
      </c>
      <c r="CI14" s="99">
        <v>291.44323132639818</v>
      </c>
      <c r="CJ14" s="99">
        <v>0</v>
      </c>
      <c r="CK14" s="99">
        <v>0</v>
      </c>
      <c r="CL14" s="99">
        <v>0</v>
      </c>
      <c r="CM14" s="99">
        <v>0</v>
      </c>
      <c r="CN14" s="99">
        <v>3</v>
      </c>
      <c r="CO14" s="99">
        <v>1465.1999999999998</v>
      </c>
      <c r="CP14" s="99">
        <v>3</v>
      </c>
      <c r="CQ14" s="99">
        <v>1465.1999999999998</v>
      </c>
      <c r="CR14" s="99">
        <v>3.3961796102523607</v>
      </c>
      <c r="CS14" s="99">
        <v>1658.6941216472528</v>
      </c>
      <c r="CT14" s="99">
        <v>1.4985562843724893</v>
      </c>
      <c r="CU14" s="99">
        <v>731.89488928752371</v>
      </c>
    </row>
    <row r="15" spans="1:99">
      <c r="C15" s="98" t="s">
        <v>180</v>
      </c>
      <c r="D15" s="99">
        <v>0</v>
      </c>
      <c r="E15" s="99">
        <v>0</v>
      </c>
      <c r="F15" s="99">
        <v>0</v>
      </c>
      <c r="G15" s="99">
        <v>0</v>
      </c>
      <c r="H15" s="99">
        <v>2.7478138689341716</v>
      </c>
      <c r="I15" s="99">
        <v>2097.1315447705597</v>
      </c>
      <c r="J15" s="99">
        <v>1.6806347112419375</v>
      </c>
      <c r="K15" s="99">
        <v>1282.6604116198466</v>
      </c>
      <c r="L15" s="99">
        <v>3.8739941046173341</v>
      </c>
      <c r="M15" s="99">
        <v>2956.6323006439493</v>
      </c>
      <c r="N15" s="99">
        <v>3</v>
      </c>
      <c r="O15" s="99">
        <v>2289.6</v>
      </c>
      <c r="P15" s="99">
        <v>3</v>
      </c>
      <c r="Q15" s="99">
        <v>2289.6</v>
      </c>
      <c r="R15" s="99">
        <v>0.86533489225759008</v>
      </c>
      <c r="S15" s="99">
        <v>660.42358977099275</v>
      </c>
      <c r="T15" s="99">
        <v>2</v>
      </c>
      <c r="U15" s="99">
        <v>1526.3999999999999</v>
      </c>
      <c r="V15" s="99">
        <v>3</v>
      </c>
      <c r="W15" s="99">
        <v>2289.6</v>
      </c>
      <c r="X15" s="99">
        <v>4</v>
      </c>
      <c r="Y15" s="99">
        <v>3052.7999999999997</v>
      </c>
      <c r="Z15" s="99">
        <v>4</v>
      </c>
      <c r="AA15" s="99">
        <v>3052.7999999999997</v>
      </c>
      <c r="AB15" s="99">
        <v>3</v>
      </c>
      <c r="AC15" s="99">
        <v>2289.6</v>
      </c>
      <c r="AD15" s="99">
        <v>2</v>
      </c>
      <c r="AE15" s="99">
        <v>1526.3999999999999</v>
      </c>
      <c r="AF15" s="99">
        <v>3</v>
      </c>
      <c r="AG15" s="99">
        <v>2289.6</v>
      </c>
      <c r="AH15" s="99">
        <v>0.88066791218639484</v>
      </c>
      <c r="AI15" s="99">
        <v>672.12575058065647</v>
      </c>
      <c r="AJ15" s="99">
        <v>3</v>
      </c>
      <c r="AK15" s="99">
        <v>2289.6</v>
      </c>
      <c r="AL15" s="99">
        <v>3</v>
      </c>
      <c r="AM15" s="99">
        <v>2289.6</v>
      </c>
      <c r="AN15" s="99">
        <v>4</v>
      </c>
      <c r="AO15" s="99">
        <v>3052.7999999999997</v>
      </c>
      <c r="AP15" s="99">
        <v>3</v>
      </c>
      <c r="AQ15" s="99">
        <v>2289.6</v>
      </c>
      <c r="AR15" s="99">
        <v>3</v>
      </c>
      <c r="AS15" s="99">
        <v>2289.6</v>
      </c>
      <c r="AT15" s="99">
        <v>1.7574741620668872</v>
      </c>
      <c r="AU15" s="99">
        <v>1341.3042804894483</v>
      </c>
      <c r="AV15" s="99">
        <v>3</v>
      </c>
      <c r="AW15" s="99">
        <v>2289.6</v>
      </c>
      <c r="AX15" s="99">
        <v>3</v>
      </c>
      <c r="AY15" s="99">
        <v>2289.6</v>
      </c>
      <c r="AZ15" s="99">
        <v>3</v>
      </c>
      <c r="BA15" s="99">
        <v>2289.6</v>
      </c>
      <c r="BB15" s="99">
        <v>3</v>
      </c>
      <c r="BC15" s="99">
        <v>2289.6</v>
      </c>
      <c r="BD15" s="99">
        <v>5</v>
      </c>
      <c r="BE15" s="99">
        <v>3815.9999999999995</v>
      </c>
      <c r="BF15" s="99">
        <v>4</v>
      </c>
      <c r="BG15" s="99">
        <v>3052.7999999999997</v>
      </c>
      <c r="BH15" s="99">
        <v>4</v>
      </c>
      <c r="BI15" s="99">
        <v>3052.7999999999997</v>
      </c>
      <c r="BJ15" s="99">
        <v>2</v>
      </c>
      <c r="BK15" s="99">
        <v>1526.3999999999999</v>
      </c>
      <c r="BL15" s="99">
        <v>3.627927979140567</v>
      </c>
      <c r="BM15" s="99">
        <v>2768.8346336800805</v>
      </c>
      <c r="BN15" s="99">
        <v>2.6893771765949102</v>
      </c>
      <c r="BO15" s="99">
        <v>2052.5326611772352</v>
      </c>
      <c r="BP15" s="99">
        <v>3</v>
      </c>
      <c r="BQ15" s="99">
        <v>2289.6</v>
      </c>
      <c r="BR15" s="99">
        <v>1.1743808802932698</v>
      </c>
      <c r="BS15" s="99">
        <v>896.28748783982348</v>
      </c>
      <c r="BT15" s="99">
        <v>3</v>
      </c>
      <c r="BU15" s="99">
        <v>2289.6</v>
      </c>
      <c r="BV15" s="99">
        <v>2.8689079477022457</v>
      </c>
      <c r="BW15" s="99">
        <v>2189.5505456863539</v>
      </c>
      <c r="BX15" s="99">
        <v>2.3665554424204225</v>
      </c>
      <c r="BY15" s="99">
        <v>1806.1551136552662</v>
      </c>
      <c r="BZ15" s="99">
        <v>0</v>
      </c>
      <c r="CA15" s="99">
        <v>0</v>
      </c>
      <c r="CB15" s="99">
        <v>3</v>
      </c>
      <c r="CC15" s="99">
        <v>2289.6</v>
      </c>
      <c r="CD15" s="99">
        <v>3</v>
      </c>
      <c r="CE15" s="99">
        <v>2289.6</v>
      </c>
      <c r="CF15" s="99">
        <v>4</v>
      </c>
      <c r="CG15" s="99">
        <v>3052.7999999999997</v>
      </c>
      <c r="CH15" s="99">
        <v>0.79564081716188428</v>
      </c>
      <c r="CI15" s="99">
        <v>607.23307165795006</v>
      </c>
      <c r="CJ15" s="99">
        <v>0</v>
      </c>
      <c r="CK15" s="99">
        <v>0</v>
      </c>
      <c r="CL15" s="99">
        <v>0</v>
      </c>
      <c r="CM15" s="99">
        <v>0</v>
      </c>
      <c r="CN15" s="99">
        <v>3</v>
      </c>
      <c r="CO15" s="99">
        <v>2289.6</v>
      </c>
      <c r="CP15" s="99">
        <v>2</v>
      </c>
      <c r="CQ15" s="99">
        <v>1526.3999999999999</v>
      </c>
      <c r="CR15" s="99">
        <v>3.3961796102523607</v>
      </c>
      <c r="CS15" s="99">
        <v>2591.9642785446013</v>
      </c>
      <c r="CT15" s="99">
        <v>1.4985562843724893</v>
      </c>
      <c r="CU15" s="99">
        <v>1143.6981562330839</v>
      </c>
    </row>
    <row r="16" spans="1:99">
      <c r="C16" s="98" t="s">
        <v>181</v>
      </c>
      <c r="D16" s="99">
        <v>0</v>
      </c>
      <c r="E16" s="99">
        <v>0</v>
      </c>
      <c r="F16" s="99">
        <v>0</v>
      </c>
      <c r="G16" s="99">
        <v>0</v>
      </c>
      <c r="H16" s="99">
        <v>2.7478138689341716</v>
      </c>
      <c r="I16" s="99">
        <v>936.45496653276575</v>
      </c>
      <c r="J16" s="99">
        <v>1.6806347112419375</v>
      </c>
      <c r="K16" s="99">
        <v>572.76030959125228</v>
      </c>
      <c r="L16" s="99">
        <v>3.0487929255408006</v>
      </c>
      <c r="M16" s="99">
        <v>1039.0286290243048</v>
      </c>
      <c r="N16" s="99">
        <v>3</v>
      </c>
      <c r="O16" s="99">
        <v>1022.4000000000001</v>
      </c>
      <c r="P16" s="99">
        <v>3</v>
      </c>
      <c r="Q16" s="99">
        <v>1022.4000000000001</v>
      </c>
      <c r="R16" s="99">
        <v>0.86533489225759008</v>
      </c>
      <c r="S16" s="99">
        <v>294.90613128138671</v>
      </c>
      <c r="T16" s="99">
        <v>2</v>
      </c>
      <c r="U16" s="99">
        <v>681.6</v>
      </c>
      <c r="V16" s="99">
        <v>3</v>
      </c>
      <c r="W16" s="99">
        <v>1022.4000000000001</v>
      </c>
      <c r="X16" s="99">
        <v>4</v>
      </c>
      <c r="Y16" s="99">
        <v>1363.2</v>
      </c>
      <c r="Z16" s="99">
        <v>4</v>
      </c>
      <c r="AA16" s="99">
        <v>1363.2</v>
      </c>
      <c r="AB16" s="99">
        <v>3</v>
      </c>
      <c r="AC16" s="99">
        <v>1022.4000000000001</v>
      </c>
      <c r="AD16" s="99">
        <v>3</v>
      </c>
      <c r="AE16" s="99">
        <v>1022.4000000000001</v>
      </c>
      <c r="AF16" s="99">
        <v>3</v>
      </c>
      <c r="AG16" s="99">
        <v>1022.4000000000001</v>
      </c>
      <c r="AH16" s="99">
        <v>0.88066791218639484</v>
      </c>
      <c r="AI16" s="99">
        <v>300.1316244731234</v>
      </c>
      <c r="AJ16" s="99">
        <v>3</v>
      </c>
      <c r="AK16" s="99">
        <v>1022.4000000000001</v>
      </c>
      <c r="AL16" s="99">
        <v>3</v>
      </c>
      <c r="AM16" s="99">
        <v>1022.4000000000001</v>
      </c>
      <c r="AN16" s="99">
        <v>3</v>
      </c>
      <c r="AO16" s="99">
        <v>1022.4000000000001</v>
      </c>
      <c r="AP16" s="99">
        <v>3</v>
      </c>
      <c r="AQ16" s="99">
        <v>1022.4000000000001</v>
      </c>
      <c r="AR16" s="99">
        <v>4</v>
      </c>
      <c r="AS16" s="99">
        <v>1363.2</v>
      </c>
      <c r="AT16" s="99">
        <v>1.7574741620668872</v>
      </c>
      <c r="AU16" s="99">
        <v>598.94719443239524</v>
      </c>
      <c r="AV16" s="99">
        <v>3</v>
      </c>
      <c r="AW16" s="99">
        <v>1022.4000000000001</v>
      </c>
      <c r="AX16" s="99">
        <v>3</v>
      </c>
      <c r="AY16" s="99">
        <v>1022.4000000000001</v>
      </c>
      <c r="AZ16" s="99">
        <v>3</v>
      </c>
      <c r="BA16" s="99">
        <v>1022.4000000000001</v>
      </c>
      <c r="BB16" s="99">
        <v>3</v>
      </c>
      <c r="BC16" s="99">
        <v>1022.4000000000001</v>
      </c>
      <c r="BD16" s="99">
        <v>4</v>
      </c>
      <c r="BE16" s="99">
        <v>1363.2</v>
      </c>
      <c r="BF16" s="99">
        <v>4</v>
      </c>
      <c r="BG16" s="99">
        <v>1363.2</v>
      </c>
      <c r="BH16" s="99">
        <v>4</v>
      </c>
      <c r="BI16" s="99">
        <v>1363.2</v>
      </c>
      <c r="BJ16" s="99">
        <v>2</v>
      </c>
      <c r="BK16" s="99">
        <v>681.6</v>
      </c>
      <c r="BL16" s="99">
        <v>3.627927979140567</v>
      </c>
      <c r="BM16" s="99">
        <v>1236.3978552911053</v>
      </c>
      <c r="BN16" s="99">
        <v>2.7119657995075519</v>
      </c>
      <c r="BO16" s="99">
        <v>924.23794447217369</v>
      </c>
      <c r="BP16" s="99">
        <v>4</v>
      </c>
      <c r="BQ16" s="99">
        <v>1363.2</v>
      </c>
      <c r="BR16" s="99">
        <v>1.7615713204399046</v>
      </c>
      <c r="BS16" s="99">
        <v>600.34350600591949</v>
      </c>
      <c r="BT16" s="99">
        <v>3</v>
      </c>
      <c r="BU16" s="99">
        <v>1022.4000000000001</v>
      </c>
      <c r="BV16" s="99">
        <v>2.8689079477022457</v>
      </c>
      <c r="BW16" s="99">
        <v>977.72382857692537</v>
      </c>
      <c r="BX16" s="99">
        <v>2.3665554424204225</v>
      </c>
      <c r="BY16" s="99">
        <v>806.52209477687995</v>
      </c>
      <c r="BZ16" s="99">
        <v>0</v>
      </c>
      <c r="CA16" s="99">
        <v>0</v>
      </c>
      <c r="CB16" s="99">
        <v>4</v>
      </c>
      <c r="CC16" s="99">
        <v>1363.2</v>
      </c>
      <c r="CD16" s="99">
        <v>3</v>
      </c>
      <c r="CE16" s="99">
        <v>1022.4000000000001</v>
      </c>
      <c r="CF16" s="99">
        <v>4</v>
      </c>
      <c r="CG16" s="99">
        <v>1363.2</v>
      </c>
      <c r="CH16" s="99">
        <v>0.79564081716188428</v>
      </c>
      <c r="CI16" s="99">
        <v>271.15439048877016</v>
      </c>
      <c r="CJ16" s="99">
        <v>0</v>
      </c>
      <c r="CK16" s="99">
        <v>0</v>
      </c>
      <c r="CL16" s="99">
        <v>0</v>
      </c>
      <c r="CM16" s="99">
        <v>0</v>
      </c>
      <c r="CN16" s="99">
        <v>3</v>
      </c>
      <c r="CO16" s="99">
        <v>1022.4000000000001</v>
      </c>
      <c r="CP16" s="99">
        <v>3</v>
      </c>
      <c r="CQ16" s="99">
        <v>1022.4000000000001</v>
      </c>
      <c r="CR16" s="99">
        <v>3.3961796102523607</v>
      </c>
      <c r="CS16" s="99">
        <v>1157.4180111740045</v>
      </c>
      <c r="CT16" s="99">
        <v>1.4985562843724893</v>
      </c>
      <c r="CU16" s="99">
        <v>510.70798171414441</v>
      </c>
    </row>
    <row r="17" spans="2:99">
      <c r="C17" s="98" t="s">
        <v>182</v>
      </c>
      <c r="D17" s="99">
        <v>0</v>
      </c>
      <c r="E17" s="99">
        <v>0</v>
      </c>
      <c r="F17" s="99">
        <v>0</v>
      </c>
      <c r="G17" s="99">
        <v>0</v>
      </c>
      <c r="H17" s="99">
        <v>2.7478138689341716</v>
      </c>
      <c r="I17" s="99">
        <v>1160.676578237794</v>
      </c>
      <c r="J17" s="99">
        <v>1.6288922091674085</v>
      </c>
      <c r="K17" s="99">
        <v>688.04406915231334</v>
      </c>
      <c r="L17" s="99">
        <v>3.8739941046173341</v>
      </c>
      <c r="M17" s="99">
        <v>1636.3751097903619</v>
      </c>
      <c r="N17" s="99">
        <v>3</v>
      </c>
      <c r="O17" s="99">
        <v>1267.1999999999998</v>
      </c>
      <c r="P17" s="99">
        <v>3</v>
      </c>
      <c r="Q17" s="99">
        <v>1267.1999999999998</v>
      </c>
      <c r="R17" s="99">
        <v>0.86533489225759008</v>
      </c>
      <c r="S17" s="99">
        <v>365.51745848960604</v>
      </c>
      <c r="T17" s="99">
        <v>2</v>
      </c>
      <c r="U17" s="99">
        <v>844.8</v>
      </c>
      <c r="V17" s="99">
        <v>3</v>
      </c>
      <c r="W17" s="99">
        <v>1267.1999999999998</v>
      </c>
      <c r="X17" s="99">
        <v>3</v>
      </c>
      <c r="Y17" s="99">
        <v>1267.1999999999998</v>
      </c>
      <c r="Z17" s="99">
        <v>4</v>
      </c>
      <c r="AA17" s="99">
        <v>1689.6</v>
      </c>
      <c r="AB17" s="99">
        <v>3</v>
      </c>
      <c r="AC17" s="99">
        <v>1267.1999999999998</v>
      </c>
      <c r="AD17" s="99">
        <v>2</v>
      </c>
      <c r="AE17" s="99">
        <v>844.8</v>
      </c>
      <c r="AF17" s="99">
        <v>3</v>
      </c>
      <c r="AG17" s="99">
        <v>1267.1999999999998</v>
      </c>
      <c r="AH17" s="99">
        <v>0.88066791218639484</v>
      </c>
      <c r="AI17" s="99">
        <v>371.99412610753313</v>
      </c>
      <c r="AJ17" s="99">
        <v>3</v>
      </c>
      <c r="AK17" s="99">
        <v>1267.1999999999998</v>
      </c>
      <c r="AL17" s="99">
        <v>3</v>
      </c>
      <c r="AM17" s="99">
        <v>1267.1999999999998</v>
      </c>
      <c r="AN17" s="99">
        <v>4</v>
      </c>
      <c r="AO17" s="99">
        <v>1689.6</v>
      </c>
      <c r="AP17" s="99">
        <v>3</v>
      </c>
      <c r="AQ17" s="99">
        <v>1267.1999999999998</v>
      </c>
      <c r="AR17" s="99">
        <v>4</v>
      </c>
      <c r="AS17" s="99">
        <v>1689.6</v>
      </c>
      <c r="AT17" s="99">
        <v>1.7574741620668872</v>
      </c>
      <c r="AU17" s="99">
        <v>742.35708605705315</v>
      </c>
      <c r="AV17" s="99">
        <v>3</v>
      </c>
      <c r="AW17" s="99">
        <v>1267.1999999999998</v>
      </c>
      <c r="AX17" s="99">
        <v>3</v>
      </c>
      <c r="AY17" s="99">
        <v>1267.1999999999998</v>
      </c>
      <c r="AZ17" s="99">
        <v>3</v>
      </c>
      <c r="BA17" s="99">
        <v>1267.1999999999998</v>
      </c>
      <c r="BB17" s="99">
        <v>3</v>
      </c>
      <c r="BC17" s="99">
        <v>1267.1999999999998</v>
      </c>
      <c r="BD17" s="99">
        <v>5</v>
      </c>
      <c r="BE17" s="99">
        <v>2112</v>
      </c>
      <c r="BF17" s="99">
        <v>4</v>
      </c>
      <c r="BG17" s="99">
        <v>1689.6</v>
      </c>
      <c r="BH17" s="99">
        <v>3</v>
      </c>
      <c r="BI17" s="99">
        <v>1267.1999999999998</v>
      </c>
      <c r="BJ17" s="99">
        <v>2</v>
      </c>
      <c r="BK17" s="99">
        <v>844.8</v>
      </c>
      <c r="BL17" s="99">
        <v>4.5349099739257088</v>
      </c>
      <c r="BM17" s="99">
        <v>1915.5459729862193</v>
      </c>
      <c r="BN17" s="99">
        <v>2.011718489215657</v>
      </c>
      <c r="BO17" s="99">
        <v>849.74988984469348</v>
      </c>
      <c r="BP17" s="99">
        <v>4</v>
      </c>
      <c r="BQ17" s="99">
        <v>1689.6</v>
      </c>
      <c r="BR17" s="99">
        <v>1.7615713204399046</v>
      </c>
      <c r="BS17" s="99">
        <v>744.08772575381568</v>
      </c>
      <c r="BT17" s="99">
        <v>4</v>
      </c>
      <c r="BU17" s="99">
        <v>1689.6</v>
      </c>
      <c r="BV17" s="99">
        <v>2.8689079477022457</v>
      </c>
      <c r="BW17" s="99">
        <v>1211.8267171094285</v>
      </c>
      <c r="BX17" s="99">
        <v>2.3665554424204225</v>
      </c>
      <c r="BY17" s="99">
        <v>999.63301887838645</v>
      </c>
      <c r="BZ17" s="99">
        <v>0</v>
      </c>
      <c r="CA17" s="99">
        <v>0</v>
      </c>
      <c r="CB17" s="99">
        <v>4</v>
      </c>
      <c r="CC17" s="99">
        <v>1689.6</v>
      </c>
      <c r="CD17" s="99">
        <v>4</v>
      </c>
      <c r="CE17" s="99">
        <v>1689.6</v>
      </c>
      <c r="CF17" s="99">
        <v>4</v>
      </c>
      <c r="CG17" s="99">
        <v>1689.6</v>
      </c>
      <c r="CH17" s="99">
        <v>0.79564081716188428</v>
      </c>
      <c r="CI17" s="99">
        <v>336.0786811691799</v>
      </c>
      <c r="CJ17" s="99">
        <v>0</v>
      </c>
      <c r="CK17" s="99">
        <v>0</v>
      </c>
      <c r="CL17" s="99">
        <v>0</v>
      </c>
      <c r="CM17" s="99">
        <v>0</v>
      </c>
      <c r="CN17" s="99">
        <v>3</v>
      </c>
      <c r="CO17" s="99">
        <v>1267.1999999999998</v>
      </c>
      <c r="CP17" s="99">
        <v>3</v>
      </c>
      <c r="CQ17" s="99">
        <v>1267.1999999999998</v>
      </c>
      <c r="CR17" s="99">
        <v>3.3961796102523607</v>
      </c>
      <c r="CS17" s="99">
        <v>1434.546267370597</v>
      </c>
      <c r="CT17" s="99">
        <v>1.9980750458299856</v>
      </c>
      <c r="CU17" s="99">
        <v>843.9868993585859</v>
      </c>
    </row>
    <row r="18" spans="2:99">
      <c r="C18" s="98" t="s">
        <v>183</v>
      </c>
      <c r="D18" s="99">
        <v>0</v>
      </c>
      <c r="E18" s="99">
        <v>0</v>
      </c>
      <c r="F18" s="99">
        <v>0</v>
      </c>
      <c r="G18" s="99">
        <v>0</v>
      </c>
      <c r="H18" s="99">
        <v>2.7478138689341716</v>
      </c>
      <c r="I18" s="99">
        <v>1793.772893640227</v>
      </c>
      <c r="J18" s="99">
        <v>1.6834028406714552</v>
      </c>
      <c r="K18" s="99">
        <v>1098.9253743903259</v>
      </c>
      <c r="L18" s="99">
        <v>3.8739941046173341</v>
      </c>
      <c r="M18" s="99">
        <v>2528.9433514941957</v>
      </c>
      <c r="N18" s="99">
        <v>3</v>
      </c>
      <c r="O18" s="99">
        <v>1958.3999999999999</v>
      </c>
      <c r="P18" s="99">
        <v>4</v>
      </c>
      <c r="Q18" s="99">
        <v>2611.1999999999998</v>
      </c>
      <c r="R18" s="99">
        <v>0.86533489225759008</v>
      </c>
      <c r="S18" s="99">
        <v>564.8906176657548</v>
      </c>
      <c r="T18" s="99">
        <v>2</v>
      </c>
      <c r="U18" s="99">
        <v>1305.5999999999999</v>
      </c>
      <c r="V18" s="99">
        <v>3</v>
      </c>
      <c r="W18" s="99">
        <v>1958.3999999999999</v>
      </c>
      <c r="X18" s="99">
        <v>3</v>
      </c>
      <c r="Y18" s="99">
        <v>1958.3999999999999</v>
      </c>
      <c r="Z18" s="99">
        <v>4</v>
      </c>
      <c r="AA18" s="99">
        <v>2611.1999999999998</v>
      </c>
      <c r="AB18" s="99">
        <v>3</v>
      </c>
      <c r="AC18" s="99">
        <v>1958.3999999999999</v>
      </c>
      <c r="AD18" s="99">
        <v>2</v>
      </c>
      <c r="AE18" s="99">
        <v>1305.5999999999999</v>
      </c>
      <c r="AF18" s="99">
        <v>3</v>
      </c>
      <c r="AG18" s="99">
        <v>1958.3999999999999</v>
      </c>
      <c r="AH18" s="99">
        <v>0.88066791218639484</v>
      </c>
      <c r="AI18" s="99">
        <v>574.90001307527848</v>
      </c>
      <c r="AJ18" s="99">
        <v>3</v>
      </c>
      <c r="AK18" s="99">
        <v>1958.3999999999999</v>
      </c>
      <c r="AL18" s="99">
        <v>3</v>
      </c>
      <c r="AM18" s="99">
        <v>1958.3999999999999</v>
      </c>
      <c r="AN18" s="99">
        <v>4</v>
      </c>
      <c r="AO18" s="99">
        <v>2611.1999999999998</v>
      </c>
      <c r="AP18" s="99">
        <v>3</v>
      </c>
      <c r="AQ18" s="99">
        <v>1958.3999999999999</v>
      </c>
      <c r="AR18" s="99">
        <v>4</v>
      </c>
      <c r="AS18" s="99">
        <v>2611.1999999999998</v>
      </c>
      <c r="AT18" s="99">
        <v>1.7574741620668872</v>
      </c>
      <c r="AU18" s="99">
        <v>1147.2791329972638</v>
      </c>
      <c r="AV18" s="99">
        <v>3</v>
      </c>
      <c r="AW18" s="99">
        <v>1958.3999999999999</v>
      </c>
      <c r="AX18" s="99">
        <v>3</v>
      </c>
      <c r="AY18" s="99">
        <v>1958.3999999999999</v>
      </c>
      <c r="AZ18" s="99">
        <v>3</v>
      </c>
      <c r="BA18" s="99">
        <v>1958.3999999999999</v>
      </c>
      <c r="BB18" s="99">
        <v>3</v>
      </c>
      <c r="BC18" s="99">
        <v>1958.3999999999999</v>
      </c>
      <c r="BD18" s="99">
        <v>5</v>
      </c>
      <c r="BE18" s="99">
        <v>3264</v>
      </c>
      <c r="BF18" s="99">
        <v>4</v>
      </c>
      <c r="BG18" s="99">
        <v>2611.1999999999998</v>
      </c>
      <c r="BH18" s="99">
        <v>4</v>
      </c>
      <c r="BI18" s="99">
        <v>2611.1999999999998</v>
      </c>
      <c r="BJ18" s="99">
        <v>3</v>
      </c>
      <c r="BK18" s="99">
        <v>1958.3999999999999</v>
      </c>
      <c r="BL18" s="99">
        <v>3.627927979140567</v>
      </c>
      <c r="BM18" s="99">
        <v>2368.3113847829618</v>
      </c>
      <c r="BN18" s="99">
        <v>2.6667885536822689</v>
      </c>
      <c r="BO18" s="99">
        <v>1740.879567843785</v>
      </c>
      <c r="BP18" s="99">
        <v>4</v>
      </c>
      <c r="BQ18" s="99">
        <v>2611.1999999999998</v>
      </c>
      <c r="BR18" s="99">
        <v>1.7615713204399046</v>
      </c>
      <c r="BS18" s="99">
        <v>1149.9537579831697</v>
      </c>
      <c r="BT18" s="99">
        <v>3</v>
      </c>
      <c r="BU18" s="99">
        <v>1958.3999999999999</v>
      </c>
      <c r="BV18" s="99">
        <v>2.8689079477022457</v>
      </c>
      <c r="BW18" s="99">
        <v>1872.8231082600259</v>
      </c>
      <c r="BX18" s="99">
        <v>2.3665554424204225</v>
      </c>
      <c r="BY18" s="99">
        <v>1544.8873928120518</v>
      </c>
      <c r="BZ18" s="99">
        <v>0</v>
      </c>
      <c r="CA18" s="99">
        <v>0</v>
      </c>
      <c r="CB18" s="99">
        <v>3</v>
      </c>
      <c r="CC18" s="99">
        <v>1958.3999999999999</v>
      </c>
      <c r="CD18" s="99">
        <v>3</v>
      </c>
      <c r="CE18" s="99">
        <v>1958.3999999999999</v>
      </c>
      <c r="CF18" s="99">
        <v>4</v>
      </c>
      <c r="CG18" s="99">
        <v>2611.1999999999998</v>
      </c>
      <c r="CH18" s="99">
        <v>0.79564081716188428</v>
      </c>
      <c r="CI18" s="99">
        <v>519.39432544327803</v>
      </c>
      <c r="CJ18" s="99">
        <v>0</v>
      </c>
      <c r="CK18" s="99">
        <v>0</v>
      </c>
      <c r="CL18" s="99">
        <v>0</v>
      </c>
      <c r="CM18" s="99">
        <v>0</v>
      </c>
      <c r="CN18" s="99">
        <v>3</v>
      </c>
      <c r="CO18" s="99">
        <v>1958.3999999999999</v>
      </c>
      <c r="CP18" s="99">
        <v>3</v>
      </c>
      <c r="CQ18" s="99">
        <v>1958.3999999999999</v>
      </c>
      <c r="CR18" s="99">
        <v>3.3961796102523607</v>
      </c>
      <c r="CS18" s="99">
        <v>2217.0260495727407</v>
      </c>
      <c r="CT18" s="99">
        <v>1.4985562843724893</v>
      </c>
      <c r="CU18" s="99">
        <v>978.25754243836093</v>
      </c>
    </row>
    <row r="19" spans="2:99">
      <c r="C19" s="98" t="s">
        <v>184</v>
      </c>
      <c r="D19" s="99">
        <v>0</v>
      </c>
      <c r="E19" s="99">
        <v>0</v>
      </c>
      <c r="F19" s="99">
        <v>0</v>
      </c>
      <c r="G19" s="99">
        <v>0</v>
      </c>
      <c r="H19" s="99">
        <v>2.7478138689341716</v>
      </c>
      <c r="I19" s="99">
        <v>906.77857674827658</v>
      </c>
      <c r="J19" s="99">
        <v>2.0351537215866053</v>
      </c>
      <c r="K19" s="99">
        <v>671.60072812357976</v>
      </c>
      <c r="L19" s="99">
        <v>4.0487929255408002</v>
      </c>
      <c r="M19" s="99">
        <v>1336.101665428464</v>
      </c>
      <c r="N19" s="99">
        <v>3</v>
      </c>
      <c r="O19" s="99">
        <v>990</v>
      </c>
      <c r="P19" s="99">
        <v>4</v>
      </c>
      <c r="Q19" s="99">
        <v>1320</v>
      </c>
      <c r="R19" s="99">
        <v>0.86533489225759008</v>
      </c>
      <c r="S19" s="99">
        <v>285.56051444500474</v>
      </c>
      <c r="T19" s="99">
        <v>2</v>
      </c>
      <c r="U19" s="99">
        <v>660</v>
      </c>
      <c r="V19" s="99">
        <v>3</v>
      </c>
      <c r="W19" s="99">
        <v>990</v>
      </c>
      <c r="X19" s="99">
        <v>3</v>
      </c>
      <c r="Y19" s="99">
        <v>990</v>
      </c>
      <c r="Z19" s="99">
        <v>3</v>
      </c>
      <c r="AA19" s="99">
        <v>990</v>
      </c>
      <c r="AB19" s="99">
        <v>3</v>
      </c>
      <c r="AC19" s="99">
        <v>990</v>
      </c>
      <c r="AD19" s="99">
        <v>2</v>
      </c>
      <c r="AE19" s="99">
        <v>660</v>
      </c>
      <c r="AF19" s="99">
        <v>3</v>
      </c>
      <c r="AG19" s="99">
        <v>990</v>
      </c>
      <c r="AH19" s="99">
        <v>1.1008348902329936</v>
      </c>
      <c r="AI19" s="99">
        <v>363.27551377688792</v>
      </c>
      <c r="AJ19" s="99">
        <v>3</v>
      </c>
      <c r="AK19" s="99">
        <v>990</v>
      </c>
      <c r="AL19" s="99">
        <v>3</v>
      </c>
      <c r="AM19" s="99">
        <v>990</v>
      </c>
      <c r="AN19" s="99">
        <v>4</v>
      </c>
      <c r="AO19" s="99">
        <v>1320</v>
      </c>
      <c r="AP19" s="99">
        <v>3</v>
      </c>
      <c r="AQ19" s="99">
        <v>990</v>
      </c>
      <c r="AR19" s="99">
        <v>4</v>
      </c>
      <c r="AS19" s="99">
        <v>1320</v>
      </c>
      <c r="AT19" s="99">
        <v>1.7574741620668872</v>
      </c>
      <c r="AU19" s="99">
        <v>579.96647348207273</v>
      </c>
      <c r="AV19" s="99">
        <v>3</v>
      </c>
      <c r="AW19" s="99">
        <v>990</v>
      </c>
      <c r="AX19" s="99">
        <v>3</v>
      </c>
      <c r="AY19" s="99">
        <v>990</v>
      </c>
      <c r="AZ19" s="99">
        <v>3</v>
      </c>
      <c r="BA19" s="99">
        <v>990</v>
      </c>
      <c r="BB19" s="99">
        <v>3</v>
      </c>
      <c r="BC19" s="99">
        <v>990</v>
      </c>
      <c r="BD19" s="99">
        <v>5</v>
      </c>
      <c r="BE19" s="99">
        <v>1650</v>
      </c>
      <c r="BF19" s="99">
        <v>4</v>
      </c>
      <c r="BG19" s="99">
        <v>1320</v>
      </c>
      <c r="BH19" s="99">
        <v>4</v>
      </c>
      <c r="BI19" s="99">
        <v>1320</v>
      </c>
      <c r="BJ19" s="99">
        <v>3</v>
      </c>
      <c r="BK19" s="99">
        <v>990</v>
      </c>
      <c r="BL19" s="99">
        <v>3.627927979140567</v>
      </c>
      <c r="BM19" s="99">
        <v>1197.216233116387</v>
      </c>
      <c r="BN19" s="99">
        <v>2.011718489215657</v>
      </c>
      <c r="BO19" s="99">
        <v>663.86710144116682</v>
      </c>
      <c r="BP19" s="99">
        <v>4</v>
      </c>
      <c r="BQ19" s="99">
        <v>1320</v>
      </c>
      <c r="BR19" s="99">
        <v>1.7615713204399046</v>
      </c>
      <c r="BS19" s="99">
        <v>581.31853574516856</v>
      </c>
      <c r="BT19" s="99">
        <v>3</v>
      </c>
      <c r="BU19" s="99">
        <v>990</v>
      </c>
      <c r="BV19" s="99">
        <v>2.8689079477022457</v>
      </c>
      <c r="BW19" s="99">
        <v>946.73962274174107</v>
      </c>
      <c r="BX19" s="99">
        <v>2.3665554424204225</v>
      </c>
      <c r="BY19" s="99">
        <v>780.96329599873945</v>
      </c>
      <c r="BZ19" s="99">
        <v>0</v>
      </c>
      <c r="CA19" s="99">
        <v>0</v>
      </c>
      <c r="CB19" s="99">
        <v>4</v>
      </c>
      <c r="CC19" s="99">
        <v>1320</v>
      </c>
      <c r="CD19" s="99">
        <v>4</v>
      </c>
      <c r="CE19" s="99">
        <v>1320</v>
      </c>
      <c r="CF19" s="99">
        <v>4</v>
      </c>
      <c r="CG19" s="99">
        <v>1320</v>
      </c>
      <c r="CH19" s="99">
        <v>0.79564081716188428</v>
      </c>
      <c r="CI19" s="99">
        <v>262.5614696634218</v>
      </c>
      <c r="CJ19" s="99">
        <v>0</v>
      </c>
      <c r="CK19" s="99">
        <v>0</v>
      </c>
      <c r="CL19" s="99">
        <v>0</v>
      </c>
      <c r="CM19" s="99">
        <v>0</v>
      </c>
      <c r="CN19" s="99">
        <v>3</v>
      </c>
      <c r="CO19" s="99">
        <v>990</v>
      </c>
      <c r="CP19" s="99">
        <v>3</v>
      </c>
      <c r="CQ19" s="99">
        <v>990</v>
      </c>
      <c r="CR19" s="99">
        <v>3.3961796102523607</v>
      </c>
      <c r="CS19" s="99">
        <v>1120.7392713832789</v>
      </c>
      <c r="CT19" s="99">
        <v>1.4985562843724893</v>
      </c>
      <c r="CU19" s="99">
        <v>494.52357384292151</v>
      </c>
    </row>
    <row r="20" spans="2:99">
      <c r="B20" s="98" t="s">
        <v>127</v>
      </c>
      <c r="C20" s="98" t="s">
        <v>185</v>
      </c>
      <c r="D20" s="99">
        <v>0</v>
      </c>
      <c r="E20" s="99">
        <v>0</v>
      </c>
      <c r="F20" s="99">
        <v>0</v>
      </c>
      <c r="G20" s="99">
        <v>0</v>
      </c>
      <c r="H20" s="99">
        <v>1.831875912622781</v>
      </c>
      <c r="I20" s="99">
        <v>525.38201174021367</v>
      </c>
      <c r="J20" s="99">
        <v>1.4536619128256774</v>
      </c>
      <c r="K20" s="99">
        <v>416.91023659840431</v>
      </c>
      <c r="L20" s="99">
        <v>4.9227870301581342</v>
      </c>
      <c r="M20" s="99">
        <v>1411.8553202493529</v>
      </c>
      <c r="N20" s="99">
        <v>2</v>
      </c>
      <c r="O20" s="99">
        <v>573.6</v>
      </c>
      <c r="P20" s="99">
        <v>2</v>
      </c>
      <c r="Q20" s="99">
        <v>573.6</v>
      </c>
      <c r="R20" s="99">
        <v>0.64900116919319262</v>
      </c>
      <c r="S20" s="99">
        <v>186.13353532460766</v>
      </c>
      <c r="T20" s="99">
        <v>2</v>
      </c>
      <c r="U20" s="99">
        <v>573.6</v>
      </c>
      <c r="V20" s="99">
        <v>3</v>
      </c>
      <c r="W20" s="99">
        <v>860.40000000000009</v>
      </c>
      <c r="X20" s="99">
        <v>4</v>
      </c>
      <c r="Y20" s="99">
        <v>1147.2</v>
      </c>
      <c r="Z20" s="99">
        <v>3</v>
      </c>
      <c r="AA20" s="99">
        <v>860.40000000000009</v>
      </c>
      <c r="AB20" s="99">
        <v>2</v>
      </c>
      <c r="AC20" s="99">
        <v>573.6</v>
      </c>
      <c r="AD20" s="99">
        <v>3</v>
      </c>
      <c r="AE20" s="99">
        <v>860.40000000000009</v>
      </c>
      <c r="AF20" s="99">
        <v>2</v>
      </c>
      <c r="AG20" s="99">
        <v>573.6</v>
      </c>
      <c r="AH20" s="99">
        <v>0.66050093413979616</v>
      </c>
      <c r="AI20" s="99">
        <v>189.43166791129354</v>
      </c>
      <c r="AJ20" s="99">
        <v>4</v>
      </c>
      <c r="AK20" s="99">
        <v>1147.2</v>
      </c>
      <c r="AL20" s="99">
        <v>3</v>
      </c>
      <c r="AM20" s="99">
        <v>860.40000000000009</v>
      </c>
      <c r="AN20" s="99">
        <v>3</v>
      </c>
      <c r="AO20" s="99">
        <v>860.40000000000009</v>
      </c>
      <c r="AP20" s="99">
        <v>3</v>
      </c>
      <c r="AQ20" s="99">
        <v>860.40000000000009</v>
      </c>
      <c r="AR20" s="99">
        <v>2</v>
      </c>
      <c r="AS20" s="99">
        <v>573.6</v>
      </c>
      <c r="AT20" s="99">
        <v>1.7574741620668872</v>
      </c>
      <c r="AU20" s="99">
        <v>504.04358968078327</v>
      </c>
      <c r="AV20" s="99">
        <v>2</v>
      </c>
      <c r="AW20" s="99">
        <v>573.6</v>
      </c>
      <c r="AX20" s="99">
        <v>2</v>
      </c>
      <c r="AY20" s="99">
        <v>573.6</v>
      </c>
      <c r="AZ20" s="99">
        <v>3</v>
      </c>
      <c r="BA20" s="99">
        <v>860.40000000000009</v>
      </c>
      <c r="BB20" s="99">
        <v>3</v>
      </c>
      <c r="BC20" s="99">
        <v>860.40000000000009</v>
      </c>
      <c r="BD20" s="99">
        <v>3</v>
      </c>
      <c r="BE20" s="99">
        <v>860.40000000000009</v>
      </c>
      <c r="BF20" s="99">
        <v>3</v>
      </c>
      <c r="BG20" s="99">
        <v>860.40000000000009</v>
      </c>
      <c r="BH20" s="99">
        <v>3</v>
      </c>
      <c r="BI20" s="99">
        <v>860.40000000000009</v>
      </c>
      <c r="BJ20" s="99">
        <v>2</v>
      </c>
      <c r="BK20" s="99">
        <v>573.6</v>
      </c>
      <c r="BL20" s="99">
        <v>1.8139639895702835</v>
      </c>
      <c r="BM20" s="99">
        <v>520.24487220875733</v>
      </c>
      <c r="BN20" s="99">
        <v>1.0058592446078285</v>
      </c>
      <c r="BO20" s="99">
        <v>288.4804313535252</v>
      </c>
      <c r="BP20" s="99">
        <v>3</v>
      </c>
      <c r="BQ20" s="99">
        <v>860.40000000000009</v>
      </c>
      <c r="BR20" s="99">
        <v>1.7615713204399046</v>
      </c>
      <c r="BS20" s="99">
        <v>505.21865470216466</v>
      </c>
      <c r="BT20" s="99">
        <v>3</v>
      </c>
      <c r="BU20" s="99">
        <v>860.40000000000009</v>
      </c>
      <c r="BV20" s="99">
        <v>1.9126052984681636</v>
      </c>
      <c r="BW20" s="99">
        <v>548.53519960066933</v>
      </c>
      <c r="BX20" s="99">
        <v>2.3665554424204225</v>
      </c>
      <c r="BY20" s="99">
        <v>678.72810088617723</v>
      </c>
      <c r="BZ20" s="99">
        <v>0</v>
      </c>
      <c r="CA20" s="99">
        <v>0</v>
      </c>
      <c r="CB20" s="99">
        <v>3</v>
      </c>
      <c r="CC20" s="99">
        <v>860.40000000000009</v>
      </c>
      <c r="CD20" s="99">
        <v>3</v>
      </c>
      <c r="CE20" s="99">
        <v>860.40000000000009</v>
      </c>
      <c r="CF20" s="99">
        <v>4</v>
      </c>
      <c r="CG20" s="99">
        <v>1147.2</v>
      </c>
      <c r="CH20" s="99">
        <v>0.59673061287141316</v>
      </c>
      <c r="CI20" s="99">
        <v>171.14233977152131</v>
      </c>
      <c r="CJ20" s="99">
        <v>0</v>
      </c>
      <c r="CK20" s="99">
        <v>0</v>
      </c>
      <c r="CL20" s="99">
        <v>0</v>
      </c>
      <c r="CM20" s="99">
        <v>0</v>
      </c>
      <c r="CN20" s="99">
        <v>4</v>
      </c>
      <c r="CO20" s="99">
        <v>1147.2</v>
      </c>
      <c r="CP20" s="99">
        <v>2</v>
      </c>
      <c r="CQ20" s="99">
        <v>573.6</v>
      </c>
      <c r="CR20" s="99">
        <v>2.5471347076892705</v>
      </c>
      <c r="CS20" s="99">
        <v>730.51823416528282</v>
      </c>
      <c r="CT20" s="99">
        <v>1.9980750458299856</v>
      </c>
      <c r="CU20" s="99">
        <v>573.04792314403994</v>
      </c>
    </row>
    <row r="21" spans="2:99">
      <c r="C21" s="98" t="s">
        <v>186</v>
      </c>
      <c r="D21" s="99">
        <v>0</v>
      </c>
      <c r="E21" s="99">
        <v>0</v>
      </c>
      <c r="F21" s="99">
        <v>0</v>
      </c>
      <c r="G21" s="99">
        <v>0</v>
      </c>
      <c r="H21" s="99">
        <v>1.831875912622781</v>
      </c>
      <c r="I21" s="99">
        <v>114.30905694766153</v>
      </c>
      <c r="J21" s="99">
        <v>1.4536619128256774</v>
      </c>
      <c r="K21" s="99">
        <v>90.708503360322268</v>
      </c>
      <c r="L21" s="99">
        <v>5.9227870301581342</v>
      </c>
      <c r="M21" s="99">
        <v>369.58191068186756</v>
      </c>
      <c r="N21" s="99">
        <v>2</v>
      </c>
      <c r="O21" s="99">
        <v>124.8</v>
      </c>
      <c r="P21" s="99">
        <v>2</v>
      </c>
      <c r="Q21" s="99">
        <v>124.8</v>
      </c>
      <c r="R21" s="99">
        <v>0.64900116919319262</v>
      </c>
      <c r="S21" s="99">
        <v>40.497672957655219</v>
      </c>
      <c r="T21" s="99">
        <v>3</v>
      </c>
      <c r="U21" s="99">
        <v>187.2</v>
      </c>
      <c r="V21" s="99">
        <v>3</v>
      </c>
      <c r="W21" s="99">
        <v>187.2</v>
      </c>
      <c r="X21" s="99">
        <v>4</v>
      </c>
      <c r="Y21" s="99">
        <v>249.6</v>
      </c>
      <c r="Z21" s="99">
        <v>3</v>
      </c>
      <c r="AA21" s="99">
        <v>187.2</v>
      </c>
      <c r="AB21" s="99">
        <v>3</v>
      </c>
      <c r="AC21" s="99">
        <v>187.2</v>
      </c>
      <c r="AD21" s="99">
        <v>3</v>
      </c>
      <c r="AE21" s="99">
        <v>187.2</v>
      </c>
      <c r="AF21" s="99">
        <v>2</v>
      </c>
      <c r="AG21" s="99">
        <v>124.8</v>
      </c>
      <c r="AH21" s="99">
        <v>0.66050093413979616</v>
      </c>
      <c r="AI21" s="99">
        <v>41.215258290323277</v>
      </c>
      <c r="AJ21" s="99">
        <v>3</v>
      </c>
      <c r="AK21" s="99">
        <v>187.2</v>
      </c>
      <c r="AL21" s="99">
        <v>3</v>
      </c>
      <c r="AM21" s="99">
        <v>187.2</v>
      </c>
      <c r="AN21" s="99">
        <v>3</v>
      </c>
      <c r="AO21" s="99">
        <v>187.2</v>
      </c>
      <c r="AP21" s="99">
        <v>3</v>
      </c>
      <c r="AQ21" s="99">
        <v>187.2</v>
      </c>
      <c r="AR21" s="99">
        <v>2</v>
      </c>
      <c r="AS21" s="99">
        <v>124.8</v>
      </c>
      <c r="AT21" s="99">
        <v>2.3432988827558496</v>
      </c>
      <c r="AU21" s="99">
        <v>146.22185028396501</v>
      </c>
      <c r="AV21" s="99">
        <v>2</v>
      </c>
      <c r="AW21" s="99">
        <v>124.8</v>
      </c>
      <c r="AX21" s="99">
        <v>3</v>
      </c>
      <c r="AY21" s="99">
        <v>187.2</v>
      </c>
      <c r="AZ21" s="99">
        <v>3</v>
      </c>
      <c r="BA21" s="99">
        <v>187.2</v>
      </c>
      <c r="BB21" s="99">
        <v>3</v>
      </c>
      <c r="BC21" s="99">
        <v>187.2</v>
      </c>
      <c r="BD21" s="99">
        <v>3</v>
      </c>
      <c r="BE21" s="99">
        <v>187.2</v>
      </c>
      <c r="BF21" s="99">
        <v>2</v>
      </c>
      <c r="BG21" s="99">
        <v>124.8</v>
      </c>
      <c r="BH21" s="99">
        <v>3</v>
      </c>
      <c r="BI21" s="99">
        <v>187.2</v>
      </c>
      <c r="BJ21" s="99">
        <v>2</v>
      </c>
      <c r="BK21" s="99">
        <v>124.8</v>
      </c>
      <c r="BL21" s="99">
        <v>1.8139639895702835</v>
      </c>
      <c r="BM21" s="99">
        <v>113.19135294918568</v>
      </c>
      <c r="BN21" s="99">
        <v>1.0058592446078285</v>
      </c>
      <c r="BO21" s="99">
        <v>62.7656168635285</v>
      </c>
      <c r="BP21" s="99">
        <v>3</v>
      </c>
      <c r="BQ21" s="99">
        <v>187.2</v>
      </c>
      <c r="BR21" s="99">
        <v>1.1743808802932698</v>
      </c>
      <c r="BS21" s="99">
        <v>73.281366930300038</v>
      </c>
      <c r="BT21" s="99">
        <v>4</v>
      </c>
      <c r="BU21" s="99">
        <v>249.6</v>
      </c>
      <c r="BV21" s="99">
        <v>1.9126052984681636</v>
      </c>
      <c r="BW21" s="99">
        <v>119.3465706244134</v>
      </c>
      <c r="BX21" s="99">
        <v>1.5777036282802819</v>
      </c>
      <c r="BY21" s="99">
        <v>98.448706404689588</v>
      </c>
      <c r="BZ21" s="99">
        <v>0</v>
      </c>
      <c r="CA21" s="99">
        <v>0</v>
      </c>
      <c r="CB21" s="99">
        <v>3</v>
      </c>
      <c r="CC21" s="99">
        <v>187.2</v>
      </c>
      <c r="CD21" s="99">
        <v>3</v>
      </c>
      <c r="CE21" s="99">
        <v>187.2</v>
      </c>
      <c r="CF21" s="99">
        <v>4</v>
      </c>
      <c r="CG21" s="99">
        <v>249.6</v>
      </c>
      <c r="CH21" s="99">
        <v>0.59673061287141316</v>
      </c>
      <c r="CI21" s="99">
        <v>37.235990243176182</v>
      </c>
      <c r="CJ21" s="99">
        <v>0</v>
      </c>
      <c r="CK21" s="99">
        <v>0</v>
      </c>
      <c r="CL21" s="99">
        <v>0</v>
      </c>
      <c r="CM21" s="99">
        <v>0</v>
      </c>
      <c r="CN21" s="99">
        <v>4</v>
      </c>
      <c r="CO21" s="99">
        <v>249.6</v>
      </c>
      <c r="CP21" s="99">
        <v>2</v>
      </c>
      <c r="CQ21" s="99">
        <v>124.8</v>
      </c>
      <c r="CR21" s="99">
        <v>2.5471347076892705</v>
      </c>
      <c r="CS21" s="99">
        <v>158.94120575981049</v>
      </c>
      <c r="CT21" s="99">
        <v>1.4985562843724893</v>
      </c>
      <c r="CU21" s="99">
        <v>93.509912144843327</v>
      </c>
    </row>
    <row r="22" spans="2:99">
      <c r="C22" s="98" t="s">
        <v>187</v>
      </c>
      <c r="D22" s="99">
        <v>0</v>
      </c>
      <c r="E22" s="99">
        <v>0</v>
      </c>
      <c r="F22" s="99">
        <v>0</v>
      </c>
      <c r="G22" s="99">
        <v>0</v>
      </c>
      <c r="H22" s="99">
        <v>1.831875912622781</v>
      </c>
      <c r="I22" s="99">
        <v>342.92717084298459</v>
      </c>
      <c r="J22" s="99">
        <v>1.5109406737592419</v>
      </c>
      <c r="K22" s="99">
        <v>282.84809412773006</v>
      </c>
      <c r="L22" s="99">
        <v>5.0975858510816012</v>
      </c>
      <c r="M22" s="99">
        <v>954.26807132247575</v>
      </c>
      <c r="N22" s="99">
        <v>2</v>
      </c>
      <c r="O22" s="99">
        <v>374.4</v>
      </c>
      <c r="P22" s="99">
        <v>2</v>
      </c>
      <c r="Q22" s="99">
        <v>374.4</v>
      </c>
      <c r="R22" s="99">
        <v>0.64900116919319262</v>
      </c>
      <c r="S22" s="99">
        <v>121.49301887296565</v>
      </c>
      <c r="T22" s="99">
        <v>2</v>
      </c>
      <c r="U22" s="99">
        <v>374.4</v>
      </c>
      <c r="V22" s="99">
        <v>3</v>
      </c>
      <c r="W22" s="99">
        <v>561.59999999999991</v>
      </c>
      <c r="X22" s="99">
        <v>3</v>
      </c>
      <c r="Y22" s="99">
        <v>561.59999999999991</v>
      </c>
      <c r="Z22" s="99">
        <v>3</v>
      </c>
      <c r="AA22" s="99">
        <v>561.59999999999991</v>
      </c>
      <c r="AB22" s="99">
        <v>2</v>
      </c>
      <c r="AC22" s="99">
        <v>374.4</v>
      </c>
      <c r="AD22" s="99">
        <v>3</v>
      </c>
      <c r="AE22" s="99">
        <v>561.59999999999991</v>
      </c>
      <c r="AF22" s="99">
        <v>2</v>
      </c>
      <c r="AG22" s="99">
        <v>374.4</v>
      </c>
      <c r="AH22" s="99">
        <v>0.66050093413979616</v>
      </c>
      <c r="AI22" s="99">
        <v>123.64577487096983</v>
      </c>
      <c r="AJ22" s="99">
        <v>4</v>
      </c>
      <c r="AK22" s="99">
        <v>748.8</v>
      </c>
      <c r="AL22" s="99">
        <v>3</v>
      </c>
      <c r="AM22" s="99">
        <v>561.59999999999991</v>
      </c>
      <c r="AN22" s="99">
        <v>3</v>
      </c>
      <c r="AO22" s="99">
        <v>561.59999999999991</v>
      </c>
      <c r="AP22" s="99">
        <v>3</v>
      </c>
      <c r="AQ22" s="99">
        <v>561.59999999999991</v>
      </c>
      <c r="AR22" s="99">
        <v>2</v>
      </c>
      <c r="AS22" s="99">
        <v>374.4</v>
      </c>
      <c r="AT22" s="99">
        <v>1.7574741620668872</v>
      </c>
      <c r="AU22" s="99">
        <v>328.99916313892129</v>
      </c>
      <c r="AV22" s="99">
        <v>2</v>
      </c>
      <c r="AW22" s="99">
        <v>374.4</v>
      </c>
      <c r="AX22" s="99">
        <v>2</v>
      </c>
      <c r="AY22" s="99">
        <v>374.4</v>
      </c>
      <c r="AZ22" s="99">
        <v>3</v>
      </c>
      <c r="BA22" s="99">
        <v>561.59999999999991</v>
      </c>
      <c r="BB22" s="99">
        <v>3</v>
      </c>
      <c r="BC22" s="99">
        <v>561.59999999999991</v>
      </c>
      <c r="BD22" s="99">
        <v>3</v>
      </c>
      <c r="BE22" s="99">
        <v>561.59999999999991</v>
      </c>
      <c r="BF22" s="99">
        <v>2</v>
      </c>
      <c r="BG22" s="99">
        <v>374.4</v>
      </c>
      <c r="BH22" s="99">
        <v>3</v>
      </c>
      <c r="BI22" s="99">
        <v>561.59999999999991</v>
      </c>
      <c r="BJ22" s="99">
        <v>2</v>
      </c>
      <c r="BK22" s="99">
        <v>374.4</v>
      </c>
      <c r="BL22" s="99">
        <v>2.7209459843554251</v>
      </c>
      <c r="BM22" s="99">
        <v>509.36108827133557</v>
      </c>
      <c r="BN22" s="99">
        <v>1.0058592446078285</v>
      </c>
      <c r="BO22" s="99">
        <v>188.29685059058548</v>
      </c>
      <c r="BP22" s="99">
        <v>3</v>
      </c>
      <c r="BQ22" s="99">
        <v>561.59999999999991</v>
      </c>
      <c r="BR22" s="99">
        <v>1.7615713204399046</v>
      </c>
      <c r="BS22" s="99">
        <v>329.7661511863501</v>
      </c>
      <c r="BT22" s="99">
        <v>3</v>
      </c>
      <c r="BU22" s="99">
        <v>561.59999999999991</v>
      </c>
      <c r="BV22" s="99">
        <v>1.9126052984681636</v>
      </c>
      <c r="BW22" s="99">
        <v>358.03971187324021</v>
      </c>
      <c r="BX22" s="99">
        <v>1.5777036282802819</v>
      </c>
      <c r="BY22" s="99">
        <v>295.34611921406872</v>
      </c>
      <c r="BZ22" s="99">
        <v>0</v>
      </c>
      <c r="CA22" s="99">
        <v>0</v>
      </c>
      <c r="CB22" s="99">
        <v>3</v>
      </c>
      <c r="CC22" s="99">
        <v>561.59999999999991</v>
      </c>
      <c r="CD22" s="99">
        <v>3</v>
      </c>
      <c r="CE22" s="99">
        <v>561.59999999999991</v>
      </c>
      <c r="CF22" s="99">
        <v>4</v>
      </c>
      <c r="CG22" s="99">
        <v>748.8</v>
      </c>
      <c r="CH22" s="99">
        <v>0.39782040858094214</v>
      </c>
      <c r="CI22" s="99">
        <v>74.471980486352365</v>
      </c>
      <c r="CJ22" s="99">
        <v>0</v>
      </c>
      <c r="CK22" s="99">
        <v>0</v>
      </c>
      <c r="CL22" s="99">
        <v>0</v>
      </c>
      <c r="CM22" s="99">
        <v>0</v>
      </c>
      <c r="CN22" s="99">
        <v>4</v>
      </c>
      <c r="CO22" s="99">
        <v>748.8</v>
      </c>
      <c r="CP22" s="99">
        <v>2</v>
      </c>
      <c r="CQ22" s="99">
        <v>374.4</v>
      </c>
      <c r="CR22" s="99">
        <v>2.5471347076892705</v>
      </c>
      <c r="CS22" s="99">
        <v>476.8236172794314</v>
      </c>
      <c r="CT22" s="99">
        <v>1.4985562843724893</v>
      </c>
      <c r="CU22" s="99">
        <v>280.52973643452998</v>
      </c>
    </row>
    <row r="23" spans="2:99">
      <c r="C23" s="98" t="s">
        <v>188</v>
      </c>
      <c r="D23" s="99">
        <v>0</v>
      </c>
      <c r="E23" s="99">
        <v>0</v>
      </c>
      <c r="F23" s="99">
        <v>0</v>
      </c>
      <c r="G23" s="99">
        <v>0</v>
      </c>
      <c r="H23" s="99">
        <v>1.831875912622781</v>
      </c>
      <c r="I23" s="99">
        <v>538.57151831109763</v>
      </c>
      <c r="J23" s="99">
        <v>1.5109406737592419</v>
      </c>
      <c r="K23" s="99">
        <v>444.21655808521712</v>
      </c>
      <c r="L23" s="99">
        <v>4.7479882092346681</v>
      </c>
      <c r="M23" s="99">
        <v>1395.9085335149925</v>
      </c>
      <c r="N23" s="99">
        <v>2</v>
      </c>
      <c r="O23" s="99">
        <v>588</v>
      </c>
      <c r="P23" s="99">
        <v>2</v>
      </c>
      <c r="Q23" s="99">
        <v>588</v>
      </c>
      <c r="R23" s="99">
        <v>0.64900116919319262</v>
      </c>
      <c r="S23" s="99">
        <v>190.80634374279862</v>
      </c>
      <c r="T23" s="99">
        <v>2</v>
      </c>
      <c r="U23" s="99">
        <v>588</v>
      </c>
      <c r="V23" s="99">
        <v>3</v>
      </c>
      <c r="W23" s="99">
        <v>882</v>
      </c>
      <c r="X23" s="99">
        <v>3</v>
      </c>
      <c r="Y23" s="99">
        <v>882</v>
      </c>
      <c r="Z23" s="99">
        <v>3</v>
      </c>
      <c r="AA23" s="99">
        <v>882</v>
      </c>
      <c r="AB23" s="99">
        <v>2</v>
      </c>
      <c r="AC23" s="99">
        <v>588</v>
      </c>
      <c r="AD23" s="99">
        <v>3</v>
      </c>
      <c r="AE23" s="99">
        <v>882</v>
      </c>
      <c r="AF23" s="99">
        <v>2</v>
      </c>
      <c r="AG23" s="99">
        <v>588</v>
      </c>
      <c r="AH23" s="99">
        <v>0.66050093413979616</v>
      </c>
      <c r="AI23" s="99">
        <v>194.18727463710007</v>
      </c>
      <c r="AJ23" s="99">
        <v>3</v>
      </c>
      <c r="AK23" s="99">
        <v>882</v>
      </c>
      <c r="AL23" s="99">
        <v>3</v>
      </c>
      <c r="AM23" s="99">
        <v>882</v>
      </c>
      <c r="AN23" s="99">
        <v>3</v>
      </c>
      <c r="AO23" s="99">
        <v>882</v>
      </c>
      <c r="AP23" s="99">
        <v>3</v>
      </c>
      <c r="AQ23" s="99">
        <v>882</v>
      </c>
      <c r="AR23" s="99">
        <v>2</v>
      </c>
      <c r="AS23" s="99">
        <v>588</v>
      </c>
      <c r="AT23" s="99">
        <v>1.7574741620668872</v>
      </c>
      <c r="AU23" s="99">
        <v>516.69740364766483</v>
      </c>
      <c r="AV23" s="99">
        <v>2</v>
      </c>
      <c r="AW23" s="99">
        <v>588</v>
      </c>
      <c r="AX23" s="99">
        <v>2</v>
      </c>
      <c r="AY23" s="99">
        <v>588</v>
      </c>
      <c r="AZ23" s="99">
        <v>3</v>
      </c>
      <c r="BA23" s="99">
        <v>882</v>
      </c>
      <c r="BB23" s="99">
        <v>2</v>
      </c>
      <c r="BC23" s="99">
        <v>588</v>
      </c>
      <c r="BD23" s="99">
        <v>4</v>
      </c>
      <c r="BE23" s="99">
        <v>1176</v>
      </c>
      <c r="BF23" s="99">
        <v>2</v>
      </c>
      <c r="BG23" s="99">
        <v>588</v>
      </c>
      <c r="BH23" s="99">
        <v>3</v>
      </c>
      <c r="BI23" s="99">
        <v>882</v>
      </c>
      <c r="BJ23" s="99">
        <v>2</v>
      </c>
      <c r="BK23" s="99">
        <v>588</v>
      </c>
      <c r="BL23" s="99">
        <v>2.7209459843554251</v>
      </c>
      <c r="BM23" s="99">
        <v>799.95811940049498</v>
      </c>
      <c r="BN23" s="99">
        <v>1.0058592446078285</v>
      </c>
      <c r="BO23" s="99">
        <v>295.72261791470157</v>
      </c>
      <c r="BP23" s="99">
        <v>3</v>
      </c>
      <c r="BQ23" s="99">
        <v>882</v>
      </c>
      <c r="BR23" s="99">
        <v>1.7615713204399046</v>
      </c>
      <c r="BS23" s="99">
        <v>517.90196820933193</v>
      </c>
      <c r="BT23" s="99">
        <v>4</v>
      </c>
      <c r="BU23" s="99">
        <v>1176</v>
      </c>
      <c r="BV23" s="99">
        <v>1.9126052984681636</v>
      </c>
      <c r="BW23" s="99">
        <v>562.30595774964013</v>
      </c>
      <c r="BX23" s="99">
        <v>2.3665554424204225</v>
      </c>
      <c r="BY23" s="99">
        <v>695.76730007160415</v>
      </c>
      <c r="BZ23" s="99">
        <v>0</v>
      </c>
      <c r="CA23" s="99">
        <v>0</v>
      </c>
      <c r="CB23" s="99">
        <v>2</v>
      </c>
      <c r="CC23" s="99">
        <v>588</v>
      </c>
      <c r="CD23" s="99">
        <v>4</v>
      </c>
      <c r="CE23" s="99">
        <v>1176</v>
      </c>
      <c r="CF23" s="99">
        <v>4</v>
      </c>
      <c r="CG23" s="99">
        <v>1176</v>
      </c>
      <c r="CH23" s="99">
        <v>0.59673061287141316</v>
      </c>
      <c r="CI23" s="99">
        <v>175.43880018419546</v>
      </c>
      <c r="CJ23" s="99">
        <v>0</v>
      </c>
      <c r="CK23" s="99">
        <v>0</v>
      </c>
      <c r="CL23" s="99">
        <v>0</v>
      </c>
      <c r="CM23" s="99">
        <v>0</v>
      </c>
      <c r="CN23" s="99">
        <v>3</v>
      </c>
      <c r="CO23" s="99">
        <v>882</v>
      </c>
      <c r="CP23" s="99">
        <v>2</v>
      </c>
      <c r="CQ23" s="99">
        <v>588</v>
      </c>
      <c r="CR23" s="99">
        <v>2.5471347076892705</v>
      </c>
      <c r="CS23" s="99">
        <v>748.85760406064549</v>
      </c>
      <c r="CT23" s="99">
        <v>1.4985562843724893</v>
      </c>
      <c r="CU23" s="99">
        <v>440.57554760551187</v>
      </c>
    </row>
    <row r="24" spans="2:99">
      <c r="C24" s="98" t="s">
        <v>189</v>
      </c>
      <c r="D24" s="99">
        <v>0</v>
      </c>
      <c r="E24" s="99">
        <v>0</v>
      </c>
      <c r="F24" s="99">
        <v>0</v>
      </c>
      <c r="G24" s="99">
        <v>0</v>
      </c>
      <c r="H24" s="99">
        <v>1.831875912622781</v>
      </c>
      <c r="I24" s="99">
        <v>672.66483511508522</v>
      </c>
      <c r="J24" s="99">
        <v>1.5682194346928067</v>
      </c>
      <c r="K24" s="99">
        <v>575.85017641919865</v>
      </c>
      <c r="L24" s="99">
        <v>4.7479882092346681</v>
      </c>
      <c r="M24" s="99">
        <v>1743.46127043097</v>
      </c>
      <c r="N24" s="99">
        <v>2</v>
      </c>
      <c r="O24" s="99">
        <v>734.4</v>
      </c>
      <c r="P24" s="99">
        <v>2</v>
      </c>
      <c r="Q24" s="99">
        <v>734.4</v>
      </c>
      <c r="R24" s="99">
        <v>0.64900116919319262</v>
      </c>
      <c r="S24" s="99">
        <v>238.31322932774032</v>
      </c>
      <c r="T24" s="99">
        <v>2</v>
      </c>
      <c r="U24" s="99">
        <v>734.4</v>
      </c>
      <c r="V24" s="99">
        <v>3</v>
      </c>
      <c r="W24" s="99">
        <v>1101.5999999999999</v>
      </c>
      <c r="X24" s="99">
        <v>3</v>
      </c>
      <c r="Y24" s="99">
        <v>1101.5999999999999</v>
      </c>
      <c r="Z24" s="99">
        <v>3</v>
      </c>
      <c r="AA24" s="99">
        <v>1101.5999999999999</v>
      </c>
      <c r="AB24" s="99">
        <v>2</v>
      </c>
      <c r="AC24" s="99">
        <v>734.4</v>
      </c>
      <c r="AD24" s="99">
        <v>3</v>
      </c>
      <c r="AE24" s="99">
        <v>1101.5999999999999</v>
      </c>
      <c r="AF24" s="99">
        <v>2</v>
      </c>
      <c r="AG24" s="99">
        <v>734.4</v>
      </c>
      <c r="AH24" s="99">
        <v>0.66050093413979616</v>
      </c>
      <c r="AI24" s="99">
        <v>242.53594301613313</v>
      </c>
      <c r="AJ24" s="99">
        <v>3</v>
      </c>
      <c r="AK24" s="99">
        <v>1101.5999999999999</v>
      </c>
      <c r="AL24" s="99">
        <v>3</v>
      </c>
      <c r="AM24" s="99">
        <v>1101.5999999999999</v>
      </c>
      <c r="AN24" s="99">
        <v>3</v>
      </c>
      <c r="AO24" s="99">
        <v>1101.5999999999999</v>
      </c>
      <c r="AP24" s="99">
        <v>3</v>
      </c>
      <c r="AQ24" s="99">
        <v>1101.5999999999999</v>
      </c>
      <c r="AR24" s="99">
        <v>2</v>
      </c>
      <c r="AS24" s="99">
        <v>734.4</v>
      </c>
      <c r="AT24" s="99">
        <v>1.7574741620668872</v>
      </c>
      <c r="AU24" s="99">
        <v>645.34451231096102</v>
      </c>
      <c r="AV24" s="99">
        <v>2</v>
      </c>
      <c r="AW24" s="99">
        <v>734.4</v>
      </c>
      <c r="AX24" s="99">
        <v>2</v>
      </c>
      <c r="AY24" s="99">
        <v>734.4</v>
      </c>
      <c r="AZ24" s="99">
        <v>3</v>
      </c>
      <c r="BA24" s="99">
        <v>1101.5999999999999</v>
      </c>
      <c r="BB24" s="99">
        <v>2</v>
      </c>
      <c r="BC24" s="99">
        <v>734.4</v>
      </c>
      <c r="BD24" s="99">
        <v>3</v>
      </c>
      <c r="BE24" s="99">
        <v>1101.5999999999999</v>
      </c>
      <c r="BF24" s="99">
        <v>3</v>
      </c>
      <c r="BG24" s="99">
        <v>1101.5999999999999</v>
      </c>
      <c r="BH24" s="99">
        <v>2</v>
      </c>
      <c r="BI24" s="99">
        <v>734.4</v>
      </c>
      <c r="BJ24" s="99">
        <v>2</v>
      </c>
      <c r="BK24" s="99">
        <v>734.4</v>
      </c>
      <c r="BL24" s="99">
        <v>2.7209459843554251</v>
      </c>
      <c r="BM24" s="99">
        <v>999.13136545531211</v>
      </c>
      <c r="BN24" s="99">
        <v>1.0058592446078285</v>
      </c>
      <c r="BO24" s="99">
        <v>369.35151461999459</v>
      </c>
      <c r="BP24" s="99">
        <v>3</v>
      </c>
      <c r="BQ24" s="99">
        <v>1101.5999999999999</v>
      </c>
      <c r="BR24" s="99">
        <v>1.7615713204399046</v>
      </c>
      <c r="BS24" s="99">
        <v>646.84898886553299</v>
      </c>
      <c r="BT24" s="99">
        <v>3</v>
      </c>
      <c r="BU24" s="99">
        <v>1101.5999999999999</v>
      </c>
      <c r="BV24" s="99">
        <v>1.9126052984681636</v>
      </c>
      <c r="BW24" s="99">
        <v>702.30866559750962</v>
      </c>
      <c r="BX24" s="99">
        <v>1.5777036282802819</v>
      </c>
      <c r="BY24" s="99">
        <v>579.33277230451949</v>
      </c>
      <c r="BZ24" s="99">
        <v>0</v>
      </c>
      <c r="CA24" s="99">
        <v>0</v>
      </c>
      <c r="CB24" s="99">
        <v>3</v>
      </c>
      <c r="CC24" s="99">
        <v>1101.5999999999999</v>
      </c>
      <c r="CD24" s="99">
        <v>4</v>
      </c>
      <c r="CE24" s="99">
        <v>1468.8</v>
      </c>
      <c r="CF24" s="99">
        <v>4</v>
      </c>
      <c r="CG24" s="99">
        <v>1468.8</v>
      </c>
      <c r="CH24" s="99">
        <v>0.39782040858094214</v>
      </c>
      <c r="CI24" s="99">
        <v>146.07965403092194</v>
      </c>
      <c r="CJ24" s="99">
        <v>0</v>
      </c>
      <c r="CK24" s="99">
        <v>0</v>
      </c>
      <c r="CL24" s="99">
        <v>0</v>
      </c>
      <c r="CM24" s="99">
        <v>0</v>
      </c>
      <c r="CN24" s="99">
        <v>3</v>
      </c>
      <c r="CO24" s="99">
        <v>1101.5999999999999</v>
      </c>
      <c r="CP24" s="99">
        <v>2</v>
      </c>
      <c r="CQ24" s="99">
        <v>734.4</v>
      </c>
      <c r="CR24" s="99">
        <v>2.5471347076892705</v>
      </c>
      <c r="CS24" s="99">
        <v>935.30786466350014</v>
      </c>
      <c r="CT24" s="99">
        <v>1.4985562843724893</v>
      </c>
      <c r="CU24" s="99">
        <v>550.2698676215781</v>
      </c>
    </row>
    <row r="25" spans="2:99">
      <c r="C25" s="98" t="s">
        <v>190</v>
      </c>
      <c r="D25" s="99">
        <v>0</v>
      </c>
      <c r="E25" s="99">
        <v>0</v>
      </c>
      <c r="F25" s="99">
        <v>0</v>
      </c>
      <c r="G25" s="99">
        <v>0</v>
      </c>
      <c r="H25" s="99">
        <v>1.831875912622781</v>
      </c>
      <c r="I25" s="99">
        <v>971.62698405512299</v>
      </c>
      <c r="J25" s="99">
        <v>1.5109406737592419</v>
      </c>
      <c r="K25" s="99">
        <v>801.40293336190189</v>
      </c>
      <c r="L25" s="99">
        <v>4.7479882092346681</v>
      </c>
      <c r="M25" s="99">
        <v>2518.3329461780677</v>
      </c>
      <c r="N25" s="99">
        <v>2</v>
      </c>
      <c r="O25" s="99">
        <v>1060.8</v>
      </c>
      <c r="P25" s="99">
        <v>2</v>
      </c>
      <c r="Q25" s="99">
        <v>1060.8</v>
      </c>
      <c r="R25" s="99">
        <v>0.64900116919319262</v>
      </c>
      <c r="S25" s="99">
        <v>344.23022014006938</v>
      </c>
      <c r="T25" s="99">
        <v>2</v>
      </c>
      <c r="U25" s="99">
        <v>1060.8</v>
      </c>
      <c r="V25" s="99">
        <v>3</v>
      </c>
      <c r="W25" s="99">
        <v>1591.1999999999998</v>
      </c>
      <c r="X25" s="99">
        <v>3</v>
      </c>
      <c r="Y25" s="99">
        <v>1591.1999999999998</v>
      </c>
      <c r="Z25" s="99">
        <v>3</v>
      </c>
      <c r="AA25" s="99">
        <v>1591.1999999999998</v>
      </c>
      <c r="AB25" s="99">
        <v>3</v>
      </c>
      <c r="AC25" s="99">
        <v>1591.1999999999998</v>
      </c>
      <c r="AD25" s="99">
        <v>3</v>
      </c>
      <c r="AE25" s="99">
        <v>1591.1999999999998</v>
      </c>
      <c r="AF25" s="99">
        <v>2</v>
      </c>
      <c r="AG25" s="99">
        <v>1060.8</v>
      </c>
      <c r="AH25" s="99">
        <v>0.66050093413979616</v>
      </c>
      <c r="AI25" s="99">
        <v>350.32969546774785</v>
      </c>
      <c r="AJ25" s="99">
        <v>3</v>
      </c>
      <c r="AK25" s="99">
        <v>1591.1999999999998</v>
      </c>
      <c r="AL25" s="99">
        <v>3</v>
      </c>
      <c r="AM25" s="99">
        <v>1591.1999999999998</v>
      </c>
      <c r="AN25" s="99">
        <v>3</v>
      </c>
      <c r="AO25" s="99">
        <v>1591.1999999999998</v>
      </c>
      <c r="AP25" s="99">
        <v>3</v>
      </c>
      <c r="AQ25" s="99">
        <v>1591.1999999999998</v>
      </c>
      <c r="AR25" s="99">
        <v>2</v>
      </c>
      <c r="AS25" s="99">
        <v>1060.8</v>
      </c>
      <c r="AT25" s="99">
        <v>1.7574741620668872</v>
      </c>
      <c r="AU25" s="99">
        <v>932.16429556027697</v>
      </c>
      <c r="AV25" s="99">
        <v>2</v>
      </c>
      <c r="AW25" s="99">
        <v>1060.8</v>
      </c>
      <c r="AX25" s="99">
        <v>2</v>
      </c>
      <c r="AY25" s="99">
        <v>1060.8</v>
      </c>
      <c r="AZ25" s="99">
        <v>3</v>
      </c>
      <c r="BA25" s="99">
        <v>1591.1999999999998</v>
      </c>
      <c r="BB25" s="99">
        <v>3</v>
      </c>
      <c r="BC25" s="99">
        <v>1591.1999999999998</v>
      </c>
      <c r="BD25" s="99">
        <v>4</v>
      </c>
      <c r="BE25" s="99">
        <v>2121.6</v>
      </c>
      <c r="BF25" s="99">
        <v>2</v>
      </c>
      <c r="BG25" s="99">
        <v>1060.8</v>
      </c>
      <c r="BH25" s="99">
        <v>3</v>
      </c>
      <c r="BI25" s="99">
        <v>1591.1999999999998</v>
      </c>
      <c r="BJ25" s="99">
        <v>2</v>
      </c>
      <c r="BK25" s="99">
        <v>1060.8</v>
      </c>
      <c r="BL25" s="99">
        <v>2.7209459843554251</v>
      </c>
      <c r="BM25" s="99">
        <v>1443.1897501021174</v>
      </c>
      <c r="BN25" s="99">
        <v>1.0058592446078285</v>
      </c>
      <c r="BO25" s="99">
        <v>533.5077433399922</v>
      </c>
      <c r="BP25" s="99">
        <v>3</v>
      </c>
      <c r="BQ25" s="99">
        <v>1591.1999999999998</v>
      </c>
      <c r="BR25" s="99">
        <v>1.7615713204399046</v>
      </c>
      <c r="BS25" s="99">
        <v>934.33742836132535</v>
      </c>
      <c r="BT25" s="99">
        <v>3</v>
      </c>
      <c r="BU25" s="99">
        <v>1591.1999999999998</v>
      </c>
      <c r="BV25" s="99">
        <v>1.9126052984681636</v>
      </c>
      <c r="BW25" s="99">
        <v>1014.445850307514</v>
      </c>
      <c r="BX25" s="99">
        <v>1.5777036282802819</v>
      </c>
      <c r="BY25" s="99">
        <v>836.81400443986149</v>
      </c>
      <c r="BZ25" s="99">
        <v>0</v>
      </c>
      <c r="CA25" s="99">
        <v>0</v>
      </c>
      <c r="CB25" s="99">
        <v>2</v>
      </c>
      <c r="CC25" s="99">
        <v>1060.8</v>
      </c>
      <c r="CD25" s="99">
        <v>3</v>
      </c>
      <c r="CE25" s="99">
        <v>1591.1999999999998</v>
      </c>
      <c r="CF25" s="99">
        <v>3</v>
      </c>
      <c r="CG25" s="99">
        <v>1591.1999999999998</v>
      </c>
      <c r="CH25" s="99">
        <v>0.39782040858094214</v>
      </c>
      <c r="CI25" s="99">
        <v>211.00394471133171</v>
      </c>
      <c r="CJ25" s="99">
        <v>0</v>
      </c>
      <c r="CK25" s="99">
        <v>0</v>
      </c>
      <c r="CL25" s="99">
        <v>0</v>
      </c>
      <c r="CM25" s="99">
        <v>0</v>
      </c>
      <c r="CN25" s="99">
        <v>4</v>
      </c>
      <c r="CO25" s="99">
        <v>2121.6</v>
      </c>
      <c r="CP25" s="99">
        <v>2</v>
      </c>
      <c r="CQ25" s="99">
        <v>1060.8</v>
      </c>
      <c r="CR25" s="99">
        <v>2.5471347076892705</v>
      </c>
      <c r="CS25" s="99">
        <v>1351.000248958389</v>
      </c>
      <c r="CT25" s="99">
        <v>1.4985562843724893</v>
      </c>
      <c r="CU25" s="99">
        <v>794.8342532311683</v>
      </c>
    </row>
    <row r="26" spans="2:99">
      <c r="C26" s="98" t="s">
        <v>191</v>
      </c>
      <c r="D26" s="99">
        <v>0</v>
      </c>
      <c r="E26" s="99">
        <v>0</v>
      </c>
      <c r="F26" s="99">
        <v>0</v>
      </c>
      <c r="G26" s="99">
        <v>0</v>
      </c>
      <c r="H26" s="99">
        <v>1.831875912622781</v>
      </c>
      <c r="I26" s="99">
        <v>890.29169353467159</v>
      </c>
      <c r="J26" s="99">
        <v>1.4536619128256774</v>
      </c>
      <c r="K26" s="99">
        <v>706.47968963327924</v>
      </c>
      <c r="L26" s="99">
        <v>4.9227870301581342</v>
      </c>
      <c r="M26" s="99">
        <v>2392.4744966568533</v>
      </c>
      <c r="N26" s="99">
        <v>2</v>
      </c>
      <c r="O26" s="99">
        <v>972</v>
      </c>
      <c r="P26" s="99">
        <v>2</v>
      </c>
      <c r="Q26" s="99">
        <v>972</v>
      </c>
      <c r="R26" s="99">
        <v>0.64900116919319262</v>
      </c>
      <c r="S26" s="99">
        <v>315.41456822789161</v>
      </c>
      <c r="T26" s="99">
        <v>2</v>
      </c>
      <c r="U26" s="99">
        <v>972</v>
      </c>
      <c r="V26" s="99">
        <v>3</v>
      </c>
      <c r="W26" s="99">
        <v>1458</v>
      </c>
      <c r="X26" s="99">
        <v>3</v>
      </c>
      <c r="Y26" s="99">
        <v>1458</v>
      </c>
      <c r="Z26" s="99">
        <v>3</v>
      </c>
      <c r="AA26" s="99">
        <v>1458</v>
      </c>
      <c r="AB26" s="99">
        <v>2</v>
      </c>
      <c r="AC26" s="99">
        <v>972</v>
      </c>
      <c r="AD26" s="99">
        <v>3</v>
      </c>
      <c r="AE26" s="99">
        <v>1458</v>
      </c>
      <c r="AF26" s="99">
        <v>2</v>
      </c>
      <c r="AG26" s="99">
        <v>972</v>
      </c>
      <c r="AH26" s="99">
        <v>0.66050093413979616</v>
      </c>
      <c r="AI26" s="99">
        <v>321.00345399194094</v>
      </c>
      <c r="AJ26" s="99">
        <v>4</v>
      </c>
      <c r="AK26" s="99">
        <v>1944</v>
      </c>
      <c r="AL26" s="99">
        <v>3</v>
      </c>
      <c r="AM26" s="99">
        <v>1458</v>
      </c>
      <c r="AN26" s="99">
        <v>3</v>
      </c>
      <c r="AO26" s="99">
        <v>1458</v>
      </c>
      <c r="AP26" s="99">
        <v>3</v>
      </c>
      <c r="AQ26" s="99">
        <v>1458</v>
      </c>
      <c r="AR26" s="99">
        <v>2</v>
      </c>
      <c r="AS26" s="99">
        <v>972</v>
      </c>
      <c r="AT26" s="99">
        <v>2.3432988827558496</v>
      </c>
      <c r="AU26" s="99">
        <v>1138.8432570193429</v>
      </c>
      <c r="AV26" s="99">
        <v>2</v>
      </c>
      <c r="AW26" s="99">
        <v>972</v>
      </c>
      <c r="AX26" s="99">
        <v>2</v>
      </c>
      <c r="AY26" s="99">
        <v>972</v>
      </c>
      <c r="AZ26" s="99">
        <v>3</v>
      </c>
      <c r="BA26" s="99">
        <v>1458</v>
      </c>
      <c r="BB26" s="99">
        <v>2</v>
      </c>
      <c r="BC26" s="99">
        <v>972</v>
      </c>
      <c r="BD26" s="99">
        <v>4</v>
      </c>
      <c r="BE26" s="99">
        <v>1944</v>
      </c>
      <c r="BF26" s="99">
        <v>2</v>
      </c>
      <c r="BG26" s="99">
        <v>972</v>
      </c>
      <c r="BH26" s="99">
        <v>3</v>
      </c>
      <c r="BI26" s="99">
        <v>1458</v>
      </c>
      <c r="BJ26" s="99">
        <v>2</v>
      </c>
      <c r="BK26" s="99">
        <v>972</v>
      </c>
      <c r="BL26" s="99">
        <v>2.7209459843554251</v>
      </c>
      <c r="BM26" s="99">
        <v>1322.3797483967367</v>
      </c>
      <c r="BN26" s="99">
        <v>1.0058592446078285</v>
      </c>
      <c r="BO26" s="99">
        <v>488.84759287940466</v>
      </c>
      <c r="BP26" s="99">
        <v>3</v>
      </c>
      <c r="BQ26" s="99">
        <v>1458</v>
      </c>
      <c r="BR26" s="99">
        <v>1.7615713204399046</v>
      </c>
      <c r="BS26" s="99">
        <v>856.1236617337936</v>
      </c>
      <c r="BT26" s="99">
        <v>3</v>
      </c>
      <c r="BU26" s="99">
        <v>1458</v>
      </c>
      <c r="BV26" s="99">
        <v>1.9126052984681636</v>
      </c>
      <c r="BW26" s="99">
        <v>929.52617505552757</v>
      </c>
      <c r="BX26" s="99">
        <v>1.5777036282802819</v>
      </c>
      <c r="BY26" s="99">
        <v>766.76396334421702</v>
      </c>
      <c r="BZ26" s="99">
        <v>0</v>
      </c>
      <c r="CA26" s="99">
        <v>0</v>
      </c>
      <c r="CB26" s="99">
        <v>2</v>
      </c>
      <c r="CC26" s="99">
        <v>972</v>
      </c>
      <c r="CD26" s="99">
        <v>4</v>
      </c>
      <c r="CE26" s="99">
        <v>1944</v>
      </c>
      <c r="CF26" s="99">
        <v>4</v>
      </c>
      <c r="CG26" s="99">
        <v>1944</v>
      </c>
      <c r="CH26" s="99">
        <v>0.39782040858094214</v>
      </c>
      <c r="CI26" s="99">
        <v>193.34071857033788</v>
      </c>
      <c r="CJ26" s="99">
        <v>0</v>
      </c>
      <c r="CK26" s="99">
        <v>0</v>
      </c>
      <c r="CL26" s="99">
        <v>0</v>
      </c>
      <c r="CM26" s="99">
        <v>0</v>
      </c>
      <c r="CN26" s="99">
        <v>4</v>
      </c>
      <c r="CO26" s="99">
        <v>1944</v>
      </c>
      <c r="CP26" s="99">
        <v>2</v>
      </c>
      <c r="CQ26" s="99">
        <v>972</v>
      </c>
      <c r="CR26" s="99">
        <v>1.6980898051261804</v>
      </c>
      <c r="CS26" s="99">
        <v>825.27164529132369</v>
      </c>
      <c r="CT26" s="99">
        <v>1.4985562843724893</v>
      </c>
      <c r="CU26" s="99">
        <v>728.2983542050298</v>
      </c>
    </row>
    <row r="27" spans="2:99">
      <c r="C27" s="98" t="s">
        <v>192</v>
      </c>
      <c r="D27" s="99">
        <v>0</v>
      </c>
      <c r="E27" s="99">
        <v>0</v>
      </c>
      <c r="F27" s="99">
        <v>0</v>
      </c>
      <c r="G27" s="99">
        <v>0</v>
      </c>
      <c r="H27" s="99">
        <v>1.831875912622781</v>
      </c>
      <c r="I27" s="99">
        <v>782.57738987245204</v>
      </c>
      <c r="J27" s="99">
        <v>1.4536619128256774</v>
      </c>
      <c r="K27" s="99">
        <v>621.0043691591294</v>
      </c>
      <c r="L27" s="99">
        <v>4.9227870301581342</v>
      </c>
      <c r="M27" s="99">
        <v>2103.014619283555</v>
      </c>
      <c r="N27" s="99">
        <v>2</v>
      </c>
      <c r="O27" s="99">
        <v>854.4</v>
      </c>
      <c r="P27" s="99">
        <v>2</v>
      </c>
      <c r="Q27" s="99">
        <v>854.4</v>
      </c>
      <c r="R27" s="99">
        <v>0.64900116919319262</v>
      </c>
      <c r="S27" s="99">
        <v>277.25329947933187</v>
      </c>
      <c r="T27" s="99">
        <v>2</v>
      </c>
      <c r="U27" s="99">
        <v>854.4</v>
      </c>
      <c r="V27" s="99">
        <v>3</v>
      </c>
      <c r="W27" s="99">
        <v>1281.5999999999999</v>
      </c>
      <c r="X27" s="99">
        <v>3</v>
      </c>
      <c r="Y27" s="99">
        <v>1281.5999999999999</v>
      </c>
      <c r="Z27" s="99">
        <v>3</v>
      </c>
      <c r="AA27" s="99">
        <v>1281.5999999999999</v>
      </c>
      <c r="AB27" s="99">
        <v>2</v>
      </c>
      <c r="AC27" s="99">
        <v>854.4</v>
      </c>
      <c r="AD27" s="99">
        <v>3</v>
      </c>
      <c r="AE27" s="99">
        <v>1281.5999999999999</v>
      </c>
      <c r="AF27" s="99">
        <v>2</v>
      </c>
      <c r="AG27" s="99">
        <v>854.4</v>
      </c>
      <c r="AH27" s="99">
        <v>0.66050093413979616</v>
      </c>
      <c r="AI27" s="99">
        <v>282.16599906452092</v>
      </c>
      <c r="AJ27" s="99">
        <v>3</v>
      </c>
      <c r="AK27" s="99">
        <v>1281.5999999999999</v>
      </c>
      <c r="AL27" s="99">
        <v>3</v>
      </c>
      <c r="AM27" s="99">
        <v>1281.5999999999999</v>
      </c>
      <c r="AN27" s="99">
        <v>3</v>
      </c>
      <c r="AO27" s="99">
        <v>1281.5999999999999</v>
      </c>
      <c r="AP27" s="99">
        <v>3</v>
      </c>
      <c r="AQ27" s="99">
        <v>1281.5999999999999</v>
      </c>
      <c r="AR27" s="99">
        <v>2</v>
      </c>
      <c r="AS27" s="99">
        <v>854.4</v>
      </c>
      <c r="AT27" s="99">
        <v>1.7574741620668872</v>
      </c>
      <c r="AU27" s="99">
        <v>750.79296203497415</v>
      </c>
      <c r="AV27" s="99">
        <v>2</v>
      </c>
      <c r="AW27" s="99">
        <v>854.4</v>
      </c>
      <c r="AX27" s="99">
        <v>3</v>
      </c>
      <c r="AY27" s="99">
        <v>1281.5999999999999</v>
      </c>
      <c r="AZ27" s="99">
        <v>3</v>
      </c>
      <c r="BA27" s="99">
        <v>1281.5999999999999</v>
      </c>
      <c r="BB27" s="99">
        <v>3</v>
      </c>
      <c r="BC27" s="99">
        <v>1281.5999999999999</v>
      </c>
      <c r="BD27" s="99">
        <v>3</v>
      </c>
      <c r="BE27" s="99">
        <v>1281.5999999999999</v>
      </c>
      <c r="BF27" s="99">
        <v>3</v>
      </c>
      <c r="BG27" s="99">
        <v>1281.5999999999999</v>
      </c>
      <c r="BH27" s="99">
        <v>3</v>
      </c>
      <c r="BI27" s="99">
        <v>1281.5999999999999</v>
      </c>
      <c r="BJ27" s="99">
        <v>2</v>
      </c>
      <c r="BK27" s="99">
        <v>854.4</v>
      </c>
      <c r="BL27" s="99">
        <v>1.8139639895702835</v>
      </c>
      <c r="BM27" s="99">
        <v>774.92541634442512</v>
      </c>
      <c r="BN27" s="99">
        <v>1.0058592446078285</v>
      </c>
      <c r="BO27" s="99">
        <v>429.70306929646432</v>
      </c>
      <c r="BP27" s="99">
        <v>3</v>
      </c>
      <c r="BQ27" s="99">
        <v>1281.5999999999999</v>
      </c>
      <c r="BR27" s="99">
        <v>1.7615713204399046</v>
      </c>
      <c r="BS27" s="99">
        <v>752.54326809192719</v>
      </c>
      <c r="BT27" s="99">
        <v>4</v>
      </c>
      <c r="BU27" s="99">
        <v>1708.8</v>
      </c>
      <c r="BV27" s="99">
        <v>1.9126052984681636</v>
      </c>
      <c r="BW27" s="99">
        <v>817.06498350559946</v>
      </c>
      <c r="BX27" s="99">
        <v>1.5777036282802819</v>
      </c>
      <c r="BY27" s="99">
        <v>673.99499000133642</v>
      </c>
      <c r="BZ27" s="99">
        <v>0</v>
      </c>
      <c r="CA27" s="99">
        <v>0</v>
      </c>
      <c r="CB27" s="99">
        <v>3</v>
      </c>
      <c r="CC27" s="99">
        <v>1281.5999999999999</v>
      </c>
      <c r="CD27" s="99">
        <v>3</v>
      </c>
      <c r="CE27" s="99">
        <v>1281.5999999999999</v>
      </c>
      <c r="CF27" s="99">
        <v>3</v>
      </c>
      <c r="CG27" s="99">
        <v>1281.5999999999999</v>
      </c>
      <c r="CH27" s="99">
        <v>0.59673061287141316</v>
      </c>
      <c r="CI27" s="99">
        <v>254.9233178186677</v>
      </c>
      <c r="CJ27" s="99">
        <v>0</v>
      </c>
      <c r="CK27" s="99">
        <v>0</v>
      </c>
      <c r="CL27" s="99">
        <v>0</v>
      </c>
      <c r="CM27" s="99">
        <v>0</v>
      </c>
      <c r="CN27" s="99">
        <v>3</v>
      </c>
      <c r="CO27" s="99">
        <v>1281.5999999999999</v>
      </c>
      <c r="CP27" s="99">
        <v>2</v>
      </c>
      <c r="CQ27" s="99">
        <v>854.4</v>
      </c>
      <c r="CR27" s="99">
        <v>2.5471347076892705</v>
      </c>
      <c r="CS27" s="99">
        <v>1088.1359471248563</v>
      </c>
      <c r="CT27" s="99">
        <v>1.4985562843724893</v>
      </c>
      <c r="CU27" s="99">
        <v>640.18324468392746</v>
      </c>
    </row>
    <row r="28" spans="2:99">
      <c r="C28" s="98" t="s">
        <v>193</v>
      </c>
      <c r="D28" s="99">
        <v>0</v>
      </c>
      <c r="E28" s="99">
        <v>0</v>
      </c>
      <c r="F28" s="99">
        <v>0</v>
      </c>
      <c r="G28" s="99">
        <v>0</v>
      </c>
      <c r="H28" s="99">
        <v>1.831875912622781</v>
      </c>
      <c r="I28" s="99">
        <v>1351.9244235156125</v>
      </c>
      <c r="J28" s="99">
        <v>1.5109406737592419</v>
      </c>
      <c r="K28" s="99">
        <v>1115.0742172343205</v>
      </c>
      <c r="L28" s="99">
        <v>4.7479882092346681</v>
      </c>
      <c r="M28" s="99">
        <v>3504.015298415185</v>
      </c>
      <c r="N28" s="99">
        <v>2</v>
      </c>
      <c r="O28" s="99">
        <v>1476</v>
      </c>
      <c r="P28" s="99">
        <v>2</v>
      </c>
      <c r="Q28" s="99">
        <v>1476</v>
      </c>
      <c r="R28" s="99">
        <v>0.64900116919319262</v>
      </c>
      <c r="S28" s="99">
        <v>478.96286286457615</v>
      </c>
      <c r="T28" s="99">
        <v>2</v>
      </c>
      <c r="U28" s="99">
        <v>1476</v>
      </c>
      <c r="V28" s="99">
        <v>3</v>
      </c>
      <c r="W28" s="99">
        <v>2214</v>
      </c>
      <c r="X28" s="99">
        <v>3</v>
      </c>
      <c r="Y28" s="99">
        <v>2214</v>
      </c>
      <c r="Z28" s="99">
        <v>3</v>
      </c>
      <c r="AA28" s="99">
        <v>2214</v>
      </c>
      <c r="AB28" s="99">
        <v>2</v>
      </c>
      <c r="AC28" s="99">
        <v>1476</v>
      </c>
      <c r="AD28" s="99">
        <v>3</v>
      </c>
      <c r="AE28" s="99">
        <v>2214</v>
      </c>
      <c r="AF28" s="99">
        <v>2</v>
      </c>
      <c r="AG28" s="99">
        <v>1476</v>
      </c>
      <c r="AH28" s="99">
        <v>0.66050093413979616</v>
      </c>
      <c r="AI28" s="99">
        <v>487.44968939516957</v>
      </c>
      <c r="AJ28" s="99">
        <v>3</v>
      </c>
      <c r="AK28" s="99">
        <v>2214</v>
      </c>
      <c r="AL28" s="99">
        <v>3</v>
      </c>
      <c r="AM28" s="99">
        <v>2214</v>
      </c>
      <c r="AN28" s="99">
        <v>3</v>
      </c>
      <c r="AO28" s="99">
        <v>2214</v>
      </c>
      <c r="AP28" s="99">
        <v>3</v>
      </c>
      <c r="AQ28" s="99">
        <v>2214</v>
      </c>
      <c r="AR28" s="99">
        <v>2</v>
      </c>
      <c r="AS28" s="99">
        <v>1476</v>
      </c>
      <c r="AT28" s="99">
        <v>1.7574741620668872</v>
      </c>
      <c r="AU28" s="99">
        <v>1297.0159316053628</v>
      </c>
      <c r="AV28" s="99">
        <v>2</v>
      </c>
      <c r="AW28" s="99">
        <v>1476</v>
      </c>
      <c r="AX28" s="99">
        <v>2</v>
      </c>
      <c r="AY28" s="99">
        <v>1476</v>
      </c>
      <c r="AZ28" s="99">
        <v>3</v>
      </c>
      <c r="BA28" s="99">
        <v>2214</v>
      </c>
      <c r="BB28" s="99">
        <v>3</v>
      </c>
      <c r="BC28" s="99">
        <v>2214</v>
      </c>
      <c r="BD28" s="99">
        <v>3</v>
      </c>
      <c r="BE28" s="99">
        <v>2214</v>
      </c>
      <c r="BF28" s="99">
        <v>2</v>
      </c>
      <c r="BG28" s="99">
        <v>1476</v>
      </c>
      <c r="BH28" s="99">
        <v>2</v>
      </c>
      <c r="BI28" s="99">
        <v>1476</v>
      </c>
      <c r="BJ28" s="99">
        <v>2</v>
      </c>
      <c r="BK28" s="99">
        <v>1476</v>
      </c>
      <c r="BL28" s="99">
        <v>1.8139639895702835</v>
      </c>
      <c r="BM28" s="99">
        <v>1338.7054243028692</v>
      </c>
      <c r="BN28" s="99">
        <v>1.0058592446078285</v>
      </c>
      <c r="BO28" s="99">
        <v>742.32412252057748</v>
      </c>
      <c r="BP28" s="99">
        <v>3</v>
      </c>
      <c r="BQ28" s="99">
        <v>2214</v>
      </c>
      <c r="BR28" s="99">
        <v>1.7615713204399046</v>
      </c>
      <c r="BS28" s="99">
        <v>1300.0396344846497</v>
      </c>
      <c r="BT28" s="99">
        <v>3</v>
      </c>
      <c r="BU28" s="99">
        <v>2214</v>
      </c>
      <c r="BV28" s="99">
        <v>1.9126052984681636</v>
      </c>
      <c r="BW28" s="99">
        <v>1411.5027102695049</v>
      </c>
      <c r="BX28" s="99">
        <v>1.5777036282802819</v>
      </c>
      <c r="BY28" s="99">
        <v>1164.345277670848</v>
      </c>
      <c r="BZ28" s="99">
        <v>0</v>
      </c>
      <c r="CA28" s="99">
        <v>0</v>
      </c>
      <c r="CB28" s="99">
        <v>3</v>
      </c>
      <c r="CC28" s="99">
        <v>2214</v>
      </c>
      <c r="CD28" s="99">
        <v>3</v>
      </c>
      <c r="CE28" s="99">
        <v>2214</v>
      </c>
      <c r="CF28" s="99">
        <v>3</v>
      </c>
      <c r="CG28" s="99">
        <v>2214</v>
      </c>
      <c r="CH28" s="99">
        <v>0.59673061287141316</v>
      </c>
      <c r="CI28" s="99">
        <v>440.38719229910294</v>
      </c>
      <c r="CJ28" s="99">
        <v>0</v>
      </c>
      <c r="CK28" s="99">
        <v>0</v>
      </c>
      <c r="CL28" s="99">
        <v>0</v>
      </c>
      <c r="CM28" s="99">
        <v>0</v>
      </c>
      <c r="CN28" s="99">
        <v>4</v>
      </c>
      <c r="CO28" s="99">
        <v>2952</v>
      </c>
      <c r="CP28" s="99">
        <v>2</v>
      </c>
      <c r="CQ28" s="99">
        <v>1476</v>
      </c>
      <c r="CR28" s="99">
        <v>1.6980898051261804</v>
      </c>
      <c r="CS28" s="99">
        <v>1253.1902761831211</v>
      </c>
      <c r="CT28" s="99">
        <v>1.4985562843724893</v>
      </c>
      <c r="CU28" s="99">
        <v>1105.934537866897</v>
      </c>
    </row>
    <row r="29" spans="2:99">
      <c r="C29" s="98" t="s">
        <v>194</v>
      </c>
      <c r="D29" s="99">
        <v>0</v>
      </c>
      <c r="E29" s="99">
        <v>0</v>
      </c>
      <c r="F29" s="99">
        <v>0</v>
      </c>
      <c r="G29" s="99">
        <v>0</v>
      </c>
      <c r="H29" s="99">
        <v>1.831875912622781</v>
      </c>
      <c r="I29" s="99">
        <v>619.90680883154903</v>
      </c>
      <c r="J29" s="99">
        <v>1.5109406737592419</v>
      </c>
      <c r="K29" s="99">
        <v>511.30232400012744</v>
      </c>
      <c r="L29" s="99">
        <v>4.9227870301581342</v>
      </c>
      <c r="M29" s="99">
        <v>1665.8711310055126</v>
      </c>
      <c r="N29" s="99">
        <v>2</v>
      </c>
      <c r="O29" s="99">
        <v>676.8</v>
      </c>
      <c r="P29" s="99">
        <v>2</v>
      </c>
      <c r="Q29" s="99">
        <v>676.8</v>
      </c>
      <c r="R29" s="99">
        <v>0.64900116919319262</v>
      </c>
      <c r="S29" s="99">
        <v>219.62199565497636</v>
      </c>
      <c r="T29" s="99">
        <v>3</v>
      </c>
      <c r="U29" s="99">
        <v>1015.1999999999999</v>
      </c>
      <c r="V29" s="99">
        <v>3</v>
      </c>
      <c r="W29" s="99">
        <v>1015.1999999999999</v>
      </c>
      <c r="X29" s="99">
        <v>3</v>
      </c>
      <c r="Y29" s="99">
        <v>1015.1999999999999</v>
      </c>
      <c r="Z29" s="99">
        <v>3</v>
      </c>
      <c r="AA29" s="99">
        <v>1015.1999999999999</v>
      </c>
      <c r="AB29" s="99">
        <v>2</v>
      </c>
      <c r="AC29" s="99">
        <v>676.8</v>
      </c>
      <c r="AD29" s="99">
        <v>3</v>
      </c>
      <c r="AE29" s="99">
        <v>1015.1999999999999</v>
      </c>
      <c r="AF29" s="99">
        <v>2</v>
      </c>
      <c r="AG29" s="99">
        <v>676.8</v>
      </c>
      <c r="AH29" s="99">
        <v>0.66050093413979616</v>
      </c>
      <c r="AI29" s="99">
        <v>223.51351611290701</v>
      </c>
      <c r="AJ29" s="99">
        <v>4</v>
      </c>
      <c r="AK29" s="99">
        <v>1353.6</v>
      </c>
      <c r="AL29" s="99">
        <v>3</v>
      </c>
      <c r="AM29" s="99">
        <v>1015.1999999999999</v>
      </c>
      <c r="AN29" s="99">
        <v>3</v>
      </c>
      <c r="AO29" s="99">
        <v>1015.1999999999999</v>
      </c>
      <c r="AP29" s="99">
        <v>3</v>
      </c>
      <c r="AQ29" s="99">
        <v>1015.1999999999999</v>
      </c>
      <c r="AR29" s="99">
        <v>2</v>
      </c>
      <c r="AS29" s="99">
        <v>676.8</v>
      </c>
      <c r="AT29" s="99">
        <v>1.7574741620668872</v>
      </c>
      <c r="AU29" s="99">
        <v>594.72925644343456</v>
      </c>
      <c r="AV29" s="99">
        <v>2</v>
      </c>
      <c r="AW29" s="99">
        <v>676.8</v>
      </c>
      <c r="AX29" s="99">
        <v>2</v>
      </c>
      <c r="AY29" s="99">
        <v>676.8</v>
      </c>
      <c r="AZ29" s="99">
        <v>3</v>
      </c>
      <c r="BA29" s="99">
        <v>1015.1999999999999</v>
      </c>
      <c r="BB29" s="99">
        <v>3</v>
      </c>
      <c r="BC29" s="99">
        <v>1015.1999999999999</v>
      </c>
      <c r="BD29" s="99">
        <v>3</v>
      </c>
      <c r="BE29" s="99">
        <v>1015.1999999999999</v>
      </c>
      <c r="BF29" s="99">
        <v>3</v>
      </c>
      <c r="BG29" s="99">
        <v>1015.1999999999999</v>
      </c>
      <c r="BH29" s="99">
        <v>3</v>
      </c>
      <c r="BI29" s="99">
        <v>1015.1999999999999</v>
      </c>
      <c r="BJ29" s="99">
        <v>2</v>
      </c>
      <c r="BK29" s="99">
        <v>676.8</v>
      </c>
      <c r="BL29" s="99">
        <v>1.8139639895702835</v>
      </c>
      <c r="BM29" s="99">
        <v>613.84541407058384</v>
      </c>
      <c r="BN29" s="99">
        <v>1.0058592446078285</v>
      </c>
      <c r="BO29" s="99">
        <v>340.38276837528912</v>
      </c>
      <c r="BP29" s="99">
        <v>3</v>
      </c>
      <c r="BQ29" s="99">
        <v>1015.1999999999999</v>
      </c>
      <c r="BR29" s="99">
        <v>1.7615713204399046</v>
      </c>
      <c r="BS29" s="99">
        <v>596.11573483686368</v>
      </c>
      <c r="BT29" s="99">
        <v>3</v>
      </c>
      <c r="BU29" s="99">
        <v>1015.1999999999999</v>
      </c>
      <c r="BV29" s="99">
        <v>1.9126052984681636</v>
      </c>
      <c r="BW29" s="99">
        <v>647.22563300162653</v>
      </c>
      <c r="BX29" s="99">
        <v>1.5777036282802819</v>
      </c>
      <c r="BY29" s="99">
        <v>533.89490781004736</v>
      </c>
      <c r="BZ29" s="99">
        <v>0</v>
      </c>
      <c r="CA29" s="99">
        <v>0</v>
      </c>
      <c r="CB29" s="99">
        <v>2</v>
      </c>
      <c r="CC29" s="99">
        <v>676.8</v>
      </c>
      <c r="CD29" s="99">
        <v>3</v>
      </c>
      <c r="CE29" s="99">
        <v>1015.1999999999999</v>
      </c>
      <c r="CF29" s="99">
        <v>4</v>
      </c>
      <c r="CG29" s="99">
        <v>1353.6</v>
      </c>
      <c r="CH29" s="99">
        <v>0.39782040858094214</v>
      </c>
      <c r="CI29" s="99">
        <v>134.6224262637908</v>
      </c>
      <c r="CJ29" s="99">
        <v>0</v>
      </c>
      <c r="CK29" s="99">
        <v>0</v>
      </c>
      <c r="CL29" s="99">
        <v>0</v>
      </c>
      <c r="CM29" s="99">
        <v>0</v>
      </c>
      <c r="CN29" s="99">
        <v>3</v>
      </c>
      <c r="CO29" s="99">
        <v>1015.1999999999999</v>
      </c>
      <c r="CP29" s="99">
        <v>2</v>
      </c>
      <c r="CQ29" s="99">
        <v>676.8</v>
      </c>
      <c r="CR29" s="99">
        <v>2.5471347076892705</v>
      </c>
      <c r="CS29" s="99">
        <v>861.95038508204914</v>
      </c>
      <c r="CT29" s="99">
        <v>1.9980750458299856</v>
      </c>
      <c r="CU29" s="99">
        <v>676.14859550886706</v>
      </c>
    </row>
    <row r="30" spans="2:99">
      <c r="C30" s="98" t="s">
        <v>195</v>
      </c>
      <c r="D30" s="99">
        <v>0</v>
      </c>
      <c r="E30" s="99">
        <v>0</v>
      </c>
      <c r="F30" s="99">
        <v>0</v>
      </c>
      <c r="G30" s="99">
        <v>0</v>
      </c>
      <c r="H30" s="99">
        <v>1.831875912622781</v>
      </c>
      <c r="I30" s="99">
        <v>254.9971270370911</v>
      </c>
      <c r="J30" s="99">
        <v>1.5109406737592419</v>
      </c>
      <c r="K30" s="99">
        <v>210.32294178728645</v>
      </c>
      <c r="L30" s="99">
        <v>4.7479882092346681</v>
      </c>
      <c r="M30" s="99">
        <v>660.91995872546579</v>
      </c>
      <c r="N30" s="99">
        <v>2</v>
      </c>
      <c r="O30" s="99">
        <v>278.39999999999998</v>
      </c>
      <c r="P30" s="99">
        <v>2</v>
      </c>
      <c r="Q30" s="99">
        <v>278.39999999999998</v>
      </c>
      <c r="R30" s="99">
        <v>0.64900116919319262</v>
      </c>
      <c r="S30" s="99">
        <v>90.340962751692402</v>
      </c>
      <c r="T30" s="99">
        <v>2</v>
      </c>
      <c r="U30" s="99">
        <v>278.39999999999998</v>
      </c>
      <c r="V30" s="99">
        <v>3</v>
      </c>
      <c r="W30" s="99">
        <v>417.59999999999997</v>
      </c>
      <c r="X30" s="99">
        <v>3</v>
      </c>
      <c r="Y30" s="99">
        <v>417.59999999999997</v>
      </c>
      <c r="Z30" s="99">
        <v>3</v>
      </c>
      <c r="AA30" s="99">
        <v>417.59999999999997</v>
      </c>
      <c r="AB30" s="99">
        <v>2</v>
      </c>
      <c r="AC30" s="99">
        <v>278.39999999999998</v>
      </c>
      <c r="AD30" s="99">
        <v>3</v>
      </c>
      <c r="AE30" s="99">
        <v>417.59999999999997</v>
      </c>
      <c r="AF30" s="99">
        <v>2</v>
      </c>
      <c r="AG30" s="99">
        <v>278.39999999999998</v>
      </c>
      <c r="AH30" s="99">
        <v>0.66050093413979616</v>
      </c>
      <c r="AI30" s="99">
        <v>91.941730032259613</v>
      </c>
      <c r="AJ30" s="99">
        <v>3</v>
      </c>
      <c r="AK30" s="99">
        <v>417.59999999999997</v>
      </c>
      <c r="AL30" s="99">
        <v>3</v>
      </c>
      <c r="AM30" s="99">
        <v>417.59999999999997</v>
      </c>
      <c r="AN30" s="99">
        <v>3</v>
      </c>
      <c r="AO30" s="99">
        <v>417.59999999999997</v>
      </c>
      <c r="AP30" s="99">
        <v>3</v>
      </c>
      <c r="AQ30" s="99">
        <v>417.59999999999997</v>
      </c>
      <c r="AR30" s="99">
        <v>2</v>
      </c>
      <c r="AS30" s="99">
        <v>278.39999999999998</v>
      </c>
      <c r="AT30" s="99">
        <v>2.3432988827558496</v>
      </c>
      <c r="AU30" s="99">
        <v>326.18720447961425</v>
      </c>
      <c r="AV30" s="99">
        <v>2</v>
      </c>
      <c r="AW30" s="99">
        <v>278.39999999999998</v>
      </c>
      <c r="AX30" s="99">
        <v>2</v>
      </c>
      <c r="AY30" s="99">
        <v>278.39999999999998</v>
      </c>
      <c r="AZ30" s="99">
        <v>3</v>
      </c>
      <c r="BA30" s="99">
        <v>417.59999999999997</v>
      </c>
      <c r="BB30" s="99">
        <v>3</v>
      </c>
      <c r="BC30" s="99">
        <v>417.59999999999997</v>
      </c>
      <c r="BD30" s="99">
        <v>4</v>
      </c>
      <c r="BE30" s="99">
        <v>556.79999999999995</v>
      </c>
      <c r="BF30" s="99">
        <v>3</v>
      </c>
      <c r="BG30" s="99">
        <v>417.59999999999997</v>
      </c>
      <c r="BH30" s="99">
        <v>3</v>
      </c>
      <c r="BI30" s="99">
        <v>417.59999999999997</v>
      </c>
      <c r="BJ30" s="99">
        <v>2</v>
      </c>
      <c r="BK30" s="99">
        <v>278.39999999999998</v>
      </c>
      <c r="BL30" s="99">
        <v>2.7209459843554251</v>
      </c>
      <c r="BM30" s="99">
        <v>378.75568102227516</v>
      </c>
      <c r="BN30" s="99">
        <v>1.0058592446078285</v>
      </c>
      <c r="BO30" s="99">
        <v>140.01560684940972</v>
      </c>
      <c r="BP30" s="99">
        <v>3</v>
      </c>
      <c r="BQ30" s="99">
        <v>417.59999999999997</v>
      </c>
      <c r="BR30" s="99">
        <v>1.7615713204399046</v>
      </c>
      <c r="BS30" s="99">
        <v>245.21072780523471</v>
      </c>
      <c r="BT30" s="99">
        <v>4</v>
      </c>
      <c r="BU30" s="99">
        <v>556.79999999999995</v>
      </c>
      <c r="BV30" s="99">
        <v>1.9126052984681636</v>
      </c>
      <c r="BW30" s="99">
        <v>266.23465754676835</v>
      </c>
      <c r="BX30" s="99">
        <v>2.3665554424204225</v>
      </c>
      <c r="BY30" s="99">
        <v>329.4245175849228</v>
      </c>
      <c r="BZ30" s="99">
        <v>0</v>
      </c>
      <c r="CA30" s="99">
        <v>0</v>
      </c>
      <c r="CB30" s="99">
        <v>2</v>
      </c>
      <c r="CC30" s="99">
        <v>278.39999999999998</v>
      </c>
      <c r="CD30" s="99">
        <v>4</v>
      </c>
      <c r="CE30" s="99">
        <v>556.79999999999995</v>
      </c>
      <c r="CF30" s="99">
        <v>4</v>
      </c>
      <c r="CG30" s="99">
        <v>556.79999999999995</v>
      </c>
      <c r="CH30" s="99">
        <v>0.59673061287141316</v>
      </c>
      <c r="CI30" s="99">
        <v>83.064901311700709</v>
      </c>
      <c r="CJ30" s="99">
        <v>0</v>
      </c>
      <c r="CK30" s="99">
        <v>0</v>
      </c>
      <c r="CL30" s="99">
        <v>0</v>
      </c>
      <c r="CM30" s="99">
        <v>0</v>
      </c>
      <c r="CN30" s="99">
        <v>3</v>
      </c>
      <c r="CO30" s="99">
        <v>417.59999999999997</v>
      </c>
      <c r="CP30" s="99">
        <v>2</v>
      </c>
      <c r="CQ30" s="99">
        <v>278.39999999999998</v>
      </c>
      <c r="CR30" s="99">
        <v>2.5471347076892705</v>
      </c>
      <c r="CS30" s="99">
        <v>354.56115131034642</v>
      </c>
      <c r="CT30" s="99">
        <v>1.4985562843724893</v>
      </c>
      <c r="CU30" s="99">
        <v>208.59903478465048</v>
      </c>
    </row>
    <row r="31" spans="2:99">
      <c r="C31" s="98" t="s">
        <v>196</v>
      </c>
      <c r="D31" s="99">
        <v>0</v>
      </c>
      <c r="E31" s="99">
        <v>0</v>
      </c>
      <c r="F31" s="99">
        <v>0</v>
      </c>
      <c r="G31" s="99">
        <v>0</v>
      </c>
      <c r="H31" s="99">
        <v>1.831875912622781</v>
      </c>
      <c r="I31" s="99">
        <v>624.3033110218438</v>
      </c>
      <c r="J31" s="99">
        <v>1.5109406737592419</v>
      </c>
      <c r="K31" s="99">
        <v>514.92858161714969</v>
      </c>
      <c r="L31" s="99">
        <v>4.7479882092346681</v>
      </c>
      <c r="M31" s="99">
        <v>1618.114381707175</v>
      </c>
      <c r="N31" s="99">
        <v>2</v>
      </c>
      <c r="O31" s="99">
        <v>681.6</v>
      </c>
      <c r="P31" s="99">
        <v>2</v>
      </c>
      <c r="Q31" s="99">
        <v>681.6</v>
      </c>
      <c r="R31" s="99">
        <v>0.64900116919319262</v>
      </c>
      <c r="S31" s="99">
        <v>221.17959846104006</v>
      </c>
      <c r="T31" s="99">
        <v>3</v>
      </c>
      <c r="U31" s="99">
        <v>1022.4000000000001</v>
      </c>
      <c r="V31" s="99">
        <v>3</v>
      </c>
      <c r="W31" s="99">
        <v>1022.4000000000001</v>
      </c>
      <c r="X31" s="99">
        <v>4</v>
      </c>
      <c r="Y31" s="99">
        <v>1363.2</v>
      </c>
      <c r="Z31" s="99">
        <v>3</v>
      </c>
      <c r="AA31" s="99">
        <v>1022.4000000000001</v>
      </c>
      <c r="AB31" s="99">
        <v>3</v>
      </c>
      <c r="AC31" s="99">
        <v>1022.4000000000001</v>
      </c>
      <c r="AD31" s="99">
        <v>3</v>
      </c>
      <c r="AE31" s="99">
        <v>1022.4000000000001</v>
      </c>
      <c r="AF31" s="99">
        <v>2</v>
      </c>
      <c r="AG31" s="99">
        <v>681.6</v>
      </c>
      <c r="AH31" s="99">
        <v>0.66050093413979616</v>
      </c>
      <c r="AI31" s="99">
        <v>225.09871835484253</v>
      </c>
      <c r="AJ31" s="99">
        <v>3</v>
      </c>
      <c r="AK31" s="99">
        <v>1022.4000000000001</v>
      </c>
      <c r="AL31" s="99">
        <v>3</v>
      </c>
      <c r="AM31" s="99">
        <v>1022.4000000000001</v>
      </c>
      <c r="AN31" s="99">
        <v>3</v>
      </c>
      <c r="AO31" s="99">
        <v>1022.4000000000001</v>
      </c>
      <c r="AP31" s="99">
        <v>3</v>
      </c>
      <c r="AQ31" s="99">
        <v>1022.4000000000001</v>
      </c>
      <c r="AR31" s="99">
        <v>2</v>
      </c>
      <c r="AS31" s="99">
        <v>681.6</v>
      </c>
      <c r="AT31" s="99">
        <v>1.7574741620668872</v>
      </c>
      <c r="AU31" s="99">
        <v>598.94719443239524</v>
      </c>
      <c r="AV31" s="99">
        <v>2</v>
      </c>
      <c r="AW31" s="99">
        <v>681.6</v>
      </c>
      <c r="AX31" s="99">
        <v>2</v>
      </c>
      <c r="AY31" s="99">
        <v>681.6</v>
      </c>
      <c r="AZ31" s="99">
        <v>3</v>
      </c>
      <c r="BA31" s="99">
        <v>1022.4000000000001</v>
      </c>
      <c r="BB31" s="99">
        <v>3</v>
      </c>
      <c r="BC31" s="99">
        <v>1022.4000000000001</v>
      </c>
      <c r="BD31" s="99">
        <v>3</v>
      </c>
      <c r="BE31" s="99">
        <v>1022.4000000000001</v>
      </c>
      <c r="BF31" s="99">
        <v>2</v>
      </c>
      <c r="BG31" s="99">
        <v>681.6</v>
      </c>
      <c r="BH31" s="99">
        <v>3</v>
      </c>
      <c r="BI31" s="99">
        <v>1022.4000000000001</v>
      </c>
      <c r="BJ31" s="99">
        <v>2</v>
      </c>
      <c r="BK31" s="99">
        <v>681.6</v>
      </c>
      <c r="BL31" s="99">
        <v>2.7209459843554251</v>
      </c>
      <c r="BM31" s="99">
        <v>927.29839146832887</v>
      </c>
      <c r="BN31" s="99">
        <v>1.5087888669117426</v>
      </c>
      <c r="BO31" s="99">
        <v>514.19524584352189</v>
      </c>
      <c r="BP31" s="99">
        <v>3</v>
      </c>
      <c r="BQ31" s="99">
        <v>1022.4000000000001</v>
      </c>
      <c r="BR31" s="99">
        <v>1.7615713204399046</v>
      </c>
      <c r="BS31" s="99">
        <v>600.34350600591949</v>
      </c>
      <c r="BT31" s="99">
        <v>4</v>
      </c>
      <c r="BU31" s="99">
        <v>1363.2</v>
      </c>
      <c r="BV31" s="99">
        <v>1.9126052984681636</v>
      </c>
      <c r="BW31" s="99">
        <v>651.81588571795021</v>
      </c>
      <c r="BX31" s="99">
        <v>2.3665554424204225</v>
      </c>
      <c r="BY31" s="99">
        <v>806.52209477687995</v>
      </c>
      <c r="BZ31" s="99">
        <v>0</v>
      </c>
      <c r="CA31" s="99">
        <v>0</v>
      </c>
      <c r="CB31" s="99">
        <v>3</v>
      </c>
      <c r="CC31" s="99">
        <v>1022.4000000000001</v>
      </c>
      <c r="CD31" s="99">
        <v>3</v>
      </c>
      <c r="CE31" s="99">
        <v>1022.4000000000001</v>
      </c>
      <c r="CF31" s="99">
        <v>3</v>
      </c>
      <c r="CG31" s="99">
        <v>1022.4000000000001</v>
      </c>
      <c r="CH31" s="99">
        <v>0.39782040858094214</v>
      </c>
      <c r="CI31" s="99">
        <v>135.57719524438508</v>
      </c>
      <c r="CJ31" s="99">
        <v>0</v>
      </c>
      <c r="CK31" s="99">
        <v>0</v>
      </c>
      <c r="CL31" s="99">
        <v>0</v>
      </c>
      <c r="CM31" s="99">
        <v>0</v>
      </c>
      <c r="CN31" s="99">
        <v>4</v>
      </c>
      <c r="CO31" s="99">
        <v>1363.2</v>
      </c>
      <c r="CP31" s="99">
        <v>2</v>
      </c>
      <c r="CQ31" s="99">
        <v>681.6</v>
      </c>
      <c r="CR31" s="99">
        <v>2.5471347076892705</v>
      </c>
      <c r="CS31" s="99">
        <v>868.06350838050344</v>
      </c>
      <c r="CT31" s="99">
        <v>1.4985562843724893</v>
      </c>
      <c r="CU31" s="99">
        <v>510.70798171414441</v>
      </c>
    </row>
    <row r="32" spans="2:99">
      <c r="C32" s="98" t="s">
        <v>197</v>
      </c>
      <c r="D32" s="99">
        <v>0</v>
      </c>
      <c r="E32" s="99">
        <v>0</v>
      </c>
      <c r="F32" s="99">
        <v>0</v>
      </c>
      <c r="G32" s="99">
        <v>0</v>
      </c>
      <c r="H32" s="99">
        <v>1.831875912622781</v>
      </c>
      <c r="I32" s="99">
        <v>1538.7757666031362</v>
      </c>
      <c r="J32" s="99">
        <v>1.3963831518921126</v>
      </c>
      <c r="K32" s="99">
        <v>1172.9618475893747</v>
      </c>
      <c r="L32" s="99">
        <v>4.9227870301581342</v>
      </c>
      <c r="M32" s="99">
        <v>4135.1411053328329</v>
      </c>
      <c r="N32" s="99">
        <v>2</v>
      </c>
      <c r="O32" s="99">
        <v>1680</v>
      </c>
      <c r="P32" s="99">
        <v>2</v>
      </c>
      <c r="Q32" s="99">
        <v>1680</v>
      </c>
      <c r="R32" s="99">
        <v>0.64900116919319262</v>
      </c>
      <c r="S32" s="99">
        <v>545.16098212228178</v>
      </c>
      <c r="T32" s="99">
        <v>2</v>
      </c>
      <c r="U32" s="99">
        <v>1680</v>
      </c>
      <c r="V32" s="99">
        <v>3</v>
      </c>
      <c r="W32" s="99">
        <v>2520</v>
      </c>
      <c r="X32" s="99">
        <v>3</v>
      </c>
      <c r="Y32" s="99">
        <v>2520</v>
      </c>
      <c r="Z32" s="99">
        <v>3</v>
      </c>
      <c r="AA32" s="99">
        <v>2520</v>
      </c>
      <c r="AB32" s="99">
        <v>2</v>
      </c>
      <c r="AC32" s="99">
        <v>1680</v>
      </c>
      <c r="AD32" s="99">
        <v>2</v>
      </c>
      <c r="AE32" s="99">
        <v>1680</v>
      </c>
      <c r="AF32" s="99">
        <v>2</v>
      </c>
      <c r="AG32" s="99">
        <v>1680</v>
      </c>
      <c r="AH32" s="99">
        <v>0.66050093413979616</v>
      </c>
      <c r="AI32" s="99">
        <v>554.82078467742872</v>
      </c>
      <c r="AJ32" s="99">
        <v>3</v>
      </c>
      <c r="AK32" s="99">
        <v>2520</v>
      </c>
      <c r="AL32" s="99">
        <v>3</v>
      </c>
      <c r="AM32" s="99">
        <v>2520</v>
      </c>
      <c r="AN32" s="99">
        <v>3</v>
      </c>
      <c r="AO32" s="99">
        <v>2520</v>
      </c>
      <c r="AP32" s="99">
        <v>3</v>
      </c>
      <c r="AQ32" s="99">
        <v>2520</v>
      </c>
      <c r="AR32" s="99">
        <v>2</v>
      </c>
      <c r="AS32" s="99">
        <v>1680</v>
      </c>
      <c r="AT32" s="99">
        <v>1.7574741620668872</v>
      </c>
      <c r="AU32" s="99">
        <v>1476.2782961361852</v>
      </c>
      <c r="AV32" s="99">
        <v>2</v>
      </c>
      <c r="AW32" s="99">
        <v>1680</v>
      </c>
      <c r="AX32" s="99">
        <v>2</v>
      </c>
      <c r="AY32" s="99">
        <v>1680</v>
      </c>
      <c r="AZ32" s="99">
        <v>3</v>
      </c>
      <c r="BA32" s="99">
        <v>2520</v>
      </c>
      <c r="BB32" s="99">
        <v>3</v>
      </c>
      <c r="BC32" s="99">
        <v>2520</v>
      </c>
      <c r="BD32" s="99">
        <v>3</v>
      </c>
      <c r="BE32" s="99">
        <v>2520</v>
      </c>
      <c r="BF32" s="99">
        <v>2</v>
      </c>
      <c r="BG32" s="99">
        <v>1680</v>
      </c>
      <c r="BH32" s="99">
        <v>2</v>
      </c>
      <c r="BI32" s="99">
        <v>1680</v>
      </c>
      <c r="BJ32" s="99">
        <v>2</v>
      </c>
      <c r="BK32" s="99">
        <v>1680</v>
      </c>
      <c r="BL32" s="99">
        <v>1.8139639895702835</v>
      </c>
      <c r="BM32" s="99">
        <v>1523.729751239038</v>
      </c>
      <c r="BN32" s="99">
        <v>1.0058592446078285</v>
      </c>
      <c r="BO32" s="99">
        <v>844.92176547057591</v>
      </c>
      <c r="BP32" s="99">
        <v>2</v>
      </c>
      <c r="BQ32" s="99">
        <v>1680</v>
      </c>
      <c r="BR32" s="99">
        <v>1.1743808802932698</v>
      </c>
      <c r="BS32" s="99">
        <v>986.47993944634663</v>
      </c>
      <c r="BT32" s="99">
        <v>3</v>
      </c>
      <c r="BU32" s="99">
        <v>2520</v>
      </c>
      <c r="BV32" s="99">
        <v>1.9126052984681636</v>
      </c>
      <c r="BW32" s="99">
        <v>1606.5884507132575</v>
      </c>
      <c r="BX32" s="99">
        <v>1.5777036282802819</v>
      </c>
      <c r="BY32" s="99">
        <v>1325.2710477554367</v>
      </c>
      <c r="BZ32" s="99">
        <v>0</v>
      </c>
      <c r="CA32" s="99">
        <v>0</v>
      </c>
      <c r="CB32" s="99">
        <v>2</v>
      </c>
      <c r="CC32" s="99">
        <v>1680</v>
      </c>
      <c r="CD32" s="99">
        <v>3</v>
      </c>
      <c r="CE32" s="99">
        <v>2520</v>
      </c>
      <c r="CF32" s="99">
        <v>4</v>
      </c>
      <c r="CG32" s="99">
        <v>3360</v>
      </c>
      <c r="CH32" s="99">
        <v>0.39782040858094214</v>
      </c>
      <c r="CI32" s="99">
        <v>334.1691432079914</v>
      </c>
      <c r="CJ32" s="99">
        <v>0</v>
      </c>
      <c r="CK32" s="99">
        <v>0</v>
      </c>
      <c r="CL32" s="99">
        <v>0</v>
      </c>
      <c r="CM32" s="99">
        <v>0</v>
      </c>
      <c r="CN32" s="99">
        <v>4</v>
      </c>
      <c r="CO32" s="99">
        <v>3360</v>
      </c>
      <c r="CP32" s="99">
        <v>2</v>
      </c>
      <c r="CQ32" s="99">
        <v>1680</v>
      </c>
      <c r="CR32" s="99">
        <v>2.5471347076892705</v>
      </c>
      <c r="CS32" s="99">
        <v>2139.5931544589871</v>
      </c>
      <c r="CT32" s="99">
        <v>1.9980750458299856</v>
      </c>
      <c r="CU32" s="99">
        <v>1678.383038497188</v>
      </c>
    </row>
    <row r="33" spans="2:99">
      <c r="C33" s="98" t="s">
        <v>198</v>
      </c>
      <c r="D33" s="99">
        <v>0</v>
      </c>
      <c r="E33" s="99">
        <v>0</v>
      </c>
      <c r="F33" s="99">
        <v>0</v>
      </c>
      <c r="G33" s="99">
        <v>0</v>
      </c>
      <c r="H33" s="99">
        <v>1.831875912622781</v>
      </c>
      <c r="I33" s="99">
        <v>868.30918258319821</v>
      </c>
      <c r="J33" s="99">
        <v>1.4536619128256774</v>
      </c>
      <c r="K33" s="99">
        <v>689.03574667937107</v>
      </c>
      <c r="L33" s="99">
        <v>4.7479882092346681</v>
      </c>
      <c r="M33" s="99">
        <v>2250.5464111772326</v>
      </c>
      <c r="N33" s="99">
        <v>2</v>
      </c>
      <c r="O33" s="99">
        <v>948</v>
      </c>
      <c r="P33" s="99">
        <v>2</v>
      </c>
      <c r="Q33" s="99">
        <v>948</v>
      </c>
      <c r="R33" s="99">
        <v>0.64900116919319262</v>
      </c>
      <c r="S33" s="99">
        <v>307.62655419757328</v>
      </c>
      <c r="T33" s="99">
        <v>2</v>
      </c>
      <c r="U33" s="99">
        <v>948</v>
      </c>
      <c r="V33" s="99">
        <v>3</v>
      </c>
      <c r="W33" s="99">
        <v>1422</v>
      </c>
      <c r="X33" s="99">
        <v>3</v>
      </c>
      <c r="Y33" s="99">
        <v>1422</v>
      </c>
      <c r="Z33" s="99">
        <v>3</v>
      </c>
      <c r="AA33" s="99">
        <v>1422</v>
      </c>
      <c r="AB33" s="99">
        <v>3</v>
      </c>
      <c r="AC33" s="99">
        <v>1422</v>
      </c>
      <c r="AD33" s="99">
        <v>3</v>
      </c>
      <c r="AE33" s="99">
        <v>1422</v>
      </c>
      <c r="AF33" s="99">
        <v>2</v>
      </c>
      <c r="AG33" s="99">
        <v>948</v>
      </c>
      <c r="AH33" s="99">
        <v>0.66050093413979616</v>
      </c>
      <c r="AI33" s="99">
        <v>313.0774427822634</v>
      </c>
      <c r="AJ33" s="99">
        <v>3</v>
      </c>
      <c r="AK33" s="99">
        <v>1422</v>
      </c>
      <c r="AL33" s="99">
        <v>3</v>
      </c>
      <c r="AM33" s="99">
        <v>1422</v>
      </c>
      <c r="AN33" s="99">
        <v>3</v>
      </c>
      <c r="AO33" s="99">
        <v>1422</v>
      </c>
      <c r="AP33" s="99">
        <v>3</v>
      </c>
      <c r="AQ33" s="99">
        <v>1422</v>
      </c>
      <c r="AR33" s="99">
        <v>2</v>
      </c>
      <c r="AS33" s="99">
        <v>948</v>
      </c>
      <c r="AT33" s="99">
        <v>1.7574741620668872</v>
      </c>
      <c r="AU33" s="99">
        <v>833.04275281970456</v>
      </c>
      <c r="AV33" s="99">
        <v>2</v>
      </c>
      <c r="AW33" s="99">
        <v>948</v>
      </c>
      <c r="AX33" s="99">
        <v>2</v>
      </c>
      <c r="AY33" s="99">
        <v>948</v>
      </c>
      <c r="AZ33" s="99">
        <v>3</v>
      </c>
      <c r="BA33" s="99">
        <v>1422</v>
      </c>
      <c r="BB33" s="99">
        <v>2</v>
      </c>
      <c r="BC33" s="99">
        <v>948</v>
      </c>
      <c r="BD33" s="99">
        <v>3</v>
      </c>
      <c r="BE33" s="99">
        <v>1422</v>
      </c>
      <c r="BF33" s="99">
        <v>3</v>
      </c>
      <c r="BG33" s="99">
        <v>1422</v>
      </c>
      <c r="BH33" s="99">
        <v>3</v>
      </c>
      <c r="BI33" s="99">
        <v>1422</v>
      </c>
      <c r="BJ33" s="99">
        <v>2</v>
      </c>
      <c r="BK33" s="99">
        <v>948</v>
      </c>
      <c r="BL33" s="99">
        <v>1.8139639895702835</v>
      </c>
      <c r="BM33" s="99">
        <v>859.81893105631434</v>
      </c>
      <c r="BN33" s="99">
        <v>1.0058592446078285</v>
      </c>
      <c r="BO33" s="99">
        <v>476.77728194411071</v>
      </c>
      <c r="BP33" s="99">
        <v>3</v>
      </c>
      <c r="BQ33" s="99">
        <v>1422</v>
      </c>
      <c r="BR33" s="99">
        <v>1.7615713204399046</v>
      </c>
      <c r="BS33" s="99">
        <v>834.98480588851476</v>
      </c>
      <c r="BT33" s="99">
        <v>4</v>
      </c>
      <c r="BU33" s="99">
        <v>1896</v>
      </c>
      <c r="BV33" s="99">
        <v>1.9126052984681636</v>
      </c>
      <c r="BW33" s="99">
        <v>906.57491147390954</v>
      </c>
      <c r="BX33" s="99">
        <v>1.5777036282802819</v>
      </c>
      <c r="BY33" s="99">
        <v>747.83151980485366</v>
      </c>
      <c r="BZ33" s="99">
        <v>0</v>
      </c>
      <c r="CA33" s="99">
        <v>0</v>
      </c>
      <c r="CB33" s="99">
        <v>2</v>
      </c>
      <c r="CC33" s="99">
        <v>948</v>
      </c>
      <c r="CD33" s="99">
        <v>3</v>
      </c>
      <c r="CE33" s="99">
        <v>1422</v>
      </c>
      <c r="CF33" s="99">
        <v>4</v>
      </c>
      <c r="CG33" s="99">
        <v>1896</v>
      </c>
      <c r="CH33" s="99">
        <v>0.39782040858094214</v>
      </c>
      <c r="CI33" s="99">
        <v>188.56687366736656</v>
      </c>
      <c r="CJ33" s="99">
        <v>0</v>
      </c>
      <c r="CK33" s="99">
        <v>0</v>
      </c>
      <c r="CL33" s="99">
        <v>0</v>
      </c>
      <c r="CM33" s="99">
        <v>0</v>
      </c>
      <c r="CN33" s="99">
        <v>3</v>
      </c>
      <c r="CO33" s="99">
        <v>1422</v>
      </c>
      <c r="CP33" s="99">
        <v>2</v>
      </c>
      <c r="CQ33" s="99">
        <v>948</v>
      </c>
      <c r="CR33" s="99">
        <v>2.5471347076892705</v>
      </c>
      <c r="CS33" s="99">
        <v>1207.3418514447142</v>
      </c>
      <c r="CT33" s="99">
        <v>1.4985562843724893</v>
      </c>
      <c r="CU33" s="99">
        <v>710.31567879255999</v>
      </c>
    </row>
    <row r="34" spans="2:99">
      <c r="C34" s="98" t="s">
        <v>199</v>
      </c>
      <c r="D34" s="99">
        <v>0</v>
      </c>
      <c r="E34" s="99">
        <v>0</v>
      </c>
      <c r="F34" s="99">
        <v>0</v>
      </c>
      <c r="G34" s="99">
        <v>0</v>
      </c>
      <c r="H34" s="99">
        <v>1.831875912622781</v>
      </c>
      <c r="I34" s="99">
        <v>1004.6007504823331</v>
      </c>
      <c r="J34" s="99">
        <v>1.4536619128256774</v>
      </c>
      <c r="K34" s="99">
        <v>797.18819299360143</v>
      </c>
      <c r="L34" s="99">
        <v>4.9227870301581342</v>
      </c>
      <c r="M34" s="99">
        <v>2699.6564073387208</v>
      </c>
      <c r="N34" s="99">
        <v>2</v>
      </c>
      <c r="O34" s="99">
        <v>1096.8</v>
      </c>
      <c r="P34" s="99">
        <v>2</v>
      </c>
      <c r="Q34" s="99">
        <v>1096.8</v>
      </c>
      <c r="R34" s="99">
        <v>0.64900116919319262</v>
      </c>
      <c r="S34" s="99">
        <v>355.9122411855468</v>
      </c>
      <c r="T34" s="99">
        <v>3</v>
      </c>
      <c r="U34" s="99">
        <v>1645.1999999999998</v>
      </c>
      <c r="V34" s="99">
        <v>3</v>
      </c>
      <c r="W34" s="99">
        <v>1645.1999999999998</v>
      </c>
      <c r="X34" s="99">
        <v>3</v>
      </c>
      <c r="Y34" s="99">
        <v>1645.1999999999998</v>
      </c>
      <c r="Z34" s="99">
        <v>3</v>
      </c>
      <c r="AA34" s="99">
        <v>1645.1999999999998</v>
      </c>
      <c r="AB34" s="99">
        <v>3</v>
      </c>
      <c r="AC34" s="99">
        <v>1645.1999999999998</v>
      </c>
      <c r="AD34" s="99">
        <v>3</v>
      </c>
      <c r="AE34" s="99">
        <v>1645.1999999999998</v>
      </c>
      <c r="AF34" s="99">
        <v>2</v>
      </c>
      <c r="AG34" s="99">
        <v>1096.8</v>
      </c>
      <c r="AH34" s="99">
        <v>0.66050093413979616</v>
      </c>
      <c r="AI34" s="99">
        <v>362.21871228226422</v>
      </c>
      <c r="AJ34" s="99">
        <v>3</v>
      </c>
      <c r="AK34" s="99">
        <v>1645.1999999999998</v>
      </c>
      <c r="AL34" s="99">
        <v>3</v>
      </c>
      <c r="AM34" s="99">
        <v>1645.1999999999998</v>
      </c>
      <c r="AN34" s="99">
        <v>3</v>
      </c>
      <c r="AO34" s="99">
        <v>1645.1999999999998</v>
      </c>
      <c r="AP34" s="99">
        <v>3</v>
      </c>
      <c r="AQ34" s="99">
        <v>1645.1999999999998</v>
      </c>
      <c r="AR34" s="99">
        <v>2</v>
      </c>
      <c r="AS34" s="99">
        <v>1096.8</v>
      </c>
      <c r="AT34" s="99">
        <v>1.7574741620668872</v>
      </c>
      <c r="AU34" s="99">
        <v>963.79883047748092</v>
      </c>
      <c r="AV34" s="99">
        <v>2</v>
      </c>
      <c r="AW34" s="99">
        <v>1096.8</v>
      </c>
      <c r="AX34" s="99">
        <v>3</v>
      </c>
      <c r="AY34" s="99">
        <v>1645.1999999999998</v>
      </c>
      <c r="AZ34" s="99">
        <v>3</v>
      </c>
      <c r="BA34" s="99">
        <v>1645.1999999999998</v>
      </c>
      <c r="BB34" s="99">
        <v>3</v>
      </c>
      <c r="BC34" s="99">
        <v>1645.1999999999998</v>
      </c>
      <c r="BD34" s="99">
        <v>3</v>
      </c>
      <c r="BE34" s="99">
        <v>1645.1999999999998</v>
      </c>
      <c r="BF34" s="99">
        <v>3</v>
      </c>
      <c r="BG34" s="99">
        <v>1645.1999999999998</v>
      </c>
      <c r="BH34" s="99">
        <v>3</v>
      </c>
      <c r="BI34" s="99">
        <v>1645.1999999999998</v>
      </c>
      <c r="BJ34" s="99">
        <v>2</v>
      </c>
      <c r="BK34" s="99">
        <v>1096.8</v>
      </c>
      <c r="BL34" s="99">
        <v>2.7209459843554251</v>
      </c>
      <c r="BM34" s="99">
        <v>1492.1667778205151</v>
      </c>
      <c r="BN34" s="99">
        <v>1.0058592446078285</v>
      </c>
      <c r="BO34" s="99">
        <v>551.61320974293312</v>
      </c>
      <c r="BP34" s="99">
        <v>3</v>
      </c>
      <c r="BQ34" s="99">
        <v>1645.1999999999998</v>
      </c>
      <c r="BR34" s="99">
        <v>1.7615713204399046</v>
      </c>
      <c r="BS34" s="99">
        <v>966.04571212924361</v>
      </c>
      <c r="BT34" s="99">
        <v>3</v>
      </c>
      <c r="BU34" s="99">
        <v>1645.1999999999998</v>
      </c>
      <c r="BV34" s="99">
        <v>1.9126052984681636</v>
      </c>
      <c r="BW34" s="99">
        <v>1048.8727456799409</v>
      </c>
      <c r="BX34" s="99">
        <v>1.5777036282802819</v>
      </c>
      <c r="BY34" s="99">
        <v>865.21266974890659</v>
      </c>
      <c r="BZ34" s="99">
        <v>0</v>
      </c>
      <c r="CA34" s="99">
        <v>0</v>
      </c>
      <c r="CB34" s="99">
        <v>2</v>
      </c>
      <c r="CC34" s="99">
        <v>1096.8</v>
      </c>
      <c r="CD34" s="99">
        <v>4</v>
      </c>
      <c r="CE34" s="99">
        <v>2193.6</v>
      </c>
      <c r="CF34" s="99">
        <v>3</v>
      </c>
      <c r="CG34" s="99">
        <v>1645.1999999999998</v>
      </c>
      <c r="CH34" s="99">
        <v>0.39782040858094214</v>
      </c>
      <c r="CI34" s="99">
        <v>218.16471206578865</v>
      </c>
      <c r="CJ34" s="99">
        <v>0</v>
      </c>
      <c r="CK34" s="99">
        <v>0</v>
      </c>
      <c r="CL34" s="99">
        <v>0</v>
      </c>
      <c r="CM34" s="99">
        <v>0</v>
      </c>
      <c r="CN34" s="99">
        <v>3</v>
      </c>
      <c r="CO34" s="99">
        <v>1645.1999999999998</v>
      </c>
      <c r="CP34" s="99">
        <v>2</v>
      </c>
      <c r="CQ34" s="99">
        <v>1096.8</v>
      </c>
      <c r="CR34" s="99">
        <v>2.5471347076892705</v>
      </c>
      <c r="CS34" s="99">
        <v>1396.8486736967959</v>
      </c>
      <c r="CT34" s="99">
        <v>1.4985562843724893</v>
      </c>
      <c r="CU34" s="99">
        <v>821.80826634987307</v>
      </c>
    </row>
    <row r="35" spans="2:99">
      <c r="C35" s="98" t="s">
        <v>200</v>
      </c>
      <c r="D35" s="99">
        <v>0</v>
      </c>
      <c r="E35" s="99">
        <v>0</v>
      </c>
      <c r="F35" s="99">
        <v>0</v>
      </c>
      <c r="G35" s="99">
        <v>0</v>
      </c>
      <c r="H35" s="99">
        <v>1.831875912622781</v>
      </c>
      <c r="I35" s="99">
        <v>921.06720886673418</v>
      </c>
      <c r="J35" s="99">
        <v>1.4536619128256774</v>
      </c>
      <c r="K35" s="99">
        <v>730.90120976875039</v>
      </c>
      <c r="L35" s="99">
        <v>5.0975858510816012</v>
      </c>
      <c r="M35" s="99">
        <v>2563.0661659238285</v>
      </c>
      <c r="N35" s="99">
        <v>2</v>
      </c>
      <c r="O35" s="99">
        <v>1005.5999999999998</v>
      </c>
      <c r="P35" s="99">
        <v>2</v>
      </c>
      <c r="Q35" s="99">
        <v>1005.5999999999998</v>
      </c>
      <c r="R35" s="99">
        <v>0.64900116919319262</v>
      </c>
      <c r="S35" s="99">
        <v>326.31778787033716</v>
      </c>
      <c r="T35" s="99">
        <v>2</v>
      </c>
      <c r="U35" s="99">
        <v>1005.5999999999998</v>
      </c>
      <c r="V35" s="99">
        <v>3</v>
      </c>
      <c r="W35" s="99">
        <v>1508.3999999999996</v>
      </c>
      <c r="X35" s="99">
        <v>3</v>
      </c>
      <c r="Y35" s="99">
        <v>1508.3999999999996</v>
      </c>
      <c r="Z35" s="99">
        <v>3</v>
      </c>
      <c r="AA35" s="99">
        <v>1508.3999999999996</v>
      </c>
      <c r="AB35" s="99">
        <v>3</v>
      </c>
      <c r="AC35" s="99">
        <v>1508.3999999999996</v>
      </c>
      <c r="AD35" s="99">
        <v>3</v>
      </c>
      <c r="AE35" s="99">
        <v>1508.3999999999996</v>
      </c>
      <c r="AF35" s="99">
        <v>2</v>
      </c>
      <c r="AG35" s="99">
        <v>1005.5999999999998</v>
      </c>
      <c r="AH35" s="99">
        <v>0.66050093413979616</v>
      </c>
      <c r="AI35" s="99">
        <v>332.09986968548947</v>
      </c>
      <c r="AJ35" s="99">
        <v>4</v>
      </c>
      <c r="AK35" s="99">
        <v>2011.1999999999996</v>
      </c>
      <c r="AL35" s="99">
        <v>3</v>
      </c>
      <c r="AM35" s="99">
        <v>1508.3999999999996</v>
      </c>
      <c r="AN35" s="99">
        <v>3</v>
      </c>
      <c r="AO35" s="99">
        <v>1508.3999999999996</v>
      </c>
      <c r="AP35" s="99">
        <v>3</v>
      </c>
      <c r="AQ35" s="99">
        <v>1508.3999999999996</v>
      </c>
      <c r="AR35" s="99">
        <v>2</v>
      </c>
      <c r="AS35" s="99">
        <v>1005.5999999999998</v>
      </c>
      <c r="AT35" s="99">
        <v>1.7574741620668872</v>
      </c>
      <c r="AU35" s="99">
        <v>883.65800868723068</v>
      </c>
      <c r="AV35" s="99">
        <v>2</v>
      </c>
      <c r="AW35" s="99">
        <v>1005.5999999999998</v>
      </c>
      <c r="AX35" s="99">
        <v>2</v>
      </c>
      <c r="AY35" s="99">
        <v>1005.5999999999998</v>
      </c>
      <c r="AZ35" s="99">
        <v>3</v>
      </c>
      <c r="BA35" s="99">
        <v>1508.3999999999996</v>
      </c>
      <c r="BB35" s="99">
        <v>3</v>
      </c>
      <c r="BC35" s="99">
        <v>1508.3999999999996</v>
      </c>
      <c r="BD35" s="99">
        <v>3</v>
      </c>
      <c r="BE35" s="99">
        <v>1508.3999999999996</v>
      </c>
      <c r="BF35" s="99">
        <v>2</v>
      </c>
      <c r="BG35" s="99">
        <v>1005.5999999999998</v>
      </c>
      <c r="BH35" s="99">
        <v>3</v>
      </c>
      <c r="BI35" s="99">
        <v>1508.3999999999996</v>
      </c>
      <c r="BJ35" s="99">
        <v>2</v>
      </c>
      <c r="BK35" s="99">
        <v>1005.5999999999998</v>
      </c>
      <c r="BL35" s="99">
        <v>2.7209459843554251</v>
      </c>
      <c r="BM35" s="99">
        <v>1368.0916409339075</v>
      </c>
      <c r="BN35" s="99">
        <v>1.0058592446078285</v>
      </c>
      <c r="BO35" s="99">
        <v>505.74602818881607</v>
      </c>
      <c r="BP35" s="99">
        <v>3</v>
      </c>
      <c r="BQ35" s="99">
        <v>1508.3999999999996</v>
      </c>
      <c r="BR35" s="99">
        <v>1.7615713204399046</v>
      </c>
      <c r="BS35" s="99">
        <v>885.71805991718384</v>
      </c>
      <c r="BT35" s="99">
        <v>4</v>
      </c>
      <c r="BU35" s="99">
        <v>2011.1999999999996</v>
      </c>
      <c r="BV35" s="99">
        <v>1.9126052984681636</v>
      </c>
      <c r="BW35" s="99">
        <v>961.65794406979251</v>
      </c>
      <c r="BX35" s="99">
        <v>2.3665554424204225</v>
      </c>
      <c r="BY35" s="99">
        <v>1189.9040764489882</v>
      </c>
      <c r="BZ35" s="99">
        <v>0</v>
      </c>
      <c r="CA35" s="99">
        <v>0</v>
      </c>
      <c r="CB35" s="99">
        <v>3</v>
      </c>
      <c r="CC35" s="99">
        <v>1508.3999999999996</v>
      </c>
      <c r="CD35" s="99">
        <v>3</v>
      </c>
      <c r="CE35" s="99">
        <v>1508.3999999999996</v>
      </c>
      <c r="CF35" s="99">
        <v>4</v>
      </c>
      <c r="CG35" s="99">
        <v>2011.1999999999996</v>
      </c>
      <c r="CH35" s="99">
        <v>0.39782040858094214</v>
      </c>
      <c r="CI35" s="99">
        <v>200.02410143449768</v>
      </c>
      <c r="CJ35" s="99">
        <v>0</v>
      </c>
      <c r="CK35" s="99">
        <v>0</v>
      </c>
      <c r="CL35" s="99">
        <v>0</v>
      </c>
      <c r="CM35" s="99">
        <v>0</v>
      </c>
      <c r="CN35" s="99">
        <v>3</v>
      </c>
      <c r="CO35" s="99">
        <v>1508.3999999999996</v>
      </c>
      <c r="CP35" s="99">
        <v>2</v>
      </c>
      <c r="CQ35" s="99">
        <v>1005.5999999999998</v>
      </c>
      <c r="CR35" s="99">
        <v>2.5471347076892705</v>
      </c>
      <c r="CS35" s="99">
        <v>1280.6993310261651</v>
      </c>
      <c r="CT35" s="99">
        <v>1.4985562843724893</v>
      </c>
      <c r="CU35" s="99">
        <v>753.47409978248743</v>
      </c>
    </row>
    <row r="36" spans="2:99">
      <c r="C36" s="98" t="s">
        <v>201</v>
      </c>
      <c r="D36" s="99">
        <v>0</v>
      </c>
      <c r="E36" s="99">
        <v>0</v>
      </c>
      <c r="F36" s="99">
        <v>0</v>
      </c>
      <c r="G36" s="99">
        <v>0</v>
      </c>
      <c r="H36" s="99">
        <v>1.831875912622781</v>
      </c>
      <c r="I36" s="99">
        <v>1393.6911943234118</v>
      </c>
      <c r="J36" s="99">
        <v>1.4536619128256774</v>
      </c>
      <c r="K36" s="99">
        <v>1105.9459832777752</v>
      </c>
      <c r="L36" s="99">
        <v>4.9227870301581342</v>
      </c>
      <c r="M36" s="99">
        <v>3745.2563725443083</v>
      </c>
      <c r="N36" s="99">
        <v>2</v>
      </c>
      <c r="O36" s="99">
        <v>1521.6</v>
      </c>
      <c r="P36" s="99">
        <v>2</v>
      </c>
      <c r="Q36" s="99">
        <v>1521.6</v>
      </c>
      <c r="R36" s="99">
        <v>0.64900116919319262</v>
      </c>
      <c r="S36" s="99">
        <v>493.76008952218092</v>
      </c>
      <c r="T36" s="99">
        <v>3</v>
      </c>
      <c r="U36" s="99">
        <v>2282.3999999999996</v>
      </c>
      <c r="V36" s="99">
        <v>3</v>
      </c>
      <c r="W36" s="99">
        <v>2282.3999999999996</v>
      </c>
      <c r="X36" s="99">
        <v>3</v>
      </c>
      <c r="Y36" s="99">
        <v>2282.3999999999996</v>
      </c>
      <c r="Z36" s="99">
        <v>3</v>
      </c>
      <c r="AA36" s="99">
        <v>2282.3999999999996</v>
      </c>
      <c r="AB36" s="99">
        <v>2</v>
      </c>
      <c r="AC36" s="99">
        <v>1521.6</v>
      </c>
      <c r="AD36" s="99">
        <v>3</v>
      </c>
      <c r="AE36" s="99">
        <v>2282.3999999999996</v>
      </c>
      <c r="AF36" s="99">
        <v>2</v>
      </c>
      <c r="AG36" s="99">
        <v>1521.6</v>
      </c>
      <c r="AH36" s="99">
        <v>0.66050093413979616</v>
      </c>
      <c r="AI36" s="99">
        <v>502.50911069355686</v>
      </c>
      <c r="AJ36" s="99">
        <v>3</v>
      </c>
      <c r="AK36" s="99">
        <v>2282.3999999999996</v>
      </c>
      <c r="AL36" s="99">
        <v>3</v>
      </c>
      <c r="AM36" s="99">
        <v>2282.3999999999996</v>
      </c>
      <c r="AN36" s="99">
        <v>3</v>
      </c>
      <c r="AO36" s="99">
        <v>2282.3999999999996</v>
      </c>
      <c r="AP36" s="99">
        <v>3</v>
      </c>
      <c r="AQ36" s="99">
        <v>2282.3999999999996</v>
      </c>
      <c r="AR36" s="99">
        <v>2</v>
      </c>
      <c r="AS36" s="99">
        <v>1521.6</v>
      </c>
      <c r="AT36" s="99">
        <v>1.7574741620668872</v>
      </c>
      <c r="AU36" s="99">
        <v>1337.0863425004877</v>
      </c>
      <c r="AV36" s="99">
        <v>2</v>
      </c>
      <c r="AW36" s="99">
        <v>1521.6</v>
      </c>
      <c r="AX36" s="99">
        <v>2</v>
      </c>
      <c r="AY36" s="99">
        <v>1521.6</v>
      </c>
      <c r="AZ36" s="99">
        <v>3</v>
      </c>
      <c r="BA36" s="99">
        <v>2282.3999999999996</v>
      </c>
      <c r="BB36" s="99">
        <v>2</v>
      </c>
      <c r="BC36" s="99">
        <v>1521.6</v>
      </c>
      <c r="BD36" s="99">
        <v>3</v>
      </c>
      <c r="BE36" s="99">
        <v>2282.3999999999996</v>
      </c>
      <c r="BF36" s="99">
        <v>2</v>
      </c>
      <c r="BG36" s="99">
        <v>1521.6</v>
      </c>
      <c r="BH36" s="99">
        <v>3</v>
      </c>
      <c r="BI36" s="99">
        <v>2282.3999999999996</v>
      </c>
      <c r="BJ36" s="99">
        <v>2</v>
      </c>
      <c r="BK36" s="99">
        <v>1521.6</v>
      </c>
      <c r="BL36" s="99">
        <v>2.7209459843554251</v>
      </c>
      <c r="BM36" s="99">
        <v>2070.0957048976074</v>
      </c>
      <c r="BN36" s="99">
        <v>1.0058592446078285</v>
      </c>
      <c r="BO36" s="99">
        <v>765.25771329763586</v>
      </c>
      <c r="BP36" s="99">
        <v>3</v>
      </c>
      <c r="BQ36" s="99">
        <v>2282.3999999999996</v>
      </c>
      <c r="BR36" s="99">
        <v>1.7615713204399046</v>
      </c>
      <c r="BS36" s="99">
        <v>1340.2034605906792</v>
      </c>
      <c r="BT36" s="99">
        <v>3</v>
      </c>
      <c r="BU36" s="99">
        <v>2282.3999999999996</v>
      </c>
      <c r="BV36" s="99">
        <v>1.9126052984681636</v>
      </c>
      <c r="BW36" s="99">
        <v>1455.1101110745788</v>
      </c>
      <c r="BX36" s="99">
        <v>1.5777036282802819</v>
      </c>
      <c r="BY36" s="99">
        <v>1200.3169203956384</v>
      </c>
      <c r="BZ36" s="99">
        <v>0</v>
      </c>
      <c r="CA36" s="99">
        <v>0</v>
      </c>
      <c r="CB36" s="99">
        <v>3</v>
      </c>
      <c r="CC36" s="99">
        <v>2282.3999999999996</v>
      </c>
      <c r="CD36" s="99">
        <v>3</v>
      </c>
      <c r="CE36" s="99">
        <v>2282.3999999999996</v>
      </c>
      <c r="CF36" s="99">
        <v>4</v>
      </c>
      <c r="CG36" s="99">
        <v>3043.2</v>
      </c>
      <c r="CH36" s="99">
        <v>0.59673061287141316</v>
      </c>
      <c r="CI36" s="99">
        <v>453.9926502725711</v>
      </c>
      <c r="CJ36" s="99">
        <v>0</v>
      </c>
      <c r="CK36" s="99">
        <v>0</v>
      </c>
      <c r="CL36" s="99">
        <v>0</v>
      </c>
      <c r="CM36" s="99">
        <v>0</v>
      </c>
      <c r="CN36" s="99">
        <v>4</v>
      </c>
      <c r="CO36" s="99">
        <v>3043.2</v>
      </c>
      <c r="CP36" s="99">
        <v>2</v>
      </c>
      <c r="CQ36" s="99">
        <v>1521.6</v>
      </c>
      <c r="CR36" s="99">
        <v>1.6980898051261804</v>
      </c>
      <c r="CS36" s="99">
        <v>1291.9067237399979</v>
      </c>
      <c r="CT36" s="99">
        <v>1.4985562843724893</v>
      </c>
      <c r="CU36" s="99">
        <v>1140.1016211505898</v>
      </c>
    </row>
    <row r="37" spans="2:99">
      <c r="B37" s="98" t="s">
        <v>128</v>
      </c>
      <c r="C37" s="98" t="s">
        <v>202</v>
      </c>
      <c r="D37" s="99">
        <v>0</v>
      </c>
      <c r="E37" s="99">
        <v>0</v>
      </c>
      <c r="F37" s="99">
        <v>0</v>
      </c>
      <c r="G37" s="99">
        <v>0</v>
      </c>
      <c r="H37" s="99">
        <v>2.7478138689341716</v>
      </c>
      <c r="I37" s="99">
        <v>2364.2190528309611</v>
      </c>
      <c r="J37" s="99">
        <v>2.4707866276693973</v>
      </c>
      <c r="K37" s="99">
        <v>2125.8648144467493</v>
      </c>
      <c r="L37" s="99">
        <v>5.3983905673877342</v>
      </c>
      <c r="M37" s="99">
        <v>4644.7752441804059</v>
      </c>
      <c r="N37" s="99">
        <v>5</v>
      </c>
      <c r="O37" s="99">
        <v>4302</v>
      </c>
      <c r="P37" s="99">
        <v>4</v>
      </c>
      <c r="Q37" s="99">
        <v>3441.6</v>
      </c>
      <c r="R37" s="99">
        <v>0.86533489225759008</v>
      </c>
      <c r="S37" s="99">
        <v>744.53414129843054</v>
      </c>
      <c r="T37" s="99">
        <v>6</v>
      </c>
      <c r="U37" s="99">
        <v>5162.3999999999996</v>
      </c>
      <c r="V37" s="99">
        <v>4</v>
      </c>
      <c r="W37" s="99">
        <v>3441.6</v>
      </c>
      <c r="X37" s="99">
        <v>4</v>
      </c>
      <c r="Y37" s="99">
        <v>3441.6</v>
      </c>
      <c r="Z37" s="99">
        <v>5</v>
      </c>
      <c r="AA37" s="99">
        <v>4302</v>
      </c>
      <c r="AB37" s="99">
        <v>4</v>
      </c>
      <c r="AC37" s="99">
        <v>3441.6</v>
      </c>
      <c r="AD37" s="99">
        <v>4</v>
      </c>
      <c r="AE37" s="99">
        <v>3441.6</v>
      </c>
      <c r="AF37" s="99">
        <v>3</v>
      </c>
      <c r="AG37" s="99">
        <v>2581.1999999999998</v>
      </c>
      <c r="AH37" s="99">
        <v>0.88066791218639484</v>
      </c>
      <c r="AI37" s="99">
        <v>757.72667164517406</v>
      </c>
      <c r="AJ37" s="99">
        <v>3</v>
      </c>
      <c r="AK37" s="99">
        <v>2581.1999999999998</v>
      </c>
      <c r="AL37" s="99">
        <v>4</v>
      </c>
      <c r="AM37" s="99">
        <v>3441.6</v>
      </c>
      <c r="AN37" s="99">
        <v>4</v>
      </c>
      <c r="AO37" s="99">
        <v>3441.6</v>
      </c>
      <c r="AP37" s="99">
        <v>3</v>
      </c>
      <c r="AQ37" s="99">
        <v>2581.1999999999998</v>
      </c>
      <c r="AR37" s="99">
        <v>4</v>
      </c>
      <c r="AS37" s="99">
        <v>3441.6</v>
      </c>
      <c r="AT37" s="99">
        <v>2.3432988827558496</v>
      </c>
      <c r="AU37" s="99">
        <v>2016.1743587231331</v>
      </c>
      <c r="AV37" s="99">
        <v>4</v>
      </c>
      <c r="AW37" s="99">
        <v>3441.6</v>
      </c>
      <c r="AX37" s="99">
        <v>4</v>
      </c>
      <c r="AY37" s="99">
        <v>3441.6</v>
      </c>
      <c r="AZ37" s="99">
        <v>5</v>
      </c>
      <c r="BA37" s="99">
        <v>4302</v>
      </c>
      <c r="BB37" s="99">
        <v>3</v>
      </c>
      <c r="BC37" s="99">
        <v>2581.1999999999998</v>
      </c>
      <c r="BD37" s="99">
        <v>5</v>
      </c>
      <c r="BE37" s="99">
        <v>4302</v>
      </c>
      <c r="BF37" s="99">
        <v>4</v>
      </c>
      <c r="BG37" s="99">
        <v>3441.6</v>
      </c>
      <c r="BH37" s="99">
        <v>4</v>
      </c>
      <c r="BI37" s="99">
        <v>3441.6</v>
      </c>
      <c r="BJ37" s="99">
        <v>5</v>
      </c>
      <c r="BK37" s="99">
        <v>4302</v>
      </c>
      <c r="BL37" s="99">
        <v>4.5349099739257088</v>
      </c>
      <c r="BM37" s="99">
        <v>3901.8365415656799</v>
      </c>
      <c r="BN37" s="99">
        <v>2.1698388496041492</v>
      </c>
      <c r="BO37" s="99">
        <v>1866.92934619941</v>
      </c>
      <c r="BP37" s="99">
        <v>5</v>
      </c>
      <c r="BQ37" s="99">
        <v>4302</v>
      </c>
      <c r="BR37" s="99">
        <v>1.7615713204399046</v>
      </c>
      <c r="BS37" s="99">
        <v>1515.6559641064939</v>
      </c>
      <c r="BT37" s="99">
        <v>4</v>
      </c>
      <c r="BU37" s="99">
        <v>3441.6</v>
      </c>
      <c r="BV37" s="99">
        <v>4.7815132461704088</v>
      </c>
      <c r="BW37" s="99">
        <v>4114.0139970050195</v>
      </c>
      <c r="BX37" s="99">
        <v>3.9442590707007046</v>
      </c>
      <c r="BY37" s="99">
        <v>3393.6405044308863</v>
      </c>
      <c r="BZ37" s="99">
        <v>0</v>
      </c>
      <c r="CA37" s="99">
        <v>0</v>
      </c>
      <c r="CB37" s="99">
        <v>6</v>
      </c>
      <c r="CC37" s="99">
        <v>5162.3999999999996</v>
      </c>
      <c r="CD37" s="99">
        <v>4</v>
      </c>
      <c r="CE37" s="99">
        <v>3441.6</v>
      </c>
      <c r="CF37" s="99">
        <v>5</v>
      </c>
      <c r="CG37" s="99">
        <v>4302</v>
      </c>
      <c r="CH37" s="99">
        <v>0.79564081716188428</v>
      </c>
      <c r="CI37" s="99">
        <v>684.56935908608523</v>
      </c>
      <c r="CJ37" s="99">
        <v>0</v>
      </c>
      <c r="CK37" s="99">
        <v>0</v>
      </c>
      <c r="CL37" s="99">
        <v>0</v>
      </c>
      <c r="CM37" s="99">
        <v>0</v>
      </c>
      <c r="CN37" s="99">
        <v>6</v>
      </c>
      <c r="CO37" s="99">
        <v>5162.3999999999996</v>
      </c>
      <c r="CP37" s="99">
        <v>3</v>
      </c>
      <c r="CQ37" s="99">
        <v>2581.1999999999998</v>
      </c>
      <c r="CR37" s="99">
        <v>3.3961796102523607</v>
      </c>
      <c r="CS37" s="99">
        <v>2922.0729366611313</v>
      </c>
      <c r="CT37" s="99">
        <v>2.1528870849803838</v>
      </c>
      <c r="CU37" s="99">
        <v>1852.3440479171222</v>
      </c>
    </row>
    <row r="38" spans="2:99">
      <c r="C38" s="98" t="s">
        <v>203</v>
      </c>
      <c r="D38" s="99">
        <v>0</v>
      </c>
      <c r="E38" s="99">
        <v>0</v>
      </c>
      <c r="F38" s="99">
        <v>0</v>
      </c>
      <c r="G38" s="99">
        <v>0</v>
      </c>
      <c r="H38" s="99">
        <v>2.7478138689341716</v>
      </c>
      <c r="I38" s="99">
        <v>3412.7848252162412</v>
      </c>
      <c r="J38" s="99">
        <v>2.0589888563911645</v>
      </c>
      <c r="K38" s="99">
        <v>2557.2641596378262</v>
      </c>
      <c r="L38" s="99">
        <v>5.3983905673877342</v>
      </c>
      <c r="M38" s="99">
        <v>6704.8010846955658</v>
      </c>
      <c r="N38" s="99">
        <v>5</v>
      </c>
      <c r="O38" s="99">
        <v>6210</v>
      </c>
      <c r="P38" s="99">
        <v>4</v>
      </c>
      <c r="Q38" s="99">
        <v>4968</v>
      </c>
      <c r="R38" s="99">
        <v>0.86533489225759008</v>
      </c>
      <c r="S38" s="99">
        <v>1074.7459361839269</v>
      </c>
      <c r="T38" s="99">
        <v>5</v>
      </c>
      <c r="U38" s="99">
        <v>6210</v>
      </c>
      <c r="V38" s="99">
        <v>4</v>
      </c>
      <c r="W38" s="99">
        <v>4968</v>
      </c>
      <c r="X38" s="99">
        <v>3</v>
      </c>
      <c r="Y38" s="99">
        <v>3726</v>
      </c>
      <c r="Z38" s="99">
        <v>4</v>
      </c>
      <c r="AA38" s="99">
        <v>4968</v>
      </c>
      <c r="AB38" s="99">
        <v>4</v>
      </c>
      <c r="AC38" s="99">
        <v>4968</v>
      </c>
      <c r="AD38" s="99">
        <v>3</v>
      </c>
      <c r="AE38" s="99">
        <v>3726</v>
      </c>
      <c r="AF38" s="99">
        <v>3</v>
      </c>
      <c r="AG38" s="99">
        <v>3726</v>
      </c>
      <c r="AH38" s="99">
        <v>0.88066791218639484</v>
      </c>
      <c r="AI38" s="99">
        <v>1093.7895469355024</v>
      </c>
      <c r="AJ38" s="99">
        <v>3</v>
      </c>
      <c r="AK38" s="99">
        <v>3726</v>
      </c>
      <c r="AL38" s="99">
        <v>4</v>
      </c>
      <c r="AM38" s="99">
        <v>4968</v>
      </c>
      <c r="AN38" s="99">
        <v>4</v>
      </c>
      <c r="AO38" s="99">
        <v>4968</v>
      </c>
      <c r="AP38" s="99">
        <v>3</v>
      </c>
      <c r="AQ38" s="99">
        <v>3726</v>
      </c>
      <c r="AR38" s="99">
        <v>3</v>
      </c>
      <c r="AS38" s="99">
        <v>3726</v>
      </c>
      <c r="AT38" s="99">
        <v>2.3432988827558496</v>
      </c>
      <c r="AU38" s="99">
        <v>2910.3772123827653</v>
      </c>
      <c r="AV38" s="99">
        <v>3</v>
      </c>
      <c r="AW38" s="99">
        <v>3726</v>
      </c>
      <c r="AX38" s="99">
        <v>4</v>
      </c>
      <c r="AY38" s="99">
        <v>4968</v>
      </c>
      <c r="AZ38" s="99">
        <v>5</v>
      </c>
      <c r="BA38" s="99">
        <v>6210</v>
      </c>
      <c r="BB38" s="99">
        <v>3</v>
      </c>
      <c r="BC38" s="99">
        <v>3726</v>
      </c>
      <c r="BD38" s="99">
        <v>5</v>
      </c>
      <c r="BE38" s="99">
        <v>6210</v>
      </c>
      <c r="BF38" s="99">
        <v>4</v>
      </c>
      <c r="BG38" s="99">
        <v>4968</v>
      </c>
      <c r="BH38" s="99">
        <v>4</v>
      </c>
      <c r="BI38" s="99">
        <v>4968</v>
      </c>
      <c r="BJ38" s="99">
        <v>5</v>
      </c>
      <c r="BK38" s="99">
        <v>6210</v>
      </c>
      <c r="BL38" s="99">
        <v>4.5349099739257088</v>
      </c>
      <c r="BM38" s="99">
        <v>5632.3581876157305</v>
      </c>
      <c r="BN38" s="99">
        <v>2.1472502266915074</v>
      </c>
      <c r="BO38" s="99">
        <v>2666.884781550852</v>
      </c>
      <c r="BP38" s="99">
        <v>5</v>
      </c>
      <c r="BQ38" s="99">
        <v>6210</v>
      </c>
      <c r="BR38" s="99">
        <v>1.7615713204399046</v>
      </c>
      <c r="BS38" s="99">
        <v>2187.8715799863617</v>
      </c>
      <c r="BT38" s="99">
        <v>4</v>
      </c>
      <c r="BU38" s="99">
        <v>4968</v>
      </c>
      <c r="BV38" s="99">
        <v>3.8252105969363273</v>
      </c>
      <c r="BW38" s="99">
        <v>4750.9115613949189</v>
      </c>
      <c r="BX38" s="99">
        <v>3.9442590707007046</v>
      </c>
      <c r="BY38" s="99">
        <v>4898.7697658102752</v>
      </c>
      <c r="BZ38" s="99">
        <v>0</v>
      </c>
      <c r="CA38" s="99">
        <v>0</v>
      </c>
      <c r="CB38" s="99">
        <v>5</v>
      </c>
      <c r="CC38" s="99">
        <v>6210</v>
      </c>
      <c r="CD38" s="99">
        <v>4</v>
      </c>
      <c r="CE38" s="99">
        <v>4968</v>
      </c>
      <c r="CF38" s="99">
        <v>4</v>
      </c>
      <c r="CG38" s="99">
        <v>4968</v>
      </c>
      <c r="CH38" s="99">
        <v>0.79564081716188428</v>
      </c>
      <c r="CI38" s="99">
        <v>988.18589491506032</v>
      </c>
      <c r="CJ38" s="99">
        <v>0</v>
      </c>
      <c r="CK38" s="99">
        <v>0</v>
      </c>
      <c r="CL38" s="99">
        <v>0</v>
      </c>
      <c r="CM38" s="99">
        <v>0</v>
      </c>
      <c r="CN38" s="99">
        <v>6</v>
      </c>
      <c r="CO38" s="99">
        <v>7452</v>
      </c>
      <c r="CP38" s="99">
        <v>3</v>
      </c>
      <c r="CQ38" s="99">
        <v>3726</v>
      </c>
      <c r="CR38" s="99">
        <v>3.3961796102523607</v>
      </c>
      <c r="CS38" s="99">
        <v>4218.0550759334319</v>
      </c>
      <c r="CT38" s="99">
        <v>2.1750030905732975</v>
      </c>
      <c r="CU38" s="99">
        <v>2701.3538384920357</v>
      </c>
    </row>
    <row r="39" spans="2:99">
      <c r="C39" s="98" t="s">
        <v>204</v>
      </c>
      <c r="D39" s="99">
        <v>0</v>
      </c>
      <c r="E39" s="99">
        <v>0</v>
      </c>
      <c r="F39" s="99">
        <v>0</v>
      </c>
      <c r="G39" s="99">
        <v>0</v>
      </c>
      <c r="H39" s="99">
        <v>2.7478138689341716</v>
      </c>
      <c r="I39" s="99">
        <v>3910.6886982671131</v>
      </c>
      <c r="J39" s="99">
        <v>2.2579997133137311</v>
      </c>
      <c r="K39" s="99">
        <v>3213.585191988102</v>
      </c>
      <c r="L39" s="99">
        <v>5.5731893883112011</v>
      </c>
      <c r="M39" s="99">
        <v>7931.7631374445018</v>
      </c>
      <c r="N39" s="99">
        <v>5</v>
      </c>
      <c r="O39" s="99">
        <v>7116</v>
      </c>
      <c r="P39" s="99">
        <v>4</v>
      </c>
      <c r="Q39" s="99">
        <v>5692.8</v>
      </c>
      <c r="R39" s="99">
        <v>0.86533489225759008</v>
      </c>
      <c r="S39" s="99">
        <v>1231.5446186610022</v>
      </c>
      <c r="T39" s="99">
        <v>5</v>
      </c>
      <c r="U39" s="99">
        <v>7116</v>
      </c>
      <c r="V39" s="99">
        <v>3</v>
      </c>
      <c r="W39" s="99">
        <v>4269.6000000000004</v>
      </c>
      <c r="X39" s="99">
        <v>4</v>
      </c>
      <c r="Y39" s="99">
        <v>5692.8</v>
      </c>
      <c r="Z39" s="99">
        <v>5</v>
      </c>
      <c r="AA39" s="99">
        <v>7116</v>
      </c>
      <c r="AB39" s="99">
        <v>4</v>
      </c>
      <c r="AC39" s="99">
        <v>5692.8</v>
      </c>
      <c r="AD39" s="99">
        <v>4</v>
      </c>
      <c r="AE39" s="99">
        <v>5692.8</v>
      </c>
      <c r="AF39" s="99">
        <v>3</v>
      </c>
      <c r="AG39" s="99">
        <v>4269.6000000000004</v>
      </c>
      <c r="AH39" s="99">
        <v>0.88066791218639484</v>
      </c>
      <c r="AI39" s="99">
        <v>1253.3665726236773</v>
      </c>
      <c r="AJ39" s="99">
        <v>3</v>
      </c>
      <c r="AK39" s="99">
        <v>4269.6000000000004</v>
      </c>
      <c r="AL39" s="99">
        <v>4</v>
      </c>
      <c r="AM39" s="99">
        <v>5692.8</v>
      </c>
      <c r="AN39" s="99">
        <v>3</v>
      </c>
      <c r="AO39" s="99">
        <v>4269.6000000000004</v>
      </c>
      <c r="AP39" s="99">
        <v>3</v>
      </c>
      <c r="AQ39" s="99">
        <v>4269.6000000000004</v>
      </c>
      <c r="AR39" s="99">
        <v>4</v>
      </c>
      <c r="AS39" s="99">
        <v>5692.8</v>
      </c>
      <c r="AT39" s="99">
        <v>2.3432988827558496</v>
      </c>
      <c r="AU39" s="99">
        <v>3334.9829699381253</v>
      </c>
      <c r="AV39" s="99">
        <v>3</v>
      </c>
      <c r="AW39" s="99">
        <v>4269.6000000000004</v>
      </c>
      <c r="AX39" s="99">
        <v>4</v>
      </c>
      <c r="AY39" s="99">
        <v>5692.8</v>
      </c>
      <c r="AZ39" s="99">
        <v>5</v>
      </c>
      <c r="BA39" s="99">
        <v>7116</v>
      </c>
      <c r="BB39" s="99">
        <v>3</v>
      </c>
      <c r="BC39" s="99">
        <v>4269.6000000000004</v>
      </c>
      <c r="BD39" s="99">
        <v>5</v>
      </c>
      <c r="BE39" s="99">
        <v>7116</v>
      </c>
      <c r="BF39" s="99">
        <v>4</v>
      </c>
      <c r="BG39" s="99">
        <v>5692.8</v>
      </c>
      <c r="BH39" s="99">
        <v>4</v>
      </c>
      <c r="BI39" s="99">
        <v>5692.8</v>
      </c>
      <c r="BJ39" s="99">
        <v>5</v>
      </c>
      <c r="BK39" s="99">
        <v>7116</v>
      </c>
      <c r="BL39" s="99">
        <v>3.627927979140567</v>
      </c>
      <c r="BM39" s="99">
        <v>5163.267099912855</v>
      </c>
      <c r="BN39" s="99">
        <v>2.1472502266915074</v>
      </c>
      <c r="BO39" s="99">
        <v>3055.9665226273537</v>
      </c>
      <c r="BP39" s="99">
        <v>6</v>
      </c>
      <c r="BQ39" s="99">
        <v>8539.2000000000007</v>
      </c>
      <c r="BR39" s="99">
        <v>1.7615713204399046</v>
      </c>
      <c r="BS39" s="99">
        <v>2507.0683032500724</v>
      </c>
      <c r="BT39" s="99">
        <v>4</v>
      </c>
      <c r="BU39" s="99">
        <v>5692.8</v>
      </c>
      <c r="BV39" s="99">
        <v>4.7815132461704088</v>
      </c>
      <c r="BW39" s="99">
        <v>6805.0496519497265</v>
      </c>
      <c r="BX39" s="99">
        <v>3.1554072565605638</v>
      </c>
      <c r="BY39" s="99">
        <v>4490.7756075369944</v>
      </c>
      <c r="BZ39" s="99">
        <v>0</v>
      </c>
      <c r="CA39" s="99">
        <v>0</v>
      </c>
      <c r="CB39" s="99">
        <v>5</v>
      </c>
      <c r="CC39" s="99">
        <v>7116</v>
      </c>
      <c r="CD39" s="99">
        <v>3</v>
      </c>
      <c r="CE39" s="99">
        <v>4269.6000000000004</v>
      </c>
      <c r="CF39" s="99">
        <v>4</v>
      </c>
      <c r="CG39" s="99">
        <v>5692.8</v>
      </c>
      <c r="CH39" s="99">
        <v>0.59673061287141316</v>
      </c>
      <c r="CI39" s="99">
        <v>849.26700823859528</v>
      </c>
      <c r="CJ39" s="99">
        <v>0</v>
      </c>
      <c r="CK39" s="99">
        <v>0</v>
      </c>
      <c r="CL39" s="99">
        <v>0</v>
      </c>
      <c r="CM39" s="99">
        <v>0</v>
      </c>
      <c r="CN39" s="99">
        <v>5</v>
      </c>
      <c r="CO39" s="99">
        <v>7116</v>
      </c>
      <c r="CP39" s="99">
        <v>3</v>
      </c>
      <c r="CQ39" s="99">
        <v>4269.6000000000004</v>
      </c>
      <c r="CR39" s="99">
        <v>3.3961796102523607</v>
      </c>
      <c r="CS39" s="99">
        <v>4833.4428213111596</v>
      </c>
      <c r="CT39" s="99">
        <v>2.1750030905732975</v>
      </c>
      <c r="CU39" s="99">
        <v>3095.464398503917</v>
      </c>
    </row>
    <row r="40" spans="2:99">
      <c r="C40" s="98" t="s">
        <v>205</v>
      </c>
      <c r="D40" s="99">
        <v>0</v>
      </c>
      <c r="E40" s="99">
        <v>0</v>
      </c>
      <c r="F40" s="99">
        <v>0</v>
      </c>
      <c r="G40" s="99">
        <v>0</v>
      </c>
      <c r="H40" s="99">
        <v>2.7478138689341716</v>
      </c>
      <c r="I40" s="99">
        <v>1991.6154922034875</v>
      </c>
      <c r="J40" s="99">
        <v>2.2779007990059874</v>
      </c>
      <c r="K40" s="99">
        <v>1651.0224991195396</v>
      </c>
      <c r="L40" s="99">
        <v>5.3983905673877342</v>
      </c>
      <c r="M40" s="99">
        <v>3912.7534832426295</v>
      </c>
      <c r="N40" s="99">
        <v>5</v>
      </c>
      <c r="O40" s="99">
        <v>3624</v>
      </c>
      <c r="P40" s="99">
        <v>4</v>
      </c>
      <c r="Q40" s="99">
        <v>2899.2</v>
      </c>
      <c r="R40" s="99">
        <v>0.86533489225759008</v>
      </c>
      <c r="S40" s="99">
        <v>627.19472990830127</v>
      </c>
      <c r="T40" s="99">
        <v>5</v>
      </c>
      <c r="U40" s="99">
        <v>3624</v>
      </c>
      <c r="V40" s="99">
        <v>4</v>
      </c>
      <c r="W40" s="99">
        <v>2899.2</v>
      </c>
      <c r="X40" s="99">
        <v>4</v>
      </c>
      <c r="Y40" s="99">
        <v>2899.2</v>
      </c>
      <c r="Z40" s="99">
        <v>5</v>
      </c>
      <c r="AA40" s="99">
        <v>3624</v>
      </c>
      <c r="AB40" s="99">
        <v>5</v>
      </c>
      <c r="AC40" s="99">
        <v>3624</v>
      </c>
      <c r="AD40" s="99">
        <v>4</v>
      </c>
      <c r="AE40" s="99">
        <v>2899.2</v>
      </c>
      <c r="AF40" s="99">
        <v>3</v>
      </c>
      <c r="AG40" s="99">
        <v>2174.3999999999996</v>
      </c>
      <c r="AH40" s="99">
        <v>0.88066791218639484</v>
      </c>
      <c r="AI40" s="99">
        <v>638.30810275269891</v>
      </c>
      <c r="AJ40" s="99">
        <v>3</v>
      </c>
      <c r="AK40" s="99">
        <v>2174.3999999999996</v>
      </c>
      <c r="AL40" s="99">
        <v>4</v>
      </c>
      <c r="AM40" s="99">
        <v>2899.2</v>
      </c>
      <c r="AN40" s="99">
        <v>4</v>
      </c>
      <c r="AO40" s="99">
        <v>2899.2</v>
      </c>
      <c r="AP40" s="99">
        <v>3</v>
      </c>
      <c r="AQ40" s="99">
        <v>2174.3999999999996</v>
      </c>
      <c r="AR40" s="99">
        <v>4</v>
      </c>
      <c r="AS40" s="99">
        <v>2899.2</v>
      </c>
      <c r="AT40" s="99">
        <v>2.3432988827558496</v>
      </c>
      <c r="AU40" s="99">
        <v>1698.4230302214396</v>
      </c>
      <c r="AV40" s="99">
        <v>4</v>
      </c>
      <c r="AW40" s="99">
        <v>2899.2</v>
      </c>
      <c r="AX40" s="99">
        <v>4</v>
      </c>
      <c r="AY40" s="99">
        <v>2899.2</v>
      </c>
      <c r="AZ40" s="99">
        <v>5</v>
      </c>
      <c r="BA40" s="99">
        <v>3624</v>
      </c>
      <c r="BB40" s="99">
        <v>3</v>
      </c>
      <c r="BC40" s="99">
        <v>2174.3999999999996</v>
      </c>
      <c r="BD40" s="99">
        <v>6</v>
      </c>
      <c r="BE40" s="99">
        <v>4348.7999999999993</v>
      </c>
      <c r="BF40" s="99">
        <v>4</v>
      </c>
      <c r="BG40" s="99">
        <v>2899.2</v>
      </c>
      <c r="BH40" s="99">
        <v>4</v>
      </c>
      <c r="BI40" s="99">
        <v>2899.2</v>
      </c>
      <c r="BJ40" s="99">
        <v>5</v>
      </c>
      <c r="BK40" s="99">
        <v>3624</v>
      </c>
      <c r="BL40" s="99">
        <v>4.5349099739257088</v>
      </c>
      <c r="BM40" s="99">
        <v>3286.9027491013535</v>
      </c>
      <c r="BN40" s="99">
        <v>2.6727684719080633</v>
      </c>
      <c r="BO40" s="99">
        <v>1937.2225884389641</v>
      </c>
      <c r="BP40" s="99">
        <v>6</v>
      </c>
      <c r="BQ40" s="99">
        <v>4348.7999999999993</v>
      </c>
      <c r="BR40" s="99">
        <v>1.7615713204399046</v>
      </c>
      <c r="BS40" s="99">
        <v>1276.7868930548427</v>
      </c>
      <c r="BT40" s="99">
        <v>5</v>
      </c>
      <c r="BU40" s="99">
        <v>3624</v>
      </c>
      <c r="BV40" s="99">
        <v>3.8252105969363273</v>
      </c>
      <c r="BW40" s="99">
        <v>2772.51264065945</v>
      </c>
      <c r="BX40" s="99">
        <v>3.9442590707007046</v>
      </c>
      <c r="BY40" s="99">
        <v>2858.7989744438705</v>
      </c>
      <c r="BZ40" s="99">
        <v>0</v>
      </c>
      <c r="CA40" s="99">
        <v>0</v>
      </c>
      <c r="CB40" s="99">
        <v>6</v>
      </c>
      <c r="CC40" s="99">
        <v>4348.7999999999993</v>
      </c>
      <c r="CD40" s="99">
        <v>4</v>
      </c>
      <c r="CE40" s="99">
        <v>2899.2</v>
      </c>
      <c r="CF40" s="99">
        <v>5</v>
      </c>
      <c r="CG40" s="99">
        <v>3624</v>
      </c>
      <c r="CH40" s="99">
        <v>0.59673061287141316</v>
      </c>
      <c r="CI40" s="99">
        <v>432.51034820920023</v>
      </c>
      <c r="CJ40" s="99">
        <v>0</v>
      </c>
      <c r="CK40" s="99">
        <v>0</v>
      </c>
      <c r="CL40" s="99">
        <v>0</v>
      </c>
      <c r="CM40" s="99">
        <v>0</v>
      </c>
      <c r="CN40" s="99">
        <v>6</v>
      </c>
      <c r="CO40" s="99">
        <v>4348.7999999999993</v>
      </c>
      <c r="CP40" s="99">
        <v>3</v>
      </c>
      <c r="CQ40" s="99">
        <v>2174.3999999999996</v>
      </c>
      <c r="CR40" s="99">
        <v>4.2452245128154518</v>
      </c>
      <c r="CS40" s="99">
        <v>3076.9387268886394</v>
      </c>
      <c r="CT40" s="99">
        <v>2.6745218520307943</v>
      </c>
      <c r="CU40" s="99">
        <v>1938.4934383519196</v>
      </c>
    </row>
    <row r="41" spans="2:99">
      <c r="C41" s="98" t="s">
        <v>206</v>
      </c>
      <c r="D41" s="99">
        <v>0</v>
      </c>
      <c r="E41" s="99">
        <v>0</v>
      </c>
      <c r="F41" s="99">
        <v>0</v>
      </c>
      <c r="G41" s="99">
        <v>0</v>
      </c>
      <c r="H41" s="99">
        <v>3.6637518252455621</v>
      </c>
      <c r="I41" s="99">
        <v>2418.0762046620712</v>
      </c>
      <c r="J41" s="99">
        <v>2.7571804323372207</v>
      </c>
      <c r="K41" s="99">
        <v>1819.7390853425657</v>
      </c>
      <c r="L41" s="99">
        <v>5.5731893883112011</v>
      </c>
      <c r="M41" s="99">
        <v>3678.3049962853929</v>
      </c>
      <c r="N41" s="99">
        <v>5</v>
      </c>
      <c r="O41" s="99">
        <v>3300</v>
      </c>
      <c r="P41" s="99">
        <v>4</v>
      </c>
      <c r="Q41" s="99">
        <v>2640</v>
      </c>
      <c r="R41" s="99">
        <v>0.86533489225759008</v>
      </c>
      <c r="S41" s="99">
        <v>571.12102889000948</v>
      </c>
      <c r="T41" s="99">
        <v>5</v>
      </c>
      <c r="U41" s="99">
        <v>3300</v>
      </c>
      <c r="V41" s="99">
        <v>4</v>
      </c>
      <c r="W41" s="99">
        <v>2640</v>
      </c>
      <c r="X41" s="99">
        <v>4</v>
      </c>
      <c r="Y41" s="99">
        <v>2640</v>
      </c>
      <c r="Z41" s="99">
        <v>5</v>
      </c>
      <c r="AA41" s="99">
        <v>3300</v>
      </c>
      <c r="AB41" s="99">
        <v>5</v>
      </c>
      <c r="AC41" s="99">
        <v>3300</v>
      </c>
      <c r="AD41" s="99">
        <v>4</v>
      </c>
      <c r="AE41" s="99">
        <v>2640</v>
      </c>
      <c r="AF41" s="99">
        <v>3</v>
      </c>
      <c r="AG41" s="99">
        <v>1980</v>
      </c>
      <c r="AH41" s="99">
        <v>0.88066791218639484</v>
      </c>
      <c r="AI41" s="99">
        <v>581.24082204302056</v>
      </c>
      <c r="AJ41" s="99">
        <v>3</v>
      </c>
      <c r="AK41" s="99">
        <v>1980</v>
      </c>
      <c r="AL41" s="99">
        <v>4</v>
      </c>
      <c r="AM41" s="99">
        <v>2640</v>
      </c>
      <c r="AN41" s="99">
        <v>4</v>
      </c>
      <c r="AO41" s="99">
        <v>2640</v>
      </c>
      <c r="AP41" s="99">
        <v>3</v>
      </c>
      <c r="AQ41" s="99">
        <v>1980</v>
      </c>
      <c r="AR41" s="99">
        <v>4</v>
      </c>
      <c r="AS41" s="99">
        <v>2640</v>
      </c>
      <c r="AT41" s="99">
        <v>1.7574741620668872</v>
      </c>
      <c r="AU41" s="99">
        <v>1159.9329469641455</v>
      </c>
      <c r="AV41" s="99">
        <v>3</v>
      </c>
      <c r="AW41" s="99">
        <v>1980</v>
      </c>
      <c r="AX41" s="99">
        <v>4</v>
      </c>
      <c r="AY41" s="99">
        <v>2640</v>
      </c>
      <c r="AZ41" s="99">
        <v>5</v>
      </c>
      <c r="BA41" s="99">
        <v>3300</v>
      </c>
      <c r="BB41" s="99">
        <v>4</v>
      </c>
      <c r="BC41" s="99">
        <v>2640</v>
      </c>
      <c r="BD41" s="99">
        <v>5</v>
      </c>
      <c r="BE41" s="99">
        <v>3300</v>
      </c>
      <c r="BF41" s="99">
        <v>4</v>
      </c>
      <c r="BG41" s="99">
        <v>2640</v>
      </c>
      <c r="BH41" s="99">
        <v>4</v>
      </c>
      <c r="BI41" s="99">
        <v>2640</v>
      </c>
      <c r="BJ41" s="99">
        <v>5</v>
      </c>
      <c r="BK41" s="99">
        <v>3300</v>
      </c>
      <c r="BL41" s="99">
        <v>4.5349099739257088</v>
      </c>
      <c r="BM41" s="99">
        <v>2993.0405827909676</v>
      </c>
      <c r="BN41" s="99">
        <v>2.1698388496041492</v>
      </c>
      <c r="BO41" s="99">
        <v>1432.0936407387385</v>
      </c>
      <c r="BP41" s="99">
        <v>6</v>
      </c>
      <c r="BQ41" s="99">
        <v>3960</v>
      </c>
      <c r="BR41" s="99">
        <v>1.7615713204399046</v>
      </c>
      <c r="BS41" s="99">
        <v>1162.6370714903371</v>
      </c>
      <c r="BT41" s="99">
        <v>5</v>
      </c>
      <c r="BU41" s="99">
        <v>3300</v>
      </c>
      <c r="BV41" s="99">
        <v>4.7815132461704088</v>
      </c>
      <c r="BW41" s="99">
        <v>3155.7987424724697</v>
      </c>
      <c r="BX41" s="99">
        <v>3.9442590707007046</v>
      </c>
      <c r="BY41" s="99">
        <v>2603.2109866624651</v>
      </c>
      <c r="BZ41" s="99">
        <v>0</v>
      </c>
      <c r="CA41" s="99">
        <v>0</v>
      </c>
      <c r="CB41" s="99">
        <v>5</v>
      </c>
      <c r="CC41" s="99">
        <v>3300</v>
      </c>
      <c r="CD41" s="99">
        <v>3</v>
      </c>
      <c r="CE41" s="99">
        <v>1980</v>
      </c>
      <c r="CF41" s="99">
        <v>4</v>
      </c>
      <c r="CG41" s="99">
        <v>2640</v>
      </c>
      <c r="CH41" s="99">
        <v>0.79564081716188428</v>
      </c>
      <c r="CI41" s="99">
        <v>525.12293932684361</v>
      </c>
      <c r="CJ41" s="99">
        <v>0</v>
      </c>
      <c r="CK41" s="99">
        <v>0</v>
      </c>
      <c r="CL41" s="99">
        <v>0</v>
      </c>
      <c r="CM41" s="99">
        <v>0</v>
      </c>
      <c r="CN41" s="99">
        <v>6</v>
      </c>
      <c r="CO41" s="99">
        <v>3960</v>
      </c>
      <c r="CP41" s="99">
        <v>3</v>
      </c>
      <c r="CQ41" s="99">
        <v>1980</v>
      </c>
      <c r="CR41" s="99">
        <v>4.2452245128154518</v>
      </c>
      <c r="CS41" s="99">
        <v>2801.8481784581982</v>
      </c>
      <c r="CT41" s="99">
        <v>2.6524058464378801</v>
      </c>
      <c r="CU41" s="99">
        <v>1750.587858649001</v>
      </c>
    </row>
    <row r="42" spans="2:99">
      <c r="C42" s="98" t="s">
        <v>207</v>
      </c>
      <c r="D42" s="99">
        <v>0</v>
      </c>
      <c r="E42" s="99">
        <v>0</v>
      </c>
      <c r="F42" s="99">
        <v>0</v>
      </c>
      <c r="G42" s="99">
        <v>0</v>
      </c>
      <c r="H42" s="99">
        <v>2.7478138689341716</v>
      </c>
      <c r="I42" s="99">
        <v>2324.6505331183093</v>
      </c>
      <c r="J42" s="99">
        <v>2.2579997133137311</v>
      </c>
      <c r="K42" s="99">
        <v>1910.2677574634165</v>
      </c>
      <c r="L42" s="99">
        <v>5.5731893883112011</v>
      </c>
      <c r="M42" s="99">
        <v>4714.9182225112763</v>
      </c>
      <c r="N42" s="99">
        <v>5</v>
      </c>
      <c r="O42" s="99">
        <v>4230</v>
      </c>
      <c r="P42" s="99">
        <v>4</v>
      </c>
      <c r="Q42" s="99">
        <v>3384</v>
      </c>
      <c r="R42" s="99">
        <v>0.86533489225759008</v>
      </c>
      <c r="S42" s="99">
        <v>732.07331884992118</v>
      </c>
      <c r="T42" s="99">
        <v>5</v>
      </c>
      <c r="U42" s="99">
        <v>4230</v>
      </c>
      <c r="V42" s="99">
        <v>3</v>
      </c>
      <c r="W42" s="99">
        <v>2538</v>
      </c>
      <c r="X42" s="99">
        <v>3</v>
      </c>
      <c r="Y42" s="99">
        <v>2538</v>
      </c>
      <c r="Z42" s="99">
        <v>5</v>
      </c>
      <c r="AA42" s="99">
        <v>4230</v>
      </c>
      <c r="AB42" s="99">
        <v>4</v>
      </c>
      <c r="AC42" s="99">
        <v>3384</v>
      </c>
      <c r="AD42" s="99">
        <v>4</v>
      </c>
      <c r="AE42" s="99">
        <v>3384</v>
      </c>
      <c r="AF42" s="99">
        <v>3</v>
      </c>
      <c r="AG42" s="99">
        <v>2538</v>
      </c>
      <c r="AH42" s="99">
        <v>0.88066791218639484</v>
      </c>
      <c r="AI42" s="99">
        <v>745.04505370969002</v>
      </c>
      <c r="AJ42" s="99">
        <v>3</v>
      </c>
      <c r="AK42" s="99">
        <v>2538</v>
      </c>
      <c r="AL42" s="99">
        <v>4</v>
      </c>
      <c r="AM42" s="99">
        <v>3384</v>
      </c>
      <c r="AN42" s="99">
        <v>4</v>
      </c>
      <c r="AO42" s="99">
        <v>3384</v>
      </c>
      <c r="AP42" s="99">
        <v>3</v>
      </c>
      <c r="AQ42" s="99">
        <v>2538</v>
      </c>
      <c r="AR42" s="99">
        <v>3</v>
      </c>
      <c r="AS42" s="99">
        <v>2538</v>
      </c>
      <c r="AT42" s="99">
        <v>1.7574741620668872</v>
      </c>
      <c r="AU42" s="99">
        <v>1486.8231411085867</v>
      </c>
      <c r="AV42" s="99">
        <v>4</v>
      </c>
      <c r="AW42" s="99">
        <v>3384</v>
      </c>
      <c r="AX42" s="99">
        <v>4</v>
      </c>
      <c r="AY42" s="99">
        <v>3384</v>
      </c>
      <c r="AZ42" s="99">
        <v>5</v>
      </c>
      <c r="BA42" s="99">
        <v>4230</v>
      </c>
      <c r="BB42" s="99">
        <v>3</v>
      </c>
      <c r="BC42" s="99">
        <v>2538</v>
      </c>
      <c r="BD42" s="99">
        <v>5</v>
      </c>
      <c r="BE42" s="99">
        <v>4230</v>
      </c>
      <c r="BF42" s="99">
        <v>3</v>
      </c>
      <c r="BG42" s="99">
        <v>2538</v>
      </c>
      <c r="BH42" s="99">
        <v>4</v>
      </c>
      <c r="BI42" s="99">
        <v>3384</v>
      </c>
      <c r="BJ42" s="99">
        <v>6</v>
      </c>
      <c r="BK42" s="99">
        <v>5076</v>
      </c>
      <c r="BL42" s="99">
        <v>4.5349099739257088</v>
      </c>
      <c r="BM42" s="99">
        <v>3836.5338379411496</v>
      </c>
      <c r="BN42" s="99">
        <v>2.1698388496041492</v>
      </c>
      <c r="BO42" s="99">
        <v>1835.6836667651103</v>
      </c>
      <c r="BP42" s="99">
        <v>6</v>
      </c>
      <c r="BQ42" s="99">
        <v>5076</v>
      </c>
      <c r="BR42" s="99">
        <v>2.3487617605865396</v>
      </c>
      <c r="BS42" s="99">
        <v>1987.0524494562126</v>
      </c>
      <c r="BT42" s="99">
        <v>4</v>
      </c>
      <c r="BU42" s="99">
        <v>3384</v>
      </c>
      <c r="BV42" s="99">
        <v>3.8252105969363273</v>
      </c>
      <c r="BW42" s="99">
        <v>3236.1281650081328</v>
      </c>
      <c r="BX42" s="99">
        <v>3.9442590707007046</v>
      </c>
      <c r="BY42" s="99">
        <v>3336.8431738127961</v>
      </c>
      <c r="BZ42" s="99">
        <v>0</v>
      </c>
      <c r="CA42" s="99">
        <v>0</v>
      </c>
      <c r="CB42" s="99">
        <v>5</v>
      </c>
      <c r="CC42" s="99">
        <v>4230</v>
      </c>
      <c r="CD42" s="99">
        <v>4</v>
      </c>
      <c r="CE42" s="99">
        <v>3384</v>
      </c>
      <c r="CF42" s="99">
        <v>5</v>
      </c>
      <c r="CG42" s="99">
        <v>4230</v>
      </c>
      <c r="CH42" s="99">
        <v>0.79564081716188428</v>
      </c>
      <c r="CI42" s="99">
        <v>673.11213131895408</v>
      </c>
      <c r="CJ42" s="99">
        <v>0</v>
      </c>
      <c r="CK42" s="99">
        <v>0</v>
      </c>
      <c r="CL42" s="99">
        <v>0</v>
      </c>
      <c r="CM42" s="99">
        <v>0</v>
      </c>
      <c r="CN42" s="99">
        <v>5</v>
      </c>
      <c r="CO42" s="99">
        <v>4230</v>
      </c>
      <c r="CP42" s="99">
        <v>3</v>
      </c>
      <c r="CQ42" s="99">
        <v>2538</v>
      </c>
      <c r="CR42" s="99">
        <v>3.3961796102523607</v>
      </c>
      <c r="CS42" s="99">
        <v>2873.1679502734974</v>
      </c>
      <c r="CT42" s="99">
        <v>2.1750030905732975</v>
      </c>
      <c r="CU42" s="99">
        <v>1840.0526146250097</v>
      </c>
    </row>
    <row r="43" spans="2:99">
      <c r="C43" s="98" t="s">
        <v>208</v>
      </c>
      <c r="D43" s="99">
        <v>0</v>
      </c>
      <c r="E43" s="99">
        <v>0</v>
      </c>
      <c r="F43" s="99">
        <v>0</v>
      </c>
      <c r="G43" s="99">
        <v>0</v>
      </c>
      <c r="H43" s="99">
        <v>3.6637518252455621</v>
      </c>
      <c r="I43" s="99">
        <v>3745.8198661310626</v>
      </c>
      <c r="J43" s="99">
        <v>2.6896985702842207</v>
      </c>
      <c r="K43" s="99">
        <v>2749.9478182585872</v>
      </c>
      <c r="L43" s="99">
        <v>5.3983905673877342</v>
      </c>
      <c r="M43" s="99">
        <v>5519.314516097219</v>
      </c>
      <c r="N43" s="99">
        <v>5</v>
      </c>
      <c r="O43" s="99">
        <v>5112</v>
      </c>
      <c r="P43" s="99">
        <v>4</v>
      </c>
      <c r="Q43" s="99">
        <v>4089.6</v>
      </c>
      <c r="R43" s="99">
        <v>0.86533489225759008</v>
      </c>
      <c r="S43" s="99">
        <v>884.71839384416012</v>
      </c>
      <c r="T43" s="99">
        <v>5</v>
      </c>
      <c r="U43" s="99">
        <v>5112</v>
      </c>
      <c r="V43" s="99">
        <v>4</v>
      </c>
      <c r="W43" s="99">
        <v>4089.6</v>
      </c>
      <c r="X43" s="99">
        <v>4</v>
      </c>
      <c r="Y43" s="99">
        <v>4089.6</v>
      </c>
      <c r="Z43" s="99">
        <v>5</v>
      </c>
      <c r="AA43" s="99">
        <v>5112</v>
      </c>
      <c r="AB43" s="99">
        <v>5</v>
      </c>
      <c r="AC43" s="99">
        <v>5112</v>
      </c>
      <c r="AD43" s="99">
        <v>4</v>
      </c>
      <c r="AE43" s="99">
        <v>4089.6</v>
      </c>
      <c r="AF43" s="99">
        <v>3</v>
      </c>
      <c r="AG43" s="99">
        <v>3067.2</v>
      </c>
      <c r="AH43" s="99">
        <v>0.88066791218639484</v>
      </c>
      <c r="AI43" s="99">
        <v>900.39487341937001</v>
      </c>
      <c r="AJ43" s="99">
        <v>3</v>
      </c>
      <c r="AK43" s="99">
        <v>3067.2</v>
      </c>
      <c r="AL43" s="99">
        <v>4</v>
      </c>
      <c r="AM43" s="99">
        <v>4089.6</v>
      </c>
      <c r="AN43" s="99">
        <v>4</v>
      </c>
      <c r="AO43" s="99">
        <v>4089.6</v>
      </c>
      <c r="AP43" s="99">
        <v>3</v>
      </c>
      <c r="AQ43" s="99">
        <v>3067.2</v>
      </c>
      <c r="AR43" s="99">
        <v>3</v>
      </c>
      <c r="AS43" s="99">
        <v>3067.2</v>
      </c>
      <c r="AT43" s="99">
        <v>2.3432988827558496</v>
      </c>
      <c r="AU43" s="99">
        <v>2395.7887777295805</v>
      </c>
      <c r="AV43" s="99">
        <v>4</v>
      </c>
      <c r="AW43" s="99">
        <v>4089.6</v>
      </c>
      <c r="AX43" s="99">
        <v>4</v>
      </c>
      <c r="AY43" s="99">
        <v>4089.6</v>
      </c>
      <c r="AZ43" s="99">
        <v>5</v>
      </c>
      <c r="BA43" s="99">
        <v>5112</v>
      </c>
      <c r="BB43" s="99">
        <v>3</v>
      </c>
      <c r="BC43" s="99">
        <v>3067.2</v>
      </c>
      <c r="BD43" s="99">
        <v>5</v>
      </c>
      <c r="BE43" s="99">
        <v>5112</v>
      </c>
      <c r="BF43" s="99">
        <v>4</v>
      </c>
      <c r="BG43" s="99">
        <v>4089.6</v>
      </c>
      <c r="BH43" s="99">
        <v>4</v>
      </c>
      <c r="BI43" s="99">
        <v>4089.6</v>
      </c>
      <c r="BJ43" s="99">
        <v>5</v>
      </c>
      <c r="BK43" s="99">
        <v>5112</v>
      </c>
      <c r="BL43" s="99">
        <v>4.5349099739257088</v>
      </c>
      <c r="BM43" s="99">
        <v>4636.4919573416446</v>
      </c>
      <c r="BN43" s="99">
        <v>2.6727684719080633</v>
      </c>
      <c r="BO43" s="99">
        <v>2732.638485678804</v>
      </c>
      <c r="BP43" s="99">
        <v>6</v>
      </c>
      <c r="BQ43" s="99">
        <v>6134.4</v>
      </c>
      <c r="BR43" s="99">
        <v>1.7615713204399046</v>
      </c>
      <c r="BS43" s="99">
        <v>1801.0305180177584</v>
      </c>
      <c r="BT43" s="99">
        <v>4</v>
      </c>
      <c r="BU43" s="99">
        <v>4089.6</v>
      </c>
      <c r="BV43" s="99">
        <v>3.8252105969363273</v>
      </c>
      <c r="BW43" s="99">
        <v>3910.895314307701</v>
      </c>
      <c r="BX43" s="99">
        <v>3.1554072565605638</v>
      </c>
      <c r="BY43" s="99">
        <v>3226.0883791075203</v>
      </c>
      <c r="BZ43" s="99">
        <v>0</v>
      </c>
      <c r="CA43" s="99">
        <v>0</v>
      </c>
      <c r="CB43" s="99">
        <v>5</v>
      </c>
      <c r="CC43" s="99">
        <v>5112</v>
      </c>
      <c r="CD43" s="99">
        <v>3</v>
      </c>
      <c r="CE43" s="99">
        <v>3067.2</v>
      </c>
      <c r="CF43" s="99">
        <v>4</v>
      </c>
      <c r="CG43" s="99">
        <v>4089.6</v>
      </c>
      <c r="CH43" s="99">
        <v>0.79564081716188428</v>
      </c>
      <c r="CI43" s="99">
        <v>813.46317146631043</v>
      </c>
      <c r="CJ43" s="99">
        <v>0</v>
      </c>
      <c r="CK43" s="99">
        <v>0</v>
      </c>
      <c r="CL43" s="99">
        <v>0</v>
      </c>
      <c r="CM43" s="99">
        <v>0</v>
      </c>
      <c r="CN43" s="99">
        <v>6</v>
      </c>
      <c r="CO43" s="99">
        <v>6134.4</v>
      </c>
      <c r="CP43" s="99">
        <v>3</v>
      </c>
      <c r="CQ43" s="99">
        <v>3067.2</v>
      </c>
      <c r="CR43" s="99">
        <v>4.2452245128154518</v>
      </c>
      <c r="CS43" s="99">
        <v>4340.3175419025174</v>
      </c>
      <c r="CT43" s="99">
        <v>2.1528870849803838</v>
      </c>
      <c r="CU43" s="99">
        <v>2201.1117556839445</v>
      </c>
    </row>
    <row r="44" spans="2:99">
      <c r="C44" s="98" t="s">
        <v>209</v>
      </c>
      <c r="D44" s="99">
        <v>0</v>
      </c>
      <c r="E44" s="99">
        <v>0</v>
      </c>
      <c r="F44" s="99">
        <v>0</v>
      </c>
      <c r="G44" s="99">
        <v>0</v>
      </c>
      <c r="H44" s="99">
        <v>3.6637518252455621</v>
      </c>
      <c r="I44" s="99">
        <v>3745.8198661310626</v>
      </c>
      <c r="J44" s="99">
        <v>2.2779007990059874</v>
      </c>
      <c r="K44" s="99">
        <v>2328.9257769037213</v>
      </c>
      <c r="L44" s="99">
        <v>5.5731893883112011</v>
      </c>
      <c r="M44" s="99">
        <v>5698.0288306093717</v>
      </c>
      <c r="N44" s="99">
        <v>5</v>
      </c>
      <c r="O44" s="99">
        <v>5112</v>
      </c>
      <c r="P44" s="99">
        <v>4</v>
      </c>
      <c r="Q44" s="99">
        <v>4089.6</v>
      </c>
      <c r="R44" s="99">
        <v>0.86533489225759008</v>
      </c>
      <c r="S44" s="99">
        <v>884.71839384416012</v>
      </c>
      <c r="T44" s="99">
        <v>5</v>
      </c>
      <c r="U44" s="99">
        <v>5112</v>
      </c>
      <c r="V44" s="99">
        <v>4</v>
      </c>
      <c r="W44" s="99">
        <v>4089.6</v>
      </c>
      <c r="X44" s="99">
        <v>4</v>
      </c>
      <c r="Y44" s="99">
        <v>4089.6</v>
      </c>
      <c r="Z44" s="99">
        <v>4</v>
      </c>
      <c r="AA44" s="99">
        <v>4089.6</v>
      </c>
      <c r="AB44" s="99">
        <v>4</v>
      </c>
      <c r="AC44" s="99">
        <v>4089.6</v>
      </c>
      <c r="AD44" s="99">
        <v>4</v>
      </c>
      <c r="AE44" s="99">
        <v>4089.6</v>
      </c>
      <c r="AF44" s="99">
        <v>3</v>
      </c>
      <c r="AG44" s="99">
        <v>3067.2</v>
      </c>
      <c r="AH44" s="99">
        <v>0.88066791218639484</v>
      </c>
      <c r="AI44" s="99">
        <v>900.39487341937001</v>
      </c>
      <c r="AJ44" s="99">
        <v>3</v>
      </c>
      <c r="AK44" s="99">
        <v>3067.2</v>
      </c>
      <c r="AL44" s="99">
        <v>4</v>
      </c>
      <c r="AM44" s="99">
        <v>4089.6</v>
      </c>
      <c r="AN44" s="99">
        <v>4</v>
      </c>
      <c r="AO44" s="99">
        <v>4089.6</v>
      </c>
      <c r="AP44" s="99">
        <v>3</v>
      </c>
      <c r="AQ44" s="99">
        <v>3067.2</v>
      </c>
      <c r="AR44" s="99">
        <v>3</v>
      </c>
      <c r="AS44" s="99">
        <v>3067.2</v>
      </c>
      <c r="AT44" s="99">
        <v>2.3432988827558496</v>
      </c>
      <c r="AU44" s="99">
        <v>2395.7887777295805</v>
      </c>
      <c r="AV44" s="99">
        <v>3</v>
      </c>
      <c r="AW44" s="99">
        <v>3067.2</v>
      </c>
      <c r="AX44" s="99">
        <v>4</v>
      </c>
      <c r="AY44" s="99">
        <v>4089.6</v>
      </c>
      <c r="AZ44" s="99">
        <v>4</v>
      </c>
      <c r="BA44" s="99">
        <v>4089.6</v>
      </c>
      <c r="BB44" s="99">
        <v>3</v>
      </c>
      <c r="BC44" s="99">
        <v>3067.2</v>
      </c>
      <c r="BD44" s="99">
        <v>5</v>
      </c>
      <c r="BE44" s="99">
        <v>5112</v>
      </c>
      <c r="BF44" s="99">
        <v>4</v>
      </c>
      <c r="BG44" s="99">
        <v>4089.6</v>
      </c>
      <c r="BH44" s="99">
        <v>4</v>
      </c>
      <c r="BI44" s="99">
        <v>4089.6</v>
      </c>
      <c r="BJ44" s="99">
        <v>5</v>
      </c>
      <c r="BK44" s="99">
        <v>5112</v>
      </c>
      <c r="BL44" s="99">
        <v>4.5349099739257088</v>
      </c>
      <c r="BM44" s="99">
        <v>4636.4919573416446</v>
      </c>
      <c r="BN44" s="99">
        <v>2.6727684719080633</v>
      </c>
      <c r="BO44" s="99">
        <v>2732.638485678804</v>
      </c>
      <c r="BP44" s="99">
        <v>6</v>
      </c>
      <c r="BQ44" s="99">
        <v>6134.4</v>
      </c>
      <c r="BR44" s="99">
        <v>1.7615713204399046</v>
      </c>
      <c r="BS44" s="99">
        <v>1801.0305180177584</v>
      </c>
      <c r="BT44" s="99">
        <v>4</v>
      </c>
      <c r="BU44" s="99">
        <v>4089.6</v>
      </c>
      <c r="BV44" s="99">
        <v>4.7815132461704088</v>
      </c>
      <c r="BW44" s="99">
        <v>4888.6191428846259</v>
      </c>
      <c r="BX44" s="99">
        <v>3.9442590707007046</v>
      </c>
      <c r="BY44" s="99">
        <v>4032.6104738844001</v>
      </c>
      <c r="BZ44" s="99">
        <v>0</v>
      </c>
      <c r="CA44" s="99">
        <v>0</v>
      </c>
      <c r="CB44" s="99">
        <v>6</v>
      </c>
      <c r="CC44" s="99">
        <v>6134.4</v>
      </c>
      <c r="CD44" s="99">
        <v>4</v>
      </c>
      <c r="CE44" s="99">
        <v>4089.6</v>
      </c>
      <c r="CF44" s="99">
        <v>5</v>
      </c>
      <c r="CG44" s="99">
        <v>5112</v>
      </c>
      <c r="CH44" s="99">
        <v>0.79564081716188428</v>
      </c>
      <c r="CI44" s="99">
        <v>813.46317146631043</v>
      </c>
      <c r="CJ44" s="99">
        <v>0</v>
      </c>
      <c r="CK44" s="99">
        <v>0</v>
      </c>
      <c r="CL44" s="99">
        <v>0</v>
      </c>
      <c r="CM44" s="99">
        <v>0</v>
      </c>
      <c r="CN44" s="99">
        <v>6</v>
      </c>
      <c r="CO44" s="99">
        <v>6134.4</v>
      </c>
      <c r="CP44" s="99">
        <v>3</v>
      </c>
      <c r="CQ44" s="99">
        <v>3067.2</v>
      </c>
      <c r="CR44" s="99">
        <v>4.2452245128154518</v>
      </c>
      <c r="CS44" s="99">
        <v>4340.3175419025174</v>
      </c>
      <c r="CT44" s="99">
        <v>2.1971190961662117</v>
      </c>
      <c r="CU44" s="99">
        <v>2246.3345639203349</v>
      </c>
    </row>
    <row r="45" spans="2:99">
      <c r="C45" s="98" t="s">
        <v>210</v>
      </c>
      <c r="D45" s="99">
        <v>0</v>
      </c>
      <c r="E45" s="99">
        <v>0</v>
      </c>
      <c r="F45" s="99">
        <v>0</v>
      </c>
      <c r="G45" s="99">
        <v>0</v>
      </c>
      <c r="H45" s="99">
        <v>2.7478138689341716</v>
      </c>
      <c r="I45" s="99">
        <v>3432.5690850725673</v>
      </c>
      <c r="J45" s="99">
        <v>2.2779007990059874</v>
      </c>
      <c r="K45" s="99">
        <v>2845.5536781182795</v>
      </c>
      <c r="L45" s="99">
        <v>5.3983905673877342</v>
      </c>
      <c r="M45" s="99">
        <v>6743.669496780758</v>
      </c>
      <c r="N45" s="99">
        <v>5</v>
      </c>
      <c r="O45" s="99">
        <v>6246</v>
      </c>
      <c r="P45" s="99">
        <v>4</v>
      </c>
      <c r="Q45" s="99">
        <v>4996.8</v>
      </c>
      <c r="R45" s="99">
        <v>0.86533489225759008</v>
      </c>
      <c r="S45" s="99">
        <v>1080.9763474081815</v>
      </c>
      <c r="T45" s="99">
        <v>5</v>
      </c>
      <c r="U45" s="99">
        <v>6246</v>
      </c>
      <c r="V45" s="99">
        <v>3</v>
      </c>
      <c r="W45" s="99">
        <v>3747.6000000000004</v>
      </c>
      <c r="X45" s="99">
        <v>3</v>
      </c>
      <c r="Y45" s="99">
        <v>3747.6000000000004</v>
      </c>
      <c r="Z45" s="99">
        <v>5</v>
      </c>
      <c r="AA45" s="99">
        <v>6246</v>
      </c>
      <c r="AB45" s="99">
        <v>4</v>
      </c>
      <c r="AC45" s="99">
        <v>4996.8</v>
      </c>
      <c r="AD45" s="99">
        <v>4</v>
      </c>
      <c r="AE45" s="99">
        <v>4996.8</v>
      </c>
      <c r="AF45" s="99">
        <v>3</v>
      </c>
      <c r="AG45" s="99">
        <v>3747.6000000000004</v>
      </c>
      <c r="AH45" s="99">
        <v>0.88066791218639484</v>
      </c>
      <c r="AI45" s="99">
        <v>1100.1303559032444</v>
      </c>
      <c r="AJ45" s="99">
        <v>3</v>
      </c>
      <c r="AK45" s="99">
        <v>3747.6000000000004</v>
      </c>
      <c r="AL45" s="99">
        <v>4</v>
      </c>
      <c r="AM45" s="99">
        <v>4996.8</v>
      </c>
      <c r="AN45" s="99">
        <v>4</v>
      </c>
      <c r="AO45" s="99">
        <v>4996.8</v>
      </c>
      <c r="AP45" s="99">
        <v>3</v>
      </c>
      <c r="AQ45" s="99">
        <v>3747.6000000000004</v>
      </c>
      <c r="AR45" s="99">
        <v>3</v>
      </c>
      <c r="AS45" s="99">
        <v>3747.6000000000004</v>
      </c>
      <c r="AT45" s="99">
        <v>2.3432988827558496</v>
      </c>
      <c r="AU45" s="99">
        <v>2927.2489643386075</v>
      </c>
      <c r="AV45" s="99">
        <v>3</v>
      </c>
      <c r="AW45" s="99">
        <v>3747.6000000000004</v>
      </c>
      <c r="AX45" s="99">
        <v>4</v>
      </c>
      <c r="AY45" s="99">
        <v>4996.8</v>
      </c>
      <c r="AZ45" s="99">
        <v>5</v>
      </c>
      <c r="BA45" s="99">
        <v>6246</v>
      </c>
      <c r="BB45" s="99">
        <v>3</v>
      </c>
      <c r="BC45" s="99">
        <v>3747.6000000000004</v>
      </c>
      <c r="BD45" s="99">
        <v>5</v>
      </c>
      <c r="BE45" s="99">
        <v>6246</v>
      </c>
      <c r="BF45" s="99">
        <v>4</v>
      </c>
      <c r="BG45" s="99">
        <v>4996.8</v>
      </c>
      <c r="BH45" s="99">
        <v>4</v>
      </c>
      <c r="BI45" s="99">
        <v>4996.8</v>
      </c>
      <c r="BJ45" s="99">
        <v>5</v>
      </c>
      <c r="BK45" s="99">
        <v>6246</v>
      </c>
      <c r="BL45" s="99">
        <v>4.5349099739257088</v>
      </c>
      <c r="BM45" s="99">
        <v>5665.0095394279961</v>
      </c>
      <c r="BN45" s="99">
        <v>2.1698388496041492</v>
      </c>
      <c r="BO45" s="99">
        <v>2710.5626909255034</v>
      </c>
      <c r="BP45" s="99">
        <v>6</v>
      </c>
      <c r="BQ45" s="99">
        <v>7495.2000000000007</v>
      </c>
      <c r="BR45" s="99">
        <v>1.7615713204399046</v>
      </c>
      <c r="BS45" s="99">
        <v>2200.5548934935291</v>
      </c>
      <c r="BT45" s="99">
        <v>4</v>
      </c>
      <c r="BU45" s="99">
        <v>4996.8</v>
      </c>
      <c r="BV45" s="99">
        <v>4.7815132461704088</v>
      </c>
      <c r="BW45" s="99">
        <v>5973.0663471160751</v>
      </c>
      <c r="BX45" s="99">
        <v>3.1554072565605638</v>
      </c>
      <c r="BY45" s="99">
        <v>3941.7347448954565</v>
      </c>
      <c r="BZ45" s="99">
        <v>0</v>
      </c>
      <c r="CA45" s="99">
        <v>0</v>
      </c>
      <c r="CB45" s="99">
        <v>6</v>
      </c>
      <c r="CC45" s="99">
        <v>7495.2000000000007</v>
      </c>
      <c r="CD45" s="99">
        <v>3</v>
      </c>
      <c r="CE45" s="99">
        <v>3747.6000000000004</v>
      </c>
      <c r="CF45" s="99">
        <v>4</v>
      </c>
      <c r="CG45" s="99">
        <v>4996.8</v>
      </c>
      <c r="CH45" s="99">
        <v>0.79564081716188428</v>
      </c>
      <c r="CI45" s="99">
        <v>993.91450879862589</v>
      </c>
      <c r="CJ45" s="99">
        <v>0</v>
      </c>
      <c r="CK45" s="99">
        <v>0</v>
      </c>
      <c r="CL45" s="99">
        <v>0</v>
      </c>
      <c r="CM45" s="99">
        <v>0</v>
      </c>
      <c r="CN45" s="99">
        <v>5</v>
      </c>
      <c r="CO45" s="99">
        <v>6246</v>
      </c>
      <c r="CP45" s="99">
        <v>3</v>
      </c>
      <c r="CQ45" s="99">
        <v>3747.6000000000004</v>
      </c>
      <c r="CR45" s="99">
        <v>3.3961796102523607</v>
      </c>
      <c r="CS45" s="99">
        <v>4242.5075691272496</v>
      </c>
      <c r="CT45" s="99">
        <v>2.1528870849803838</v>
      </c>
      <c r="CU45" s="99">
        <v>2689.3865465574954</v>
      </c>
    </row>
    <row r="46" spans="2:99">
      <c r="C46" s="98" t="s">
        <v>211</v>
      </c>
      <c r="D46" s="99">
        <v>0</v>
      </c>
      <c r="E46" s="99">
        <v>0</v>
      </c>
      <c r="F46" s="99">
        <v>0</v>
      </c>
      <c r="G46" s="99">
        <v>0</v>
      </c>
      <c r="H46" s="99">
        <v>3.6637518252455621</v>
      </c>
      <c r="I46" s="99">
        <v>4440.4672121976209</v>
      </c>
      <c r="J46" s="99">
        <v>2.2779007990059874</v>
      </c>
      <c r="K46" s="99">
        <v>2760.8157683952568</v>
      </c>
      <c r="L46" s="99">
        <v>5.3983905673877342</v>
      </c>
      <c r="M46" s="99">
        <v>6542.8493676739336</v>
      </c>
      <c r="N46" s="99">
        <v>5</v>
      </c>
      <c r="O46" s="99">
        <v>6060</v>
      </c>
      <c r="P46" s="99">
        <v>4</v>
      </c>
      <c r="Q46" s="99">
        <v>4848</v>
      </c>
      <c r="R46" s="99">
        <v>0.86533489225759008</v>
      </c>
      <c r="S46" s="99">
        <v>1048.7858894161991</v>
      </c>
      <c r="T46" s="99">
        <v>5</v>
      </c>
      <c r="U46" s="99">
        <v>6060</v>
      </c>
      <c r="V46" s="99">
        <v>4</v>
      </c>
      <c r="W46" s="99">
        <v>4848</v>
      </c>
      <c r="X46" s="99">
        <v>4</v>
      </c>
      <c r="Y46" s="99">
        <v>4848</v>
      </c>
      <c r="Z46" s="99">
        <v>5</v>
      </c>
      <c r="AA46" s="99">
        <v>6060</v>
      </c>
      <c r="AB46" s="99">
        <v>4</v>
      </c>
      <c r="AC46" s="99">
        <v>4848</v>
      </c>
      <c r="AD46" s="99">
        <v>3</v>
      </c>
      <c r="AE46" s="99">
        <v>3636</v>
      </c>
      <c r="AF46" s="99">
        <v>3</v>
      </c>
      <c r="AG46" s="99">
        <v>3636</v>
      </c>
      <c r="AH46" s="99">
        <v>0.88066791218639484</v>
      </c>
      <c r="AI46" s="99">
        <v>1067.3695095699106</v>
      </c>
      <c r="AJ46" s="99">
        <v>3</v>
      </c>
      <c r="AK46" s="99">
        <v>3636</v>
      </c>
      <c r="AL46" s="99">
        <v>4</v>
      </c>
      <c r="AM46" s="99">
        <v>4848</v>
      </c>
      <c r="AN46" s="99">
        <v>4</v>
      </c>
      <c r="AO46" s="99">
        <v>4848</v>
      </c>
      <c r="AP46" s="99">
        <v>3</v>
      </c>
      <c r="AQ46" s="99">
        <v>3636</v>
      </c>
      <c r="AR46" s="99">
        <v>3</v>
      </c>
      <c r="AS46" s="99">
        <v>3636</v>
      </c>
      <c r="AT46" s="99">
        <v>1.7574741620668872</v>
      </c>
      <c r="AU46" s="99">
        <v>2130.0586844250674</v>
      </c>
      <c r="AV46" s="99">
        <v>3</v>
      </c>
      <c r="AW46" s="99">
        <v>3636</v>
      </c>
      <c r="AX46" s="99">
        <v>4</v>
      </c>
      <c r="AY46" s="99">
        <v>4848</v>
      </c>
      <c r="AZ46" s="99">
        <v>5</v>
      </c>
      <c r="BA46" s="99">
        <v>6060</v>
      </c>
      <c r="BB46" s="99">
        <v>3</v>
      </c>
      <c r="BC46" s="99">
        <v>3636</v>
      </c>
      <c r="BD46" s="99">
        <v>5</v>
      </c>
      <c r="BE46" s="99">
        <v>6060</v>
      </c>
      <c r="BF46" s="99">
        <v>4</v>
      </c>
      <c r="BG46" s="99">
        <v>4848</v>
      </c>
      <c r="BH46" s="99">
        <v>4</v>
      </c>
      <c r="BI46" s="99">
        <v>4848</v>
      </c>
      <c r="BJ46" s="99">
        <v>5</v>
      </c>
      <c r="BK46" s="99">
        <v>6060</v>
      </c>
      <c r="BL46" s="99">
        <v>4.5349099739257088</v>
      </c>
      <c r="BM46" s="99">
        <v>5496.3108883979594</v>
      </c>
      <c r="BN46" s="99">
        <v>2.1698388496041492</v>
      </c>
      <c r="BO46" s="99">
        <v>2629.8446857202289</v>
      </c>
      <c r="BP46" s="99">
        <v>5</v>
      </c>
      <c r="BQ46" s="99">
        <v>6060</v>
      </c>
      <c r="BR46" s="99">
        <v>1.7615713204399046</v>
      </c>
      <c r="BS46" s="99">
        <v>2135.0244403731645</v>
      </c>
      <c r="BT46" s="99">
        <v>4</v>
      </c>
      <c r="BU46" s="99">
        <v>4848</v>
      </c>
      <c r="BV46" s="99">
        <v>3.8252105969363273</v>
      </c>
      <c r="BW46" s="99">
        <v>4636.155243486829</v>
      </c>
      <c r="BX46" s="99">
        <v>3.9442590707007046</v>
      </c>
      <c r="BY46" s="99">
        <v>4780.4419936892536</v>
      </c>
      <c r="BZ46" s="99">
        <v>0</v>
      </c>
      <c r="CA46" s="99">
        <v>0</v>
      </c>
      <c r="CB46" s="99">
        <v>5</v>
      </c>
      <c r="CC46" s="99">
        <v>6060</v>
      </c>
      <c r="CD46" s="99">
        <v>4</v>
      </c>
      <c r="CE46" s="99">
        <v>4848</v>
      </c>
      <c r="CF46" s="99">
        <v>5</v>
      </c>
      <c r="CG46" s="99">
        <v>6060</v>
      </c>
      <c r="CH46" s="99">
        <v>0.79564081716188428</v>
      </c>
      <c r="CI46" s="99">
        <v>964.31667040020375</v>
      </c>
      <c r="CJ46" s="99">
        <v>0</v>
      </c>
      <c r="CK46" s="99">
        <v>0</v>
      </c>
      <c r="CL46" s="99">
        <v>0</v>
      </c>
      <c r="CM46" s="99">
        <v>0</v>
      </c>
      <c r="CN46" s="99">
        <v>6</v>
      </c>
      <c r="CO46" s="99">
        <v>7272</v>
      </c>
      <c r="CP46" s="99">
        <v>3</v>
      </c>
      <c r="CQ46" s="99">
        <v>3636</v>
      </c>
      <c r="CR46" s="99">
        <v>4.2452245128154518</v>
      </c>
      <c r="CS46" s="99">
        <v>5145.2121095323273</v>
      </c>
      <c r="CT46" s="99">
        <v>2.1750030905732975</v>
      </c>
      <c r="CU46" s="99">
        <v>2636.1037457748366</v>
      </c>
    </row>
    <row r="47" spans="2:99">
      <c r="C47" s="98" t="s">
        <v>212</v>
      </c>
      <c r="D47" s="99">
        <v>0</v>
      </c>
      <c r="E47" s="99">
        <v>0</v>
      </c>
      <c r="F47" s="99">
        <v>0</v>
      </c>
      <c r="G47" s="99">
        <v>0</v>
      </c>
      <c r="H47" s="99">
        <v>3.6637518252455621</v>
      </c>
      <c r="I47" s="99">
        <v>5596.7472882451202</v>
      </c>
      <c r="J47" s="99">
        <v>2.0589888563911645</v>
      </c>
      <c r="K47" s="99">
        <v>3145.3113770231425</v>
      </c>
      <c r="L47" s="99">
        <v>5.5731893883112011</v>
      </c>
      <c r="M47" s="99">
        <v>8513.6041095841902</v>
      </c>
      <c r="N47" s="99">
        <v>5</v>
      </c>
      <c r="O47" s="99">
        <v>7638</v>
      </c>
      <c r="P47" s="99">
        <v>4</v>
      </c>
      <c r="Q47" s="99">
        <v>6110.4</v>
      </c>
      <c r="R47" s="99">
        <v>0.86533489225759008</v>
      </c>
      <c r="S47" s="99">
        <v>1321.8855814126946</v>
      </c>
      <c r="T47" s="99">
        <v>5</v>
      </c>
      <c r="U47" s="99">
        <v>7638</v>
      </c>
      <c r="V47" s="99">
        <v>4</v>
      </c>
      <c r="W47" s="99">
        <v>6110.4</v>
      </c>
      <c r="X47" s="99">
        <v>4</v>
      </c>
      <c r="Y47" s="99">
        <v>6110.4</v>
      </c>
      <c r="Z47" s="99">
        <v>5</v>
      </c>
      <c r="AA47" s="99">
        <v>7638</v>
      </c>
      <c r="AB47" s="99">
        <v>4</v>
      </c>
      <c r="AC47" s="99">
        <v>6110.4</v>
      </c>
      <c r="AD47" s="99">
        <v>4</v>
      </c>
      <c r="AE47" s="99">
        <v>6110.4</v>
      </c>
      <c r="AF47" s="99">
        <v>3</v>
      </c>
      <c r="AG47" s="99">
        <v>4582.7999999999993</v>
      </c>
      <c r="AH47" s="99">
        <v>0.88066791218639484</v>
      </c>
      <c r="AI47" s="99">
        <v>1345.3083026559366</v>
      </c>
      <c r="AJ47" s="99">
        <v>3</v>
      </c>
      <c r="AK47" s="99">
        <v>4582.7999999999993</v>
      </c>
      <c r="AL47" s="99">
        <v>4</v>
      </c>
      <c r="AM47" s="99">
        <v>6110.4</v>
      </c>
      <c r="AN47" s="99">
        <v>4</v>
      </c>
      <c r="AO47" s="99">
        <v>6110.4</v>
      </c>
      <c r="AP47" s="99">
        <v>3</v>
      </c>
      <c r="AQ47" s="99">
        <v>4582.7999999999993</v>
      </c>
      <c r="AR47" s="99">
        <v>3</v>
      </c>
      <c r="AS47" s="99">
        <v>4582.7999999999993</v>
      </c>
      <c r="AT47" s="99">
        <v>2.3432988827558496</v>
      </c>
      <c r="AU47" s="99">
        <v>3579.6233732978358</v>
      </c>
      <c r="AV47" s="99">
        <v>3</v>
      </c>
      <c r="AW47" s="99">
        <v>4582.7999999999993</v>
      </c>
      <c r="AX47" s="99">
        <v>4</v>
      </c>
      <c r="AY47" s="99">
        <v>6110.4</v>
      </c>
      <c r="AZ47" s="99">
        <v>4</v>
      </c>
      <c r="BA47" s="99">
        <v>6110.4</v>
      </c>
      <c r="BB47" s="99">
        <v>3</v>
      </c>
      <c r="BC47" s="99">
        <v>4582.7999999999993</v>
      </c>
      <c r="BD47" s="99">
        <v>5</v>
      </c>
      <c r="BE47" s="99">
        <v>7638</v>
      </c>
      <c r="BF47" s="99">
        <v>3</v>
      </c>
      <c r="BG47" s="99">
        <v>4582.7999999999993</v>
      </c>
      <c r="BH47" s="99">
        <v>4</v>
      </c>
      <c r="BI47" s="99">
        <v>6110.4</v>
      </c>
      <c r="BJ47" s="99">
        <v>5</v>
      </c>
      <c r="BK47" s="99">
        <v>7638</v>
      </c>
      <c r="BL47" s="99">
        <v>4.5349099739257088</v>
      </c>
      <c r="BM47" s="99">
        <v>6927.5284761689127</v>
      </c>
      <c r="BN47" s="99">
        <v>2.1698388496041492</v>
      </c>
      <c r="BO47" s="99">
        <v>3314.6458266552982</v>
      </c>
      <c r="BP47" s="99">
        <v>6</v>
      </c>
      <c r="BQ47" s="99">
        <v>9165.5999999999985</v>
      </c>
      <c r="BR47" s="99">
        <v>1.7615713204399046</v>
      </c>
      <c r="BS47" s="99">
        <v>2690.976349103998</v>
      </c>
      <c r="BT47" s="99">
        <v>4</v>
      </c>
      <c r="BU47" s="99">
        <v>6110.4</v>
      </c>
      <c r="BV47" s="99">
        <v>4.7815132461704088</v>
      </c>
      <c r="BW47" s="99">
        <v>7304.239634849916</v>
      </c>
      <c r="BX47" s="99">
        <v>3.1554072565605638</v>
      </c>
      <c r="BY47" s="99">
        <v>4820.2001251219172</v>
      </c>
      <c r="BZ47" s="99">
        <v>0</v>
      </c>
      <c r="CA47" s="99">
        <v>0</v>
      </c>
      <c r="CB47" s="99">
        <v>5</v>
      </c>
      <c r="CC47" s="99">
        <v>7638</v>
      </c>
      <c r="CD47" s="99">
        <v>3</v>
      </c>
      <c r="CE47" s="99">
        <v>4582.7999999999993</v>
      </c>
      <c r="CF47" s="99">
        <v>4</v>
      </c>
      <c r="CG47" s="99">
        <v>6110.4</v>
      </c>
      <c r="CH47" s="99">
        <v>0.59673061287141316</v>
      </c>
      <c r="CI47" s="99">
        <v>911.56568422237069</v>
      </c>
      <c r="CJ47" s="99">
        <v>0</v>
      </c>
      <c r="CK47" s="99">
        <v>0</v>
      </c>
      <c r="CL47" s="99">
        <v>0</v>
      </c>
      <c r="CM47" s="99">
        <v>0</v>
      </c>
      <c r="CN47" s="99">
        <v>5</v>
      </c>
      <c r="CO47" s="99">
        <v>7638</v>
      </c>
      <c r="CP47" s="99">
        <v>3</v>
      </c>
      <c r="CQ47" s="99">
        <v>4582.7999999999993</v>
      </c>
      <c r="CR47" s="99">
        <v>3.3961796102523607</v>
      </c>
      <c r="CS47" s="99">
        <v>5188.0039726215055</v>
      </c>
      <c r="CT47" s="99">
        <v>2.1528870849803838</v>
      </c>
      <c r="CU47" s="99">
        <v>3288.7503110160342</v>
      </c>
    </row>
    <row r="48" spans="2:99">
      <c r="C48" s="98" t="s">
        <v>213</v>
      </c>
      <c r="D48" s="99">
        <v>0</v>
      </c>
      <c r="E48" s="99">
        <v>0</v>
      </c>
      <c r="F48" s="99">
        <v>0</v>
      </c>
      <c r="G48" s="99">
        <v>0</v>
      </c>
      <c r="H48" s="99">
        <v>2.7478138689341716</v>
      </c>
      <c r="I48" s="99">
        <v>2384.0033126872872</v>
      </c>
      <c r="J48" s="99">
        <v>2.4707866276693973</v>
      </c>
      <c r="K48" s="99">
        <v>2143.6544781659691</v>
      </c>
      <c r="L48" s="99">
        <v>5.5731893883112011</v>
      </c>
      <c r="M48" s="99">
        <v>4835.2991132987981</v>
      </c>
      <c r="N48" s="99">
        <v>5</v>
      </c>
      <c r="O48" s="99">
        <v>4338</v>
      </c>
      <c r="P48" s="99">
        <v>4</v>
      </c>
      <c r="Q48" s="99">
        <v>3470.4</v>
      </c>
      <c r="R48" s="99">
        <v>0.86533489225759008</v>
      </c>
      <c r="S48" s="99">
        <v>750.76455252268522</v>
      </c>
      <c r="T48" s="99">
        <v>5</v>
      </c>
      <c r="U48" s="99">
        <v>4338</v>
      </c>
      <c r="V48" s="99">
        <v>3</v>
      </c>
      <c r="W48" s="99">
        <v>2602.8000000000002</v>
      </c>
      <c r="X48" s="99">
        <v>4</v>
      </c>
      <c r="Y48" s="99">
        <v>3470.4</v>
      </c>
      <c r="Z48" s="99">
        <v>5</v>
      </c>
      <c r="AA48" s="99">
        <v>4338</v>
      </c>
      <c r="AB48" s="99">
        <v>4</v>
      </c>
      <c r="AC48" s="99">
        <v>3470.4</v>
      </c>
      <c r="AD48" s="99">
        <v>4</v>
      </c>
      <c r="AE48" s="99">
        <v>3470.4</v>
      </c>
      <c r="AF48" s="99">
        <v>3</v>
      </c>
      <c r="AG48" s="99">
        <v>2602.8000000000002</v>
      </c>
      <c r="AH48" s="99">
        <v>0.88066791218639484</v>
      </c>
      <c r="AI48" s="99">
        <v>764.06748061291614</v>
      </c>
      <c r="AJ48" s="99">
        <v>3</v>
      </c>
      <c r="AK48" s="99">
        <v>2602.8000000000002</v>
      </c>
      <c r="AL48" s="99">
        <v>4</v>
      </c>
      <c r="AM48" s="99">
        <v>3470.4</v>
      </c>
      <c r="AN48" s="99">
        <v>4</v>
      </c>
      <c r="AO48" s="99">
        <v>3470.4</v>
      </c>
      <c r="AP48" s="99">
        <v>3</v>
      </c>
      <c r="AQ48" s="99">
        <v>2602.8000000000002</v>
      </c>
      <c r="AR48" s="99">
        <v>3</v>
      </c>
      <c r="AS48" s="99">
        <v>2602.8000000000002</v>
      </c>
      <c r="AT48" s="99">
        <v>2.3432988827558496</v>
      </c>
      <c r="AU48" s="99">
        <v>2033.0461106789751</v>
      </c>
      <c r="AV48" s="99">
        <v>3</v>
      </c>
      <c r="AW48" s="99">
        <v>2602.8000000000002</v>
      </c>
      <c r="AX48" s="99">
        <v>4</v>
      </c>
      <c r="AY48" s="99">
        <v>3470.4</v>
      </c>
      <c r="AZ48" s="99">
        <v>5</v>
      </c>
      <c r="BA48" s="99">
        <v>4338</v>
      </c>
      <c r="BB48" s="99">
        <v>3</v>
      </c>
      <c r="BC48" s="99">
        <v>2602.8000000000002</v>
      </c>
      <c r="BD48" s="99">
        <v>5</v>
      </c>
      <c r="BE48" s="99">
        <v>4338</v>
      </c>
      <c r="BF48" s="99">
        <v>4</v>
      </c>
      <c r="BG48" s="99">
        <v>3470.4</v>
      </c>
      <c r="BH48" s="99">
        <v>5</v>
      </c>
      <c r="BI48" s="99">
        <v>4338</v>
      </c>
      <c r="BJ48" s="99">
        <v>5</v>
      </c>
      <c r="BK48" s="99">
        <v>4338</v>
      </c>
      <c r="BL48" s="99">
        <v>4.5349099739257088</v>
      </c>
      <c r="BM48" s="99">
        <v>3934.4878933779451</v>
      </c>
      <c r="BN48" s="99">
        <v>2.6727684719080633</v>
      </c>
      <c r="BO48" s="99">
        <v>2318.8939262274357</v>
      </c>
      <c r="BP48" s="99">
        <v>6</v>
      </c>
      <c r="BQ48" s="99">
        <v>5205.6000000000004</v>
      </c>
      <c r="BR48" s="99">
        <v>1.7615713204399046</v>
      </c>
      <c r="BS48" s="99">
        <v>1528.3392776136614</v>
      </c>
      <c r="BT48" s="99">
        <v>4</v>
      </c>
      <c r="BU48" s="99">
        <v>3470.4</v>
      </c>
      <c r="BV48" s="99">
        <v>4.7815132461704088</v>
      </c>
      <c r="BW48" s="99">
        <v>4148.4408923774472</v>
      </c>
      <c r="BX48" s="99">
        <v>3.9442590707007046</v>
      </c>
      <c r="BY48" s="99">
        <v>3422.0391697399314</v>
      </c>
      <c r="BZ48" s="99">
        <v>0</v>
      </c>
      <c r="CA48" s="99">
        <v>0</v>
      </c>
      <c r="CB48" s="99">
        <v>6</v>
      </c>
      <c r="CC48" s="99">
        <v>5205.6000000000004</v>
      </c>
      <c r="CD48" s="99">
        <v>4</v>
      </c>
      <c r="CE48" s="99">
        <v>3470.4</v>
      </c>
      <c r="CF48" s="99">
        <v>5</v>
      </c>
      <c r="CG48" s="99">
        <v>4338</v>
      </c>
      <c r="CH48" s="99">
        <v>0.79564081716188428</v>
      </c>
      <c r="CI48" s="99">
        <v>690.2979729696508</v>
      </c>
      <c r="CJ48" s="99">
        <v>0</v>
      </c>
      <c r="CK48" s="99">
        <v>0</v>
      </c>
      <c r="CL48" s="99">
        <v>0</v>
      </c>
      <c r="CM48" s="99">
        <v>0</v>
      </c>
      <c r="CN48" s="99">
        <v>6</v>
      </c>
      <c r="CO48" s="99">
        <v>5205.6000000000004</v>
      </c>
      <c r="CP48" s="99">
        <v>3</v>
      </c>
      <c r="CQ48" s="99">
        <v>2602.8000000000002</v>
      </c>
      <c r="CR48" s="99">
        <v>4.2452245128154518</v>
      </c>
      <c r="CS48" s="99">
        <v>3683.1567873186859</v>
      </c>
      <c r="CT48" s="99">
        <v>2.1750030905732975</v>
      </c>
      <c r="CU48" s="99">
        <v>1887.0326813813931</v>
      </c>
    </row>
    <row r="49" spans="2:99">
      <c r="B49" s="98" t="s">
        <v>129</v>
      </c>
      <c r="C49" s="98" t="s">
        <v>214</v>
      </c>
      <c r="D49" s="99">
        <v>0</v>
      </c>
      <c r="E49" s="99">
        <v>0</v>
      </c>
      <c r="F49" s="99">
        <v>0</v>
      </c>
      <c r="G49" s="99">
        <v>0</v>
      </c>
      <c r="H49" s="99">
        <v>2.7001477735289074</v>
      </c>
      <c r="I49" s="99">
        <v>2660.1855864806794</v>
      </c>
      <c r="J49" s="99">
        <v>3</v>
      </c>
      <c r="K49" s="99">
        <v>2955.6</v>
      </c>
      <c r="L49" s="99">
        <v>3</v>
      </c>
      <c r="M49" s="99">
        <v>2955.6</v>
      </c>
      <c r="N49" s="99">
        <v>3</v>
      </c>
      <c r="O49" s="99">
        <v>2955.6</v>
      </c>
      <c r="P49" s="99">
        <v>3</v>
      </c>
      <c r="Q49" s="99">
        <v>2955.6</v>
      </c>
      <c r="R49" s="99">
        <v>3</v>
      </c>
      <c r="S49" s="99">
        <v>2955.6</v>
      </c>
      <c r="T49" s="99">
        <v>2</v>
      </c>
      <c r="U49" s="99">
        <v>1970.3999999999999</v>
      </c>
      <c r="V49" s="99">
        <v>3</v>
      </c>
      <c r="W49" s="99">
        <v>2955.6</v>
      </c>
      <c r="X49" s="99">
        <v>4</v>
      </c>
      <c r="Y49" s="99">
        <v>3940.7999999999997</v>
      </c>
      <c r="Z49" s="99">
        <v>3</v>
      </c>
      <c r="AA49" s="99">
        <v>2955.6</v>
      </c>
      <c r="AB49" s="99">
        <v>2</v>
      </c>
      <c r="AC49" s="99">
        <v>1970.3999999999999</v>
      </c>
      <c r="AD49" s="99">
        <v>2</v>
      </c>
      <c r="AE49" s="99">
        <v>1970.3999999999999</v>
      </c>
      <c r="AF49" s="99">
        <v>2</v>
      </c>
      <c r="AG49" s="99">
        <v>1970.3999999999999</v>
      </c>
      <c r="AH49" s="99">
        <v>3</v>
      </c>
      <c r="AI49" s="99">
        <v>2955.6</v>
      </c>
      <c r="AJ49" s="99">
        <v>2</v>
      </c>
      <c r="AK49" s="99">
        <v>1970.3999999999999</v>
      </c>
      <c r="AL49" s="99">
        <v>3</v>
      </c>
      <c r="AM49" s="99">
        <v>2955.6</v>
      </c>
      <c r="AN49" s="99">
        <v>3</v>
      </c>
      <c r="AO49" s="99">
        <v>2955.6</v>
      </c>
      <c r="AP49" s="99">
        <v>3</v>
      </c>
      <c r="AQ49" s="99">
        <v>2955.6</v>
      </c>
      <c r="AR49" s="99">
        <v>3</v>
      </c>
      <c r="AS49" s="99">
        <v>2955.6</v>
      </c>
      <c r="AT49" s="99">
        <v>2</v>
      </c>
      <c r="AU49" s="99">
        <v>1970.3999999999999</v>
      </c>
      <c r="AV49" s="99">
        <v>3</v>
      </c>
      <c r="AW49" s="99">
        <v>2955.6</v>
      </c>
      <c r="AX49" s="99">
        <v>3</v>
      </c>
      <c r="AY49" s="99">
        <v>2955.6</v>
      </c>
      <c r="AZ49" s="99">
        <v>4</v>
      </c>
      <c r="BA49" s="99">
        <v>3940.7999999999997</v>
      </c>
      <c r="BB49" s="99">
        <v>4</v>
      </c>
      <c r="BC49" s="99">
        <v>3940.7999999999997</v>
      </c>
      <c r="BD49" s="99">
        <v>2</v>
      </c>
      <c r="BE49" s="99">
        <v>1970.3999999999999</v>
      </c>
      <c r="BF49" s="99">
        <v>2</v>
      </c>
      <c r="BG49" s="99">
        <v>1970.3999999999999</v>
      </c>
      <c r="BH49" s="99">
        <v>2</v>
      </c>
      <c r="BI49" s="99">
        <v>1970.3999999999999</v>
      </c>
      <c r="BJ49" s="99">
        <v>2</v>
      </c>
      <c r="BK49" s="99">
        <v>1970.3999999999999</v>
      </c>
      <c r="BL49" s="99">
        <v>3</v>
      </c>
      <c r="BM49" s="99">
        <v>2955.6</v>
      </c>
      <c r="BN49" s="99">
        <v>3</v>
      </c>
      <c r="BO49" s="99">
        <v>2955.6</v>
      </c>
      <c r="BP49" s="99">
        <v>2</v>
      </c>
      <c r="BQ49" s="99">
        <v>1970.3999999999999</v>
      </c>
      <c r="BR49" s="99">
        <v>3</v>
      </c>
      <c r="BS49" s="99">
        <v>2955.6</v>
      </c>
      <c r="BT49" s="99">
        <v>3</v>
      </c>
      <c r="BU49" s="99">
        <v>2955.6</v>
      </c>
      <c r="BV49" s="99">
        <v>3</v>
      </c>
      <c r="BW49" s="99">
        <v>2955.6</v>
      </c>
      <c r="BX49" s="99">
        <v>2</v>
      </c>
      <c r="BY49" s="99">
        <v>1970.3999999999999</v>
      </c>
      <c r="BZ49" s="99">
        <v>3</v>
      </c>
      <c r="CA49" s="99">
        <v>2955.6</v>
      </c>
      <c r="CB49" s="99">
        <v>2</v>
      </c>
      <c r="CC49" s="99">
        <v>1970.3999999999999</v>
      </c>
      <c r="CD49" s="99">
        <v>3</v>
      </c>
      <c r="CE49" s="99">
        <v>2955.6</v>
      </c>
      <c r="CF49" s="99">
        <v>3</v>
      </c>
      <c r="CG49" s="99">
        <v>2955.6</v>
      </c>
      <c r="CH49" s="99">
        <v>2</v>
      </c>
      <c r="CI49" s="99">
        <v>1970.3999999999999</v>
      </c>
      <c r="CJ49" s="99">
        <v>2</v>
      </c>
      <c r="CK49" s="99">
        <v>1970.3999999999999</v>
      </c>
      <c r="CL49" s="99">
        <v>2.4674592726048421</v>
      </c>
      <c r="CM49" s="99">
        <v>2430.9408753702901</v>
      </c>
      <c r="CN49" s="99">
        <v>3</v>
      </c>
      <c r="CO49" s="99">
        <v>2955.6</v>
      </c>
      <c r="CP49" s="99">
        <v>3</v>
      </c>
      <c r="CQ49" s="99">
        <v>2955.6</v>
      </c>
      <c r="CR49" s="99">
        <v>3</v>
      </c>
      <c r="CS49" s="99">
        <v>2955.6</v>
      </c>
      <c r="CT49" s="99">
        <v>2</v>
      </c>
      <c r="CU49" s="99">
        <v>1970.3999999999999</v>
      </c>
    </row>
    <row r="50" spans="2:99">
      <c r="C50" s="98" t="s">
        <v>215</v>
      </c>
      <c r="D50" s="99">
        <v>0</v>
      </c>
      <c r="E50" s="99">
        <v>0</v>
      </c>
      <c r="F50" s="99">
        <v>0</v>
      </c>
      <c r="G50" s="99">
        <v>0</v>
      </c>
      <c r="H50" s="99">
        <v>2.7478138689341716</v>
      </c>
      <c r="I50" s="99">
        <v>774.88351103943637</v>
      </c>
      <c r="J50" s="99">
        <v>1.521787118502522</v>
      </c>
      <c r="K50" s="99">
        <v>429.14396741771122</v>
      </c>
      <c r="L50" s="99">
        <v>4.8739941046173341</v>
      </c>
      <c r="M50" s="99">
        <v>1374.4663375020882</v>
      </c>
      <c r="N50" s="99">
        <v>3</v>
      </c>
      <c r="O50" s="99">
        <v>846</v>
      </c>
      <c r="P50" s="99">
        <v>4</v>
      </c>
      <c r="Q50" s="99">
        <v>1128</v>
      </c>
      <c r="R50" s="99">
        <v>0.64900116919319262</v>
      </c>
      <c r="S50" s="99">
        <v>183.01832971248032</v>
      </c>
      <c r="T50" s="99">
        <v>2</v>
      </c>
      <c r="U50" s="99">
        <v>564</v>
      </c>
      <c r="V50" s="99">
        <v>3</v>
      </c>
      <c r="W50" s="99">
        <v>846</v>
      </c>
      <c r="X50" s="99">
        <v>4</v>
      </c>
      <c r="Y50" s="99">
        <v>1128</v>
      </c>
      <c r="Z50" s="99">
        <v>4</v>
      </c>
      <c r="AA50" s="99">
        <v>1128</v>
      </c>
      <c r="AB50" s="99">
        <v>3</v>
      </c>
      <c r="AC50" s="99">
        <v>846</v>
      </c>
      <c r="AD50" s="99">
        <v>3</v>
      </c>
      <c r="AE50" s="99">
        <v>846</v>
      </c>
      <c r="AF50" s="99">
        <v>2</v>
      </c>
      <c r="AG50" s="99">
        <v>564</v>
      </c>
      <c r="AH50" s="99">
        <v>0.66050093413979616</v>
      </c>
      <c r="AI50" s="99">
        <v>186.26126342742251</v>
      </c>
      <c r="AJ50" s="99">
        <v>3</v>
      </c>
      <c r="AK50" s="99">
        <v>846</v>
      </c>
      <c r="AL50" s="99">
        <v>3</v>
      </c>
      <c r="AM50" s="99">
        <v>846</v>
      </c>
      <c r="AN50" s="99">
        <v>3</v>
      </c>
      <c r="AO50" s="99">
        <v>846</v>
      </c>
      <c r="AP50" s="99">
        <v>3</v>
      </c>
      <c r="AQ50" s="99">
        <v>846</v>
      </c>
      <c r="AR50" s="99">
        <v>3</v>
      </c>
      <c r="AS50" s="99">
        <v>846</v>
      </c>
      <c r="AT50" s="99">
        <v>1.1716494413779248</v>
      </c>
      <c r="AU50" s="99">
        <v>330.40514246857481</v>
      </c>
      <c r="AV50" s="99">
        <v>3</v>
      </c>
      <c r="AW50" s="99">
        <v>846</v>
      </c>
      <c r="AX50" s="99">
        <v>3</v>
      </c>
      <c r="AY50" s="99">
        <v>846</v>
      </c>
      <c r="AZ50" s="99">
        <v>4</v>
      </c>
      <c r="BA50" s="99">
        <v>1128</v>
      </c>
      <c r="BB50" s="99">
        <v>4</v>
      </c>
      <c r="BC50" s="99">
        <v>1128</v>
      </c>
      <c r="BD50" s="99">
        <v>2</v>
      </c>
      <c r="BE50" s="99">
        <v>564</v>
      </c>
      <c r="BF50" s="99">
        <v>2</v>
      </c>
      <c r="BG50" s="99">
        <v>564</v>
      </c>
      <c r="BH50" s="99">
        <v>2</v>
      </c>
      <c r="BI50" s="99">
        <v>564</v>
      </c>
      <c r="BJ50" s="99">
        <v>2</v>
      </c>
      <c r="BK50" s="99">
        <v>564</v>
      </c>
      <c r="BL50" s="99">
        <v>2.7209459843554251</v>
      </c>
      <c r="BM50" s="99">
        <v>767.30676758822983</v>
      </c>
      <c r="BN50" s="99">
        <v>1.5087888669117426</v>
      </c>
      <c r="BO50" s="99">
        <v>425.47846046911144</v>
      </c>
      <c r="BP50" s="99">
        <v>2</v>
      </c>
      <c r="BQ50" s="99">
        <v>564</v>
      </c>
      <c r="BR50" s="99">
        <v>1.7615713204399046</v>
      </c>
      <c r="BS50" s="99">
        <v>496.76311236405309</v>
      </c>
      <c r="BT50" s="99">
        <v>3</v>
      </c>
      <c r="BU50" s="99">
        <v>846</v>
      </c>
      <c r="BV50" s="99">
        <v>2.8689079477022457</v>
      </c>
      <c r="BW50" s="99">
        <v>809.03204125203331</v>
      </c>
      <c r="BX50" s="99">
        <v>1.5777036282802819</v>
      </c>
      <c r="BY50" s="99">
        <v>444.91242317503946</v>
      </c>
      <c r="BZ50" s="99">
        <v>0</v>
      </c>
      <c r="CA50" s="99">
        <v>0</v>
      </c>
      <c r="CB50" s="99">
        <v>2</v>
      </c>
      <c r="CC50" s="99">
        <v>564</v>
      </c>
      <c r="CD50" s="99">
        <v>3</v>
      </c>
      <c r="CE50" s="99">
        <v>846</v>
      </c>
      <c r="CF50" s="99">
        <v>3</v>
      </c>
      <c r="CG50" s="99">
        <v>846</v>
      </c>
      <c r="CH50" s="99">
        <v>0.39782040858094214</v>
      </c>
      <c r="CI50" s="99">
        <v>112.18535521982568</v>
      </c>
      <c r="CJ50" s="99">
        <v>0</v>
      </c>
      <c r="CK50" s="99">
        <v>0</v>
      </c>
      <c r="CL50" s="99">
        <v>0</v>
      </c>
      <c r="CM50" s="99">
        <v>0</v>
      </c>
      <c r="CN50" s="99">
        <v>3</v>
      </c>
      <c r="CO50" s="99">
        <v>846</v>
      </c>
      <c r="CP50" s="99">
        <v>3</v>
      </c>
      <c r="CQ50" s="99">
        <v>846</v>
      </c>
      <c r="CR50" s="99">
        <v>2.5471347076892705</v>
      </c>
      <c r="CS50" s="99">
        <v>718.29198756837434</v>
      </c>
      <c r="CT50" s="99">
        <v>0.99903752291499281</v>
      </c>
      <c r="CU50" s="99">
        <v>281.72858146202799</v>
      </c>
    </row>
    <row r="51" spans="2:99">
      <c r="C51" s="98" t="s">
        <v>216</v>
      </c>
      <c r="D51" s="99">
        <v>0</v>
      </c>
      <c r="E51" s="99">
        <v>0</v>
      </c>
      <c r="F51" s="99">
        <v>0</v>
      </c>
      <c r="G51" s="99">
        <v>0</v>
      </c>
      <c r="H51" s="99">
        <v>2.7478138689341716</v>
      </c>
      <c r="I51" s="99">
        <v>2347.7321696173562</v>
      </c>
      <c r="J51" s="99">
        <v>1.521787118502522</v>
      </c>
      <c r="K51" s="99">
        <v>1300.2149140485549</v>
      </c>
      <c r="L51" s="99">
        <v>4.8739941046173341</v>
      </c>
      <c r="M51" s="99">
        <v>4164.3405629850504</v>
      </c>
      <c r="N51" s="99">
        <v>3</v>
      </c>
      <c r="O51" s="99">
        <v>2563.1999999999998</v>
      </c>
      <c r="P51" s="99">
        <v>3</v>
      </c>
      <c r="Q51" s="99">
        <v>2563.1999999999998</v>
      </c>
      <c r="R51" s="99">
        <v>0.64900116919319262</v>
      </c>
      <c r="S51" s="99">
        <v>554.50659895866374</v>
      </c>
      <c r="T51" s="99">
        <v>2</v>
      </c>
      <c r="U51" s="99">
        <v>1708.8</v>
      </c>
      <c r="V51" s="99">
        <v>3</v>
      </c>
      <c r="W51" s="99">
        <v>2563.1999999999998</v>
      </c>
      <c r="X51" s="99">
        <v>4</v>
      </c>
      <c r="Y51" s="99">
        <v>3417.6</v>
      </c>
      <c r="Z51" s="99">
        <v>3</v>
      </c>
      <c r="AA51" s="99">
        <v>2563.1999999999998</v>
      </c>
      <c r="AB51" s="99">
        <v>3</v>
      </c>
      <c r="AC51" s="99">
        <v>2563.1999999999998</v>
      </c>
      <c r="AD51" s="99">
        <v>3</v>
      </c>
      <c r="AE51" s="99">
        <v>2563.1999999999998</v>
      </c>
      <c r="AF51" s="99">
        <v>2</v>
      </c>
      <c r="AG51" s="99">
        <v>1708.8</v>
      </c>
      <c r="AH51" s="99">
        <v>0.66050093413979616</v>
      </c>
      <c r="AI51" s="99">
        <v>564.33199812904184</v>
      </c>
      <c r="AJ51" s="99">
        <v>2</v>
      </c>
      <c r="AK51" s="99">
        <v>1708.8</v>
      </c>
      <c r="AL51" s="99">
        <v>2</v>
      </c>
      <c r="AM51" s="99">
        <v>1708.8</v>
      </c>
      <c r="AN51" s="99">
        <v>4</v>
      </c>
      <c r="AO51" s="99">
        <v>3417.6</v>
      </c>
      <c r="AP51" s="99">
        <v>3</v>
      </c>
      <c r="AQ51" s="99">
        <v>2563.1999999999998</v>
      </c>
      <c r="AR51" s="99">
        <v>3</v>
      </c>
      <c r="AS51" s="99">
        <v>2563.1999999999998</v>
      </c>
      <c r="AT51" s="99">
        <v>1.1716494413779248</v>
      </c>
      <c r="AU51" s="99">
        <v>1001.0572827132989</v>
      </c>
      <c r="AV51" s="99">
        <v>3</v>
      </c>
      <c r="AW51" s="99">
        <v>2563.1999999999998</v>
      </c>
      <c r="AX51" s="99">
        <v>3</v>
      </c>
      <c r="AY51" s="99">
        <v>2563.1999999999998</v>
      </c>
      <c r="AZ51" s="99">
        <v>3</v>
      </c>
      <c r="BA51" s="99">
        <v>2563.1999999999998</v>
      </c>
      <c r="BB51" s="99">
        <v>4</v>
      </c>
      <c r="BC51" s="99">
        <v>3417.6</v>
      </c>
      <c r="BD51" s="99">
        <v>2</v>
      </c>
      <c r="BE51" s="99">
        <v>1708.8</v>
      </c>
      <c r="BF51" s="99">
        <v>2</v>
      </c>
      <c r="BG51" s="99">
        <v>1708.8</v>
      </c>
      <c r="BH51" s="99">
        <v>2</v>
      </c>
      <c r="BI51" s="99">
        <v>1708.8</v>
      </c>
      <c r="BJ51" s="99">
        <v>2</v>
      </c>
      <c r="BK51" s="99">
        <v>1708.8</v>
      </c>
      <c r="BL51" s="99">
        <v>2.7209459843554251</v>
      </c>
      <c r="BM51" s="99">
        <v>2324.7762490332752</v>
      </c>
      <c r="BN51" s="99">
        <v>1.5087888669117426</v>
      </c>
      <c r="BO51" s="99">
        <v>1289.1092078893928</v>
      </c>
      <c r="BP51" s="99">
        <v>2</v>
      </c>
      <c r="BQ51" s="99">
        <v>1708.8</v>
      </c>
      <c r="BR51" s="99">
        <v>1.1743808802932698</v>
      </c>
      <c r="BS51" s="99">
        <v>1003.3910241225697</v>
      </c>
      <c r="BT51" s="99">
        <v>3</v>
      </c>
      <c r="BU51" s="99">
        <v>2563.1999999999998</v>
      </c>
      <c r="BV51" s="99">
        <v>2.8689079477022457</v>
      </c>
      <c r="BW51" s="99">
        <v>2451.1949505167986</v>
      </c>
      <c r="BX51" s="99">
        <v>1.5777036282802819</v>
      </c>
      <c r="BY51" s="99">
        <v>1347.9899800026728</v>
      </c>
      <c r="BZ51" s="99">
        <v>0</v>
      </c>
      <c r="CA51" s="99">
        <v>0</v>
      </c>
      <c r="CB51" s="99">
        <v>2</v>
      </c>
      <c r="CC51" s="99">
        <v>1708.8</v>
      </c>
      <c r="CD51" s="99">
        <v>3</v>
      </c>
      <c r="CE51" s="99">
        <v>2563.1999999999998</v>
      </c>
      <c r="CF51" s="99">
        <v>2</v>
      </c>
      <c r="CG51" s="99">
        <v>1708.8</v>
      </c>
      <c r="CH51" s="99">
        <v>0.39782040858094214</v>
      </c>
      <c r="CI51" s="99">
        <v>339.89775709155697</v>
      </c>
      <c r="CJ51" s="99">
        <v>0</v>
      </c>
      <c r="CK51" s="99">
        <v>0</v>
      </c>
      <c r="CL51" s="99">
        <v>0</v>
      </c>
      <c r="CM51" s="99">
        <v>0</v>
      </c>
      <c r="CN51" s="99">
        <v>3</v>
      </c>
      <c r="CO51" s="99">
        <v>2563.1999999999998</v>
      </c>
      <c r="CP51" s="99">
        <v>4</v>
      </c>
      <c r="CQ51" s="99">
        <v>3417.6</v>
      </c>
      <c r="CR51" s="99">
        <v>2.5471347076892705</v>
      </c>
      <c r="CS51" s="99">
        <v>2176.2718942497127</v>
      </c>
      <c r="CT51" s="99">
        <v>0.99903752291499281</v>
      </c>
      <c r="CU51" s="99">
        <v>853.57765957856986</v>
      </c>
    </row>
    <row r="52" spans="2:99">
      <c r="C52" s="98" t="s">
        <v>217</v>
      </c>
      <c r="D52" s="99">
        <v>0</v>
      </c>
      <c r="E52" s="99">
        <v>0</v>
      </c>
      <c r="F52" s="99">
        <v>0</v>
      </c>
      <c r="G52" s="99">
        <v>0</v>
      </c>
      <c r="H52" s="99">
        <v>2.7478138689341716</v>
      </c>
      <c r="I52" s="99">
        <v>1483.8194892244526</v>
      </c>
      <c r="J52" s="99">
        <v>1.4645083575689573</v>
      </c>
      <c r="K52" s="99">
        <v>790.83451308723693</v>
      </c>
      <c r="L52" s="99">
        <v>4.8739941046173341</v>
      </c>
      <c r="M52" s="99">
        <v>2631.9568164933603</v>
      </c>
      <c r="N52" s="99">
        <v>3</v>
      </c>
      <c r="O52" s="99">
        <v>1620</v>
      </c>
      <c r="P52" s="99">
        <v>3</v>
      </c>
      <c r="Q52" s="99">
        <v>1620</v>
      </c>
      <c r="R52" s="99">
        <v>0.64900116919319262</v>
      </c>
      <c r="S52" s="99">
        <v>350.460631364324</v>
      </c>
      <c r="T52" s="99">
        <v>2</v>
      </c>
      <c r="U52" s="99">
        <v>1080</v>
      </c>
      <c r="V52" s="99">
        <v>3</v>
      </c>
      <c r="W52" s="99">
        <v>1620</v>
      </c>
      <c r="X52" s="99">
        <v>4</v>
      </c>
      <c r="Y52" s="99">
        <v>2160</v>
      </c>
      <c r="Z52" s="99">
        <v>4</v>
      </c>
      <c r="AA52" s="99">
        <v>2160</v>
      </c>
      <c r="AB52" s="99">
        <v>3</v>
      </c>
      <c r="AC52" s="99">
        <v>1620</v>
      </c>
      <c r="AD52" s="99">
        <v>2</v>
      </c>
      <c r="AE52" s="99">
        <v>1080</v>
      </c>
      <c r="AF52" s="99">
        <v>3</v>
      </c>
      <c r="AG52" s="99">
        <v>1620</v>
      </c>
      <c r="AH52" s="99">
        <v>0.66050093413979616</v>
      </c>
      <c r="AI52" s="99">
        <v>356.67050443548993</v>
      </c>
      <c r="AJ52" s="99">
        <v>3</v>
      </c>
      <c r="AK52" s="99">
        <v>1620</v>
      </c>
      <c r="AL52" s="99">
        <v>3</v>
      </c>
      <c r="AM52" s="99">
        <v>1620</v>
      </c>
      <c r="AN52" s="99">
        <v>4</v>
      </c>
      <c r="AO52" s="99">
        <v>2160</v>
      </c>
      <c r="AP52" s="99">
        <v>3</v>
      </c>
      <c r="AQ52" s="99">
        <v>1620</v>
      </c>
      <c r="AR52" s="99">
        <v>3</v>
      </c>
      <c r="AS52" s="99">
        <v>1620</v>
      </c>
      <c r="AT52" s="99">
        <v>1.1716494413779248</v>
      </c>
      <c r="AU52" s="99">
        <v>632.69069834407935</v>
      </c>
      <c r="AV52" s="99">
        <v>3</v>
      </c>
      <c r="AW52" s="99">
        <v>1620</v>
      </c>
      <c r="AX52" s="99">
        <v>3</v>
      </c>
      <c r="AY52" s="99">
        <v>1620</v>
      </c>
      <c r="AZ52" s="99">
        <v>4</v>
      </c>
      <c r="BA52" s="99">
        <v>2160</v>
      </c>
      <c r="BB52" s="99">
        <v>4</v>
      </c>
      <c r="BC52" s="99">
        <v>2160</v>
      </c>
      <c r="BD52" s="99">
        <v>2</v>
      </c>
      <c r="BE52" s="99">
        <v>1080</v>
      </c>
      <c r="BF52" s="99">
        <v>2</v>
      </c>
      <c r="BG52" s="99">
        <v>1080</v>
      </c>
      <c r="BH52" s="99">
        <v>2</v>
      </c>
      <c r="BI52" s="99">
        <v>1080</v>
      </c>
      <c r="BJ52" s="99">
        <v>2</v>
      </c>
      <c r="BK52" s="99">
        <v>1080</v>
      </c>
      <c r="BL52" s="99">
        <v>2.7209459843554251</v>
      </c>
      <c r="BM52" s="99">
        <v>1469.3108315519296</v>
      </c>
      <c r="BN52" s="99">
        <v>1.5087888669117426</v>
      </c>
      <c r="BO52" s="99">
        <v>814.74598813234104</v>
      </c>
      <c r="BP52" s="99">
        <v>2</v>
      </c>
      <c r="BQ52" s="99">
        <v>1080</v>
      </c>
      <c r="BR52" s="99">
        <v>1.1743808802932698</v>
      </c>
      <c r="BS52" s="99">
        <v>634.16567535836566</v>
      </c>
      <c r="BT52" s="99">
        <v>3</v>
      </c>
      <c r="BU52" s="99">
        <v>1620</v>
      </c>
      <c r="BV52" s="99">
        <v>2.8689079477022457</v>
      </c>
      <c r="BW52" s="99">
        <v>1549.2102917592126</v>
      </c>
      <c r="BX52" s="99">
        <v>1.5777036282802819</v>
      </c>
      <c r="BY52" s="99">
        <v>851.9599592713522</v>
      </c>
      <c r="BZ52" s="99">
        <v>0</v>
      </c>
      <c r="CA52" s="99">
        <v>0</v>
      </c>
      <c r="CB52" s="99">
        <v>3</v>
      </c>
      <c r="CC52" s="99">
        <v>1620</v>
      </c>
      <c r="CD52" s="99">
        <v>3</v>
      </c>
      <c r="CE52" s="99">
        <v>1620</v>
      </c>
      <c r="CF52" s="99">
        <v>2</v>
      </c>
      <c r="CG52" s="99">
        <v>1080</v>
      </c>
      <c r="CH52" s="99">
        <v>0.39782040858094214</v>
      </c>
      <c r="CI52" s="99">
        <v>214.82302063370875</v>
      </c>
      <c r="CJ52" s="99">
        <v>0</v>
      </c>
      <c r="CK52" s="99">
        <v>0</v>
      </c>
      <c r="CL52" s="99">
        <v>0</v>
      </c>
      <c r="CM52" s="99">
        <v>0</v>
      </c>
      <c r="CN52" s="99">
        <v>3</v>
      </c>
      <c r="CO52" s="99">
        <v>1620</v>
      </c>
      <c r="CP52" s="99">
        <v>4</v>
      </c>
      <c r="CQ52" s="99">
        <v>2160</v>
      </c>
      <c r="CR52" s="99">
        <v>2.5471347076892705</v>
      </c>
      <c r="CS52" s="99">
        <v>1375.4527421522062</v>
      </c>
      <c r="CT52" s="99">
        <v>0.99903752291499281</v>
      </c>
      <c r="CU52" s="99">
        <v>539.48026237409613</v>
      </c>
    </row>
    <row r="53" spans="2:99">
      <c r="C53" s="98" t="s">
        <v>218</v>
      </c>
      <c r="D53" s="99">
        <v>0</v>
      </c>
      <c r="E53" s="99">
        <v>0</v>
      </c>
      <c r="F53" s="99">
        <v>0</v>
      </c>
      <c r="G53" s="99">
        <v>0</v>
      </c>
      <c r="H53" s="99">
        <v>2.7478138689341716</v>
      </c>
      <c r="I53" s="99">
        <v>1117.810681882421</v>
      </c>
      <c r="J53" s="99">
        <v>1.521787118502522</v>
      </c>
      <c r="K53" s="99">
        <v>619.06299980682593</v>
      </c>
      <c r="L53" s="99">
        <v>4.8739941046173341</v>
      </c>
      <c r="M53" s="99">
        <v>1982.7408017583316</v>
      </c>
      <c r="N53" s="99">
        <v>3</v>
      </c>
      <c r="O53" s="99">
        <v>1220.4000000000001</v>
      </c>
      <c r="P53" s="99">
        <v>3</v>
      </c>
      <c r="Q53" s="99">
        <v>1220.4000000000001</v>
      </c>
      <c r="R53" s="99">
        <v>0.64900116919319262</v>
      </c>
      <c r="S53" s="99">
        <v>264.01367562779075</v>
      </c>
      <c r="T53" s="99">
        <v>2</v>
      </c>
      <c r="U53" s="99">
        <v>813.6</v>
      </c>
      <c r="V53" s="99">
        <v>3</v>
      </c>
      <c r="W53" s="99">
        <v>1220.4000000000001</v>
      </c>
      <c r="X53" s="99">
        <v>4</v>
      </c>
      <c r="Y53" s="99">
        <v>1627.2</v>
      </c>
      <c r="Z53" s="99">
        <v>4</v>
      </c>
      <c r="AA53" s="99">
        <v>1627.2</v>
      </c>
      <c r="AB53" s="99">
        <v>3</v>
      </c>
      <c r="AC53" s="99">
        <v>1220.4000000000001</v>
      </c>
      <c r="AD53" s="99">
        <v>3</v>
      </c>
      <c r="AE53" s="99">
        <v>1220.4000000000001</v>
      </c>
      <c r="AF53" s="99">
        <v>2</v>
      </c>
      <c r="AG53" s="99">
        <v>813.6</v>
      </c>
      <c r="AH53" s="99">
        <v>0.66050093413979616</v>
      </c>
      <c r="AI53" s="99">
        <v>268.69178000806909</v>
      </c>
      <c r="AJ53" s="99">
        <v>2</v>
      </c>
      <c r="AK53" s="99">
        <v>813.6</v>
      </c>
      <c r="AL53" s="99">
        <v>3</v>
      </c>
      <c r="AM53" s="99">
        <v>1220.4000000000001</v>
      </c>
      <c r="AN53" s="99">
        <v>4</v>
      </c>
      <c r="AO53" s="99">
        <v>1627.2</v>
      </c>
      <c r="AP53" s="99">
        <v>3</v>
      </c>
      <c r="AQ53" s="99">
        <v>1220.4000000000001</v>
      </c>
      <c r="AR53" s="99">
        <v>3</v>
      </c>
      <c r="AS53" s="99">
        <v>1220.4000000000001</v>
      </c>
      <c r="AT53" s="99">
        <v>1.1716494413779248</v>
      </c>
      <c r="AU53" s="99">
        <v>476.62699275253982</v>
      </c>
      <c r="AV53" s="99">
        <v>3</v>
      </c>
      <c r="AW53" s="99">
        <v>1220.4000000000001</v>
      </c>
      <c r="AX53" s="99">
        <v>3</v>
      </c>
      <c r="AY53" s="99">
        <v>1220.4000000000001</v>
      </c>
      <c r="AZ53" s="99">
        <v>3</v>
      </c>
      <c r="BA53" s="99">
        <v>1220.4000000000001</v>
      </c>
      <c r="BB53" s="99">
        <v>4</v>
      </c>
      <c r="BC53" s="99">
        <v>1627.2</v>
      </c>
      <c r="BD53" s="99">
        <v>2</v>
      </c>
      <c r="BE53" s="99">
        <v>813.6</v>
      </c>
      <c r="BF53" s="99">
        <v>2</v>
      </c>
      <c r="BG53" s="99">
        <v>813.6</v>
      </c>
      <c r="BH53" s="99">
        <v>2</v>
      </c>
      <c r="BI53" s="99">
        <v>813.6</v>
      </c>
      <c r="BJ53" s="99">
        <v>2</v>
      </c>
      <c r="BK53" s="99">
        <v>813.6</v>
      </c>
      <c r="BL53" s="99">
        <v>2.7209459843554251</v>
      </c>
      <c r="BM53" s="99">
        <v>1106.880826435787</v>
      </c>
      <c r="BN53" s="99">
        <v>1.5087888669117426</v>
      </c>
      <c r="BO53" s="99">
        <v>613.77531105969695</v>
      </c>
      <c r="BP53" s="99">
        <v>2</v>
      </c>
      <c r="BQ53" s="99">
        <v>813.6</v>
      </c>
      <c r="BR53" s="99">
        <v>1.7615713204399046</v>
      </c>
      <c r="BS53" s="99">
        <v>716.60721315495323</v>
      </c>
      <c r="BT53" s="99">
        <v>3</v>
      </c>
      <c r="BU53" s="99">
        <v>1220.4000000000001</v>
      </c>
      <c r="BV53" s="99">
        <v>2.8689079477022457</v>
      </c>
      <c r="BW53" s="99">
        <v>1167.0717531252735</v>
      </c>
      <c r="BX53" s="99">
        <v>1.5777036282802819</v>
      </c>
      <c r="BY53" s="99">
        <v>641.80983598441867</v>
      </c>
      <c r="BZ53" s="99">
        <v>0</v>
      </c>
      <c r="CA53" s="99">
        <v>0</v>
      </c>
      <c r="CB53" s="99">
        <v>2</v>
      </c>
      <c r="CC53" s="99">
        <v>813.6</v>
      </c>
      <c r="CD53" s="99">
        <v>3</v>
      </c>
      <c r="CE53" s="99">
        <v>1220.4000000000001</v>
      </c>
      <c r="CF53" s="99">
        <v>3</v>
      </c>
      <c r="CG53" s="99">
        <v>1220.4000000000001</v>
      </c>
      <c r="CH53" s="99">
        <v>0.39782040858094214</v>
      </c>
      <c r="CI53" s="99">
        <v>161.83334221072727</v>
      </c>
      <c r="CJ53" s="99">
        <v>0</v>
      </c>
      <c r="CK53" s="99">
        <v>0</v>
      </c>
      <c r="CL53" s="99">
        <v>0</v>
      </c>
      <c r="CM53" s="99">
        <v>0</v>
      </c>
      <c r="CN53" s="99">
        <v>3</v>
      </c>
      <c r="CO53" s="99">
        <v>1220.4000000000001</v>
      </c>
      <c r="CP53" s="99">
        <v>3</v>
      </c>
      <c r="CQ53" s="99">
        <v>1220.4000000000001</v>
      </c>
      <c r="CR53" s="99">
        <v>2.5471347076892705</v>
      </c>
      <c r="CS53" s="99">
        <v>1036.1743990879952</v>
      </c>
      <c r="CT53" s="99">
        <v>0.99903752291499281</v>
      </c>
      <c r="CU53" s="99">
        <v>406.40846432181911</v>
      </c>
    </row>
    <row r="54" spans="2:99">
      <c r="C54" s="98" t="s">
        <v>219</v>
      </c>
      <c r="D54" s="99">
        <v>0</v>
      </c>
      <c r="E54" s="99">
        <v>0</v>
      </c>
      <c r="F54" s="99">
        <v>0</v>
      </c>
      <c r="G54" s="99">
        <v>0</v>
      </c>
      <c r="H54" s="99">
        <v>2.7478138689341716</v>
      </c>
      <c r="I54" s="99">
        <v>919.96808331916066</v>
      </c>
      <c r="J54" s="99">
        <v>1.521787118502522</v>
      </c>
      <c r="K54" s="99">
        <v>509.49432727464438</v>
      </c>
      <c r="L54" s="99">
        <v>4.8739941046173341</v>
      </c>
      <c r="M54" s="99">
        <v>1631.8132262258835</v>
      </c>
      <c r="N54" s="99">
        <v>3</v>
      </c>
      <c r="O54" s="99">
        <v>1004.4000000000001</v>
      </c>
      <c r="P54" s="99">
        <v>3</v>
      </c>
      <c r="Q54" s="99">
        <v>1004.4000000000001</v>
      </c>
      <c r="R54" s="99">
        <v>0.64900116919319262</v>
      </c>
      <c r="S54" s="99">
        <v>217.2855914458809</v>
      </c>
      <c r="T54" s="99">
        <v>2</v>
      </c>
      <c r="U54" s="99">
        <v>669.6</v>
      </c>
      <c r="V54" s="99">
        <v>3</v>
      </c>
      <c r="W54" s="99">
        <v>1004.4000000000001</v>
      </c>
      <c r="X54" s="99">
        <v>4</v>
      </c>
      <c r="Y54" s="99">
        <v>1339.2</v>
      </c>
      <c r="Z54" s="99">
        <v>4</v>
      </c>
      <c r="AA54" s="99">
        <v>1339.2</v>
      </c>
      <c r="AB54" s="99">
        <v>3</v>
      </c>
      <c r="AC54" s="99">
        <v>1004.4000000000001</v>
      </c>
      <c r="AD54" s="99">
        <v>3</v>
      </c>
      <c r="AE54" s="99">
        <v>1004.4000000000001</v>
      </c>
      <c r="AF54" s="99">
        <v>2</v>
      </c>
      <c r="AG54" s="99">
        <v>669.6</v>
      </c>
      <c r="AH54" s="99">
        <v>0.66050093413979616</v>
      </c>
      <c r="AI54" s="99">
        <v>221.13571275000376</v>
      </c>
      <c r="AJ54" s="99">
        <v>2</v>
      </c>
      <c r="AK54" s="99">
        <v>669.6</v>
      </c>
      <c r="AL54" s="99">
        <v>2</v>
      </c>
      <c r="AM54" s="99">
        <v>669.6</v>
      </c>
      <c r="AN54" s="99">
        <v>3</v>
      </c>
      <c r="AO54" s="99">
        <v>1004.4000000000001</v>
      </c>
      <c r="AP54" s="99">
        <v>3</v>
      </c>
      <c r="AQ54" s="99">
        <v>1004.4000000000001</v>
      </c>
      <c r="AR54" s="99">
        <v>3</v>
      </c>
      <c r="AS54" s="99">
        <v>1004.4000000000001</v>
      </c>
      <c r="AT54" s="99">
        <v>1.1716494413779248</v>
      </c>
      <c r="AU54" s="99">
        <v>392.26823297332925</v>
      </c>
      <c r="AV54" s="99">
        <v>3</v>
      </c>
      <c r="AW54" s="99">
        <v>1004.4000000000001</v>
      </c>
      <c r="AX54" s="99">
        <v>3</v>
      </c>
      <c r="AY54" s="99">
        <v>1004.4000000000001</v>
      </c>
      <c r="AZ54" s="99">
        <v>4</v>
      </c>
      <c r="BA54" s="99">
        <v>1339.2</v>
      </c>
      <c r="BB54" s="99">
        <v>3</v>
      </c>
      <c r="BC54" s="99">
        <v>1004.4000000000001</v>
      </c>
      <c r="BD54" s="99">
        <v>2</v>
      </c>
      <c r="BE54" s="99">
        <v>669.6</v>
      </c>
      <c r="BF54" s="99">
        <v>2</v>
      </c>
      <c r="BG54" s="99">
        <v>669.6</v>
      </c>
      <c r="BH54" s="99">
        <v>2</v>
      </c>
      <c r="BI54" s="99">
        <v>669.6</v>
      </c>
      <c r="BJ54" s="99">
        <v>3</v>
      </c>
      <c r="BK54" s="99">
        <v>1004.4000000000001</v>
      </c>
      <c r="BL54" s="99">
        <v>2.7209459843554251</v>
      </c>
      <c r="BM54" s="99">
        <v>910.97271556219641</v>
      </c>
      <c r="BN54" s="99">
        <v>1.5087888669117426</v>
      </c>
      <c r="BO54" s="99">
        <v>505.14251264205143</v>
      </c>
      <c r="BP54" s="99">
        <v>2</v>
      </c>
      <c r="BQ54" s="99">
        <v>669.6</v>
      </c>
      <c r="BR54" s="99">
        <v>1.7615713204399046</v>
      </c>
      <c r="BS54" s="99">
        <v>589.77407808328007</v>
      </c>
      <c r="BT54" s="99">
        <v>3</v>
      </c>
      <c r="BU54" s="99">
        <v>1004.4000000000001</v>
      </c>
      <c r="BV54" s="99">
        <v>2.8689079477022457</v>
      </c>
      <c r="BW54" s="99">
        <v>960.51038089071187</v>
      </c>
      <c r="BX54" s="99">
        <v>1.5777036282802819</v>
      </c>
      <c r="BY54" s="99">
        <v>528.21517474823838</v>
      </c>
      <c r="BZ54" s="99">
        <v>0</v>
      </c>
      <c r="CA54" s="99">
        <v>0</v>
      </c>
      <c r="CB54" s="99">
        <v>2</v>
      </c>
      <c r="CC54" s="99">
        <v>669.6</v>
      </c>
      <c r="CD54" s="99">
        <v>3</v>
      </c>
      <c r="CE54" s="99">
        <v>1004.4000000000001</v>
      </c>
      <c r="CF54" s="99">
        <v>3</v>
      </c>
      <c r="CG54" s="99">
        <v>1004.4000000000001</v>
      </c>
      <c r="CH54" s="99">
        <v>0.39782040858094214</v>
      </c>
      <c r="CI54" s="99">
        <v>133.19027279289944</v>
      </c>
      <c r="CJ54" s="99">
        <v>0</v>
      </c>
      <c r="CK54" s="99">
        <v>0</v>
      </c>
      <c r="CL54" s="99">
        <v>0</v>
      </c>
      <c r="CM54" s="99">
        <v>0</v>
      </c>
      <c r="CN54" s="99">
        <v>3</v>
      </c>
      <c r="CO54" s="99">
        <v>1004.4000000000001</v>
      </c>
      <c r="CP54" s="99">
        <v>4</v>
      </c>
      <c r="CQ54" s="99">
        <v>1339.2</v>
      </c>
      <c r="CR54" s="99">
        <v>2.5471347076892705</v>
      </c>
      <c r="CS54" s="99">
        <v>852.78070013436775</v>
      </c>
      <c r="CT54" s="99">
        <v>0.99903752291499281</v>
      </c>
      <c r="CU54" s="99">
        <v>334.47776267193962</v>
      </c>
    </row>
    <row r="55" spans="2:99">
      <c r="C55" s="98" t="s">
        <v>220</v>
      </c>
      <c r="D55" s="99">
        <v>0</v>
      </c>
      <c r="E55" s="99">
        <v>0</v>
      </c>
      <c r="F55" s="99">
        <v>0</v>
      </c>
      <c r="G55" s="99">
        <v>0</v>
      </c>
      <c r="H55" s="99">
        <v>2.7478138689341716</v>
      </c>
      <c r="I55" s="99">
        <v>1823.4492834247162</v>
      </c>
      <c r="J55" s="99">
        <v>1.521787118502522</v>
      </c>
      <c r="K55" s="99">
        <v>1009.8579318382737</v>
      </c>
      <c r="L55" s="99">
        <v>3.8739941046173341</v>
      </c>
      <c r="M55" s="99">
        <v>2570.7824878240631</v>
      </c>
      <c r="N55" s="99">
        <v>3</v>
      </c>
      <c r="O55" s="99">
        <v>1990.8000000000002</v>
      </c>
      <c r="P55" s="99">
        <v>3</v>
      </c>
      <c r="Q55" s="99">
        <v>1990.8000000000002</v>
      </c>
      <c r="R55" s="99">
        <v>0.64900116919319262</v>
      </c>
      <c r="S55" s="99">
        <v>430.67717587660263</v>
      </c>
      <c r="T55" s="99">
        <v>2</v>
      </c>
      <c r="U55" s="99">
        <v>1327.2</v>
      </c>
      <c r="V55" s="99">
        <v>3</v>
      </c>
      <c r="W55" s="99">
        <v>1990.8000000000002</v>
      </c>
      <c r="X55" s="99">
        <v>4</v>
      </c>
      <c r="Y55" s="99">
        <v>2654.4</v>
      </c>
      <c r="Z55" s="99">
        <v>4</v>
      </c>
      <c r="AA55" s="99">
        <v>2654.4</v>
      </c>
      <c r="AB55" s="99">
        <v>3</v>
      </c>
      <c r="AC55" s="99">
        <v>1990.8000000000002</v>
      </c>
      <c r="AD55" s="99">
        <v>3</v>
      </c>
      <c r="AE55" s="99">
        <v>1990.8000000000002</v>
      </c>
      <c r="AF55" s="99">
        <v>2</v>
      </c>
      <c r="AG55" s="99">
        <v>1327.2</v>
      </c>
      <c r="AH55" s="99">
        <v>0.66050093413979616</v>
      </c>
      <c r="AI55" s="99">
        <v>438.30841989516875</v>
      </c>
      <c r="AJ55" s="99">
        <v>2</v>
      </c>
      <c r="AK55" s="99">
        <v>1327.2</v>
      </c>
      <c r="AL55" s="99">
        <v>3</v>
      </c>
      <c r="AM55" s="99">
        <v>1990.8000000000002</v>
      </c>
      <c r="AN55" s="99">
        <v>4</v>
      </c>
      <c r="AO55" s="99">
        <v>2654.4</v>
      </c>
      <c r="AP55" s="99">
        <v>3</v>
      </c>
      <c r="AQ55" s="99">
        <v>1990.8000000000002</v>
      </c>
      <c r="AR55" s="99">
        <v>3</v>
      </c>
      <c r="AS55" s="99">
        <v>1990.8000000000002</v>
      </c>
      <c r="AT55" s="99">
        <v>1.1716494413779248</v>
      </c>
      <c r="AU55" s="99">
        <v>777.5065692983909</v>
      </c>
      <c r="AV55" s="99">
        <v>3</v>
      </c>
      <c r="AW55" s="99">
        <v>1990.8000000000002</v>
      </c>
      <c r="AX55" s="99">
        <v>3</v>
      </c>
      <c r="AY55" s="99">
        <v>1990.8000000000002</v>
      </c>
      <c r="AZ55" s="99">
        <v>3</v>
      </c>
      <c r="BA55" s="99">
        <v>1990.8000000000002</v>
      </c>
      <c r="BB55" s="99">
        <v>4</v>
      </c>
      <c r="BC55" s="99">
        <v>2654.4</v>
      </c>
      <c r="BD55" s="99">
        <v>2</v>
      </c>
      <c r="BE55" s="99">
        <v>1327.2</v>
      </c>
      <c r="BF55" s="99">
        <v>2</v>
      </c>
      <c r="BG55" s="99">
        <v>1327.2</v>
      </c>
      <c r="BH55" s="99">
        <v>2</v>
      </c>
      <c r="BI55" s="99">
        <v>1327.2</v>
      </c>
      <c r="BJ55" s="99">
        <v>2</v>
      </c>
      <c r="BK55" s="99">
        <v>1327.2</v>
      </c>
      <c r="BL55" s="99">
        <v>2.7209459843554251</v>
      </c>
      <c r="BM55" s="99">
        <v>1805.6197552182603</v>
      </c>
      <c r="BN55" s="99">
        <v>1.5087888669117426</v>
      </c>
      <c r="BO55" s="99">
        <v>1001.2322920826324</v>
      </c>
      <c r="BP55" s="99">
        <v>2</v>
      </c>
      <c r="BQ55" s="99">
        <v>1327.2</v>
      </c>
      <c r="BR55" s="99">
        <v>1.7615713204399046</v>
      </c>
      <c r="BS55" s="99">
        <v>1168.9787282439208</v>
      </c>
      <c r="BT55" s="99">
        <v>3</v>
      </c>
      <c r="BU55" s="99">
        <v>1990.8000000000002</v>
      </c>
      <c r="BV55" s="99">
        <v>2.8689079477022457</v>
      </c>
      <c r="BW55" s="99">
        <v>1903.8073140952104</v>
      </c>
      <c r="BX55" s="99">
        <v>1.5777036282802819</v>
      </c>
      <c r="BY55" s="99">
        <v>1046.9641277267951</v>
      </c>
      <c r="BZ55" s="99">
        <v>0</v>
      </c>
      <c r="CA55" s="99">
        <v>0</v>
      </c>
      <c r="CB55" s="99">
        <v>2</v>
      </c>
      <c r="CC55" s="99">
        <v>1327.2</v>
      </c>
      <c r="CD55" s="99">
        <v>3</v>
      </c>
      <c r="CE55" s="99">
        <v>1990.8000000000002</v>
      </c>
      <c r="CF55" s="99">
        <v>3</v>
      </c>
      <c r="CG55" s="99">
        <v>1990.8000000000002</v>
      </c>
      <c r="CH55" s="99">
        <v>0.39782040858094214</v>
      </c>
      <c r="CI55" s="99">
        <v>263.99362313431322</v>
      </c>
      <c r="CJ55" s="99">
        <v>0</v>
      </c>
      <c r="CK55" s="99">
        <v>0</v>
      </c>
      <c r="CL55" s="99">
        <v>0</v>
      </c>
      <c r="CM55" s="99">
        <v>0</v>
      </c>
      <c r="CN55" s="99">
        <v>3</v>
      </c>
      <c r="CO55" s="99">
        <v>1990.8000000000002</v>
      </c>
      <c r="CP55" s="99">
        <v>4</v>
      </c>
      <c r="CQ55" s="99">
        <v>2654.4</v>
      </c>
      <c r="CR55" s="99">
        <v>2.5471347076892705</v>
      </c>
      <c r="CS55" s="99">
        <v>1690.2785920225999</v>
      </c>
      <c r="CT55" s="99">
        <v>0.99903752291499281</v>
      </c>
      <c r="CU55" s="99">
        <v>662.9613002063893</v>
      </c>
    </row>
    <row r="56" spans="2:99">
      <c r="C56" s="98" t="s">
        <v>221</v>
      </c>
      <c r="D56" s="99">
        <v>0</v>
      </c>
      <c r="E56" s="99">
        <v>0</v>
      </c>
      <c r="F56" s="99">
        <v>0</v>
      </c>
      <c r="G56" s="99">
        <v>0</v>
      </c>
      <c r="H56" s="99">
        <v>2.7001477735289074</v>
      </c>
      <c r="I56" s="99">
        <v>3107.3300577770665</v>
      </c>
      <c r="J56" s="99">
        <v>3</v>
      </c>
      <c r="K56" s="99">
        <v>3452.3999999999996</v>
      </c>
      <c r="L56" s="99">
        <v>4</v>
      </c>
      <c r="M56" s="99">
        <v>4603.2</v>
      </c>
      <c r="N56" s="99">
        <v>2</v>
      </c>
      <c r="O56" s="99">
        <v>2301.6</v>
      </c>
      <c r="P56" s="99">
        <v>4</v>
      </c>
      <c r="Q56" s="99">
        <v>4603.2</v>
      </c>
      <c r="R56" s="99">
        <v>3</v>
      </c>
      <c r="S56" s="99">
        <v>3452.3999999999996</v>
      </c>
      <c r="T56" s="99">
        <v>2</v>
      </c>
      <c r="U56" s="99">
        <v>2301.6</v>
      </c>
      <c r="V56" s="99">
        <v>3</v>
      </c>
      <c r="W56" s="99">
        <v>3452.3999999999996</v>
      </c>
      <c r="X56" s="99">
        <v>4</v>
      </c>
      <c r="Y56" s="99">
        <v>4603.2</v>
      </c>
      <c r="Z56" s="99">
        <v>4</v>
      </c>
      <c r="AA56" s="99">
        <v>4603.2</v>
      </c>
      <c r="AB56" s="99">
        <v>3</v>
      </c>
      <c r="AC56" s="99">
        <v>3452.3999999999996</v>
      </c>
      <c r="AD56" s="99">
        <v>3</v>
      </c>
      <c r="AE56" s="99">
        <v>3452.3999999999996</v>
      </c>
      <c r="AF56" s="99">
        <v>3</v>
      </c>
      <c r="AG56" s="99">
        <v>3452.3999999999996</v>
      </c>
      <c r="AH56" s="99">
        <v>3</v>
      </c>
      <c r="AI56" s="99">
        <v>3452.3999999999996</v>
      </c>
      <c r="AJ56" s="99">
        <v>2</v>
      </c>
      <c r="AK56" s="99">
        <v>2301.6</v>
      </c>
      <c r="AL56" s="99">
        <v>2</v>
      </c>
      <c r="AM56" s="99">
        <v>2301.6</v>
      </c>
      <c r="AN56" s="99">
        <v>4</v>
      </c>
      <c r="AO56" s="99">
        <v>4603.2</v>
      </c>
      <c r="AP56" s="99">
        <v>3</v>
      </c>
      <c r="AQ56" s="99">
        <v>3452.3999999999996</v>
      </c>
      <c r="AR56" s="99">
        <v>3</v>
      </c>
      <c r="AS56" s="99">
        <v>3452.3999999999996</v>
      </c>
      <c r="AT56" s="99">
        <v>2</v>
      </c>
      <c r="AU56" s="99">
        <v>2301.6</v>
      </c>
      <c r="AV56" s="99">
        <v>3</v>
      </c>
      <c r="AW56" s="99">
        <v>3452.3999999999996</v>
      </c>
      <c r="AX56" s="99">
        <v>3</v>
      </c>
      <c r="AY56" s="99">
        <v>3452.3999999999996</v>
      </c>
      <c r="AZ56" s="99">
        <v>3</v>
      </c>
      <c r="BA56" s="99">
        <v>3452.3999999999996</v>
      </c>
      <c r="BB56" s="99">
        <v>3</v>
      </c>
      <c r="BC56" s="99">
        <v>3452.3999999999996</v>
      </c>
      <c r="BD56" s="99">
        <v>2</v>
      </c>
      <c r="BE56" s="99">
        <v>2301.6</v>
      </c>
      <c r="BF56" s="99">
        <v>2</v>
      </c>
      <c r="BG56" s="99">
        <v>2301.6</v>
      </c>
      <c r="BH56" s="99">
        <v>2</v>
      </c>
      <c r="BI56" s="99">
        <v>2301.6</v>
      </c>
      <c r="BJ56" s="99">
        <v>2</v>
      </c>
      <c r="BK56" s="99">
        <v>2301.6</v>
      </c>
      <c r="BL56" s="99">
        <v>2</v>
      </c>
      <c r="BM56" s="99">
        <v>2301.6</v>
      </c>
      <c r="BN56" s="99">
        <v>3</v>
      </c>
      <c r="BO56" s="99">
        <v>3452.3999999999996</v>
      </c>
      <c r="BP56" s="99">
        <v>2</v>
      </c>
      <c r="BQ56" s="99">
        <v>2301.6</v>
      </c>
      <c r="BR56" s="99">
        <v>3</v>
      </c>
      <c r="BS56" s="99">
        <v>3452.3999999999996</v>
      </c>
      <c r="BT56" s="99">
        <v>3</v>
      </c>
      <c r="BU56" s="99">
        <v>3452.3999999999996</v>
      </c>
      <c r="BV56" s="99">
        <v>2</v>
      </c>
      <c r="BW56" s="99">
        <v>2301.6</v>
      </c>
      <c r="BX56" s="99">
        <v>2</v>
      </c>
      <c r="BY56" s="99">
        <v>2301.6</v>
      </c>
      <c r="BZ56" s="99">
        <v>3</v>
      </c>
      <c r="CA56" s="99">
        <v>3452.3999999999996</v>
      </c>
      <c r="CB56" s="99">
        <v>2</v>
      </c>
      <c r="CC56" s="99">
        <v>2301.6</v>
      </c>
      <c r="CD56" s="99">
        <v>3</v>
      </c>
      <c r="CE56" s="99">
        <v>3452.3999999999996</v>
      </c>
      <c r="CF56" s="99">
        <v>3</v>
      </c>
      <c r="CG56" s="99">
        <v>3452.3999999999996</v>
      </c>
      <c r="CH56" s="99">
        <v>2</v>
      </c>
      <c r="CI56" s="99">
        <v>2301.6</v>
      </c>
      <c r="CJ56" s="99">
        <v>3</v>
      </c>
      <c r="CK56" s="99">
        <v>3452.3999999999996</v>
      </c>
      <c r="CL56" s="99">
        <v>2.4674592726048421</v>
      </c>
      <c r="CM56" s="99">
        <v>2839.552130913652</v>
      </c>
      <c r="CN56" s="99">
        <v>3</v>
      </c>
      <c r="CO56" s="99">
        <v>3452.3999999999996</v>
      </c>
      <c r="CP56" s="99">
        <v>3</v>
      </c>
      <c r="CQ56" s="99">
        <v>3452.3999999999996</v>
      </c>
      <c r="CR56" s="99">
        <v>3</v>
      </c>
      <c r="CS56" s="99">
        <v>3452.3999999999996</v>
      </c>
      <c r="CT56" s="99">
        <v>2</v>
      </c>
      <c r="CU56" s="99">
        <v>2301.6</v>
      </c>
    </row>
    <row r="57" spans="2:99">
      <c r="C57" s="98" t="s">
        <v>222</v>
      </c>
      <c r="D57" s="99">
        <v>0</v>
      </c>
      <c r="E57" s="99">
        <v>0</v>
      </c>
      <c r="F57" s="99">
        <v>0</v>
      </c>
      <c r="G57" s="99">
        <v>0</v>
      </c>
      <c r="H57" s="99">
        <v>1.831875912622781</v>
      </c>
      <c r="I57" s="99">
        <v>2585.1432878932687</v>
      </c>
      <c r="J57" s="99">
        <v>1.521787118502522</v>
      </c>
      <c r="K57" s="99">
        <v>2147.5459816307593</v>
      </c>
      <c r="L57" s="99">
        <v>3.8739941046173341</v>
      </c>
      <c r="M57" s="99">
        <v>5466.9804804359819</v>
      </c>
      <c r="N57" s="99">
        <v>2</v>
      </c>
      <c r="O57" s="99">
        <v>2822.4</v>
      </c>
      <c r="P57" s="99">
        <v>3</v>
      </c>
      <c r="Q57" s="99">
        <v>4233.6000000000004</v>
      </c>
      <c r="R57" s="99">
        <v>0.64900116919319262</v>
      </c>
      <c r="S57" s="99">
        <v>915.87044996543341</v>
      </c>
      <c r="T57" s="99">
        <v>2</v>
      </c>
      <c r="U57" s="99">
        <v>2822.4</v>
      </c>
      <c r="V57" s="99">
        <v>3</v>
      </c>
      <c r="W57" s="99">
        <v>4233.6000000000004</v>
      </c>
      <c r="X57" s="99">
        <v>4</v>
      </c>
      <c r="Y57" s="99">
        <v>5644.8</v>
      </c>
      <c r="Z57" s="99">
        <v>3</v>
      </c>
      <c r="AA57" s="99">
        <v>4233.6000000000004</v>
      </c>
      <c r="AB57" s="99">
        <v>2</v>
      </c>
      <c r="AC57" s="99">
        <v>2822.4</v>
      </c>
      <c r="AD57" s="99">
        <v>2</v>
      </c>
      <c r="AE57" s="99">
        <v>2822.4</v>
      </c>
      <c r="AF57" s="99">
        <v>2</v>
      </c>
      <c r="AG57" s="99">
        <v>2822.4</v>
      </c>
      <c r="AH57" s="99">
        <v>0.66050093413979616</v>
      </c>
      <c r="AI57" s="99">
        <v>932.0989182580804</v>
      </c>
      <c r="AJ57" s="99">
        <v>2</v>
      </c>
      <c r="AK57" s="99">
        <v>2822.4</v>
      </c>
      <c r="AL57" s="99">
        <v>2</v>
      </c>
      <c r="AM57" s="99">
        <v>2822.4</v>
      </c>
      <c r="AN57" s="99">
        <v>4</v>
      </c>
      <c r="AO57" s="99">
        <v>5644.8</v>
      </c>
      <c r="AP57" s="99">
        <v>2</v>
      </c>
      <c r="AQ57" s="99">
        <v>2822.4</v>
      </c>
      <c r="AR57" s="99">
        <v>3</v>
      </c>
      <c r="AS57" s="99">
        <v>4233.6000000000004</v>
      </c>
      <c r="AT57" s="99">
        <v>1.1716494413779248</v>
      </c>
      <c r="AU57" s="99">
        <v>1653.4316916725274</v>
      </c>
      <c r="AV57" s="99">
        <v>3</v>
      </c>
      <c r="AW57" s="99">
        <v>4233.6000000000004</v>
      </c>
      <c r="AX57" s="99">
        <v>3</v>
      </c>
      <c r="AY57" s="99">
        <v>4233.6000000000004</v>
      </c>
      <c r="AZ57" s="99">
        <v>4</v>
      </c>
      <c r="BA57" s="99">
        <v>5644.8</v>
      </c>
      <c r="BB57" s="99">
        <v>4</v>
      </c>
      <c r="BC57" s="99">
        <v>5644.8</v>
      </c>
      <c r="BD57" s="99">
        <v>2</v>
      </c>
      <c r="BE57" s="99">
        <v>2822.4</v>
      </c>
      <c r="BF57" s="99">
        <v>2</v>
      </c>
      <c r="BG57" s="99">
        <v>2822.4</v>
      </c>
      <c r="BH57" s="99">
        <v>2</v>
      </c>
      <c r="BI57" s="99">
        <v>2822.4</v>
      </c>
      <c r="BJ57" s="99">
        <v>2</v>
      </c>
      <c r="BK57" s="99">
        <v>2822.4</v>
      </c>
      <c r="BL57" s="99">
        <v>2.7209459843554251</v>
      </c>
      <c r="BM57" s="99">
        <v>3839.7989731223761</v>
      </c>
      <c r="BN57" s="99">
        <v>1.5087888669117426</v>
      </c>
      <c r="BO57" s="99">
        <v>2129.2028489858512</v>
      </c>
      <c r="BP57" s="99">
        <v>2</v>
      </c>
      <c r="BQ57" s="99">
        <v>2822.4</v>
      </c>
      <c r="BR57" s="99">
        <v>1.1743808802932698</v>
      </c>
      <c r="BS57" s="99">
        <v>1657.2862982698625</v>
      </c>
      <c r="BT57" s="99">
        <v>3</v>
      </c>
      <c r="BU57" s="99">
        <v>4233.6000000000004</v>
      </c>
      <c r="BV57" s="99">
        <v>2.8689079477022457</v>
      </c>
      <c r="BW57" s="99">
        <v>4048.602895797409</v>
      </c>
      <c r="BX57" s="99">
        <v>1.5777036282802819</v>
      </c>
      <c r="BY57" s="99">
        <v>2226.4553602291339</v>
      </c>
      <c r="BZ57" s="99">
        <v>0</v>
      </c>
      <c r="CA57" s="99">
        <v>0</v>
      </c>
      <c r="CB57" s="99">
        <v>2</v>
      </c>
      <c r="CC57" s="99">
        <v>2822.4</v>
      </c>
      <c r="CD57" s="99">
        <v>3</v>
      </c>
      <c r="CE57" s="99">
        <v>4233.6000000000004</v>
      </c>
      <c r="CF57" s="99">
        <v>2</v>
      </c>
      <c r="CG57" s="99">
        <v>2822.4</v>
      </c>
      <c r="CH57" s="99">
        <v>0.39782040858094214</v>
      </c>
      <c r="CI57" s="99">
        <v>561.4041605894256</v>
      </c>
      <c r="CJ57" s="99">
        <v>0</v>
      </c>
      <c r="CK57" s="99">
        <v>0</v>
      </c>
      <c r="CL57" s="99">
        <v>0</v>
      </c>
      <c r="CM57" s="99">
        <v>0</v>
      </c>
      <c r="CN57" s="99">
        <v>3</v>
      </c>
      <c r="CO57" s="99">
        <v>4233.6000000000004</v>
      </c>
      <c r="CP57" s="99">
        <v>3</v>
      </c>
      <c r="CQ57" s="99">
        <v>4233.6000000000004</v>
      </c>
      <c r="CR57" s="99">
        <v>2.5471347076892705</v>
      </c>
      <c r="CS57" s="99">
        <v>3594.5164994910988</v>
      </c>
      <c r="CT57" s="99">
        <v>0.99903752291499281</v>
      </c>
      <c r="CU57" s="99">
        <v>1409.8417523376379</v>
      </c>
    </row>
    <row r="58" spans="2:99">
      <c r="C58" s="98" t="s">
        <v>223</v>
      </c>
      <c r="D58" s="99">
        <v>0</v>
      </c>
      <c r="E58" s="99">
        <v>0</v>
      </c>
      <c r="F58" s="99">
        <v>0</v>
      </c>
      <c r="G58" s="99">
        <v>0</v>
      </c>
      <c r="H58" s="99">
        <v>1.8000985156859384</v>
      </c>
      <c r="I58" s="99">
        <v>2119.0759726654869</v>
      </c>
      <c r="J58" s="99">
        <v>2</v>
      </c>
      <c r="K58" s="99">
        <v>2354.4</v>
      </c>
      <c r="L58" s="99">
        <v>3</v>
      </c>
      <c r="M58" s="99">
        <v>3531.6000000000004</v>
      </c>
      <c r="N58" s="99">
        <v>2</v>
      </c>
      <c r="O58" s="99">
        <v>2354.4</v>
      </c>
      <c r="P58" s="99">
        <v>3</v>
      </c>
      <c r="Q58" s="99">
        <v>3531.6000000000004</v>
      </c>
      <c r="R58" s="99">
        <v>3</v>
      </c>
      <c r="S58" s="99">
        <v>3531.6000000000004</v>
      </c>
      <c r="T58" s="99">
        <v>2</v>
      </c>
      <c r="U58" s="99">
        <v>2354.4</v>
      </c>
      <c r="V58" s="99">
        <v>3</v>
      </c>
      <c r="W58" s="99">
        <v>3531.6000000000004</v>
      </c>
      <c r="X58" s="99">
        <v>3</v>
      </c>
      <c r="Y58" s="99">
        <v>3531.6000000000004</v>
      </c>
      <c r="Z58" s="99">
        <v>3</v>
      </c>
      <c r="AA58" s="99">
        <v>3531.6000000000004</v>
      </c>
      <c r="AB58" s="99">
        <v>2</v>
      </c>
      <c r="AC58" s="99">
        <v>2354.4</v>
      </c>
      <c r="AD58" s="99">
        <v>3</v>
      </c>
      <c r="AE58" s="99">
        <v>3531.6000000000004</v>
      </c>
      <c r="AF58" s="99">
        <v>2</v>
      </c>
      <c r="AG58" s="99">
        <v>2354.4</v>
      </c>
      <c r="AH58" s="99">
        <v>3</v>
      </c>
      <c r="AI58" s="99">
        <v>3531.6000000000004</v>
      </c>
      <c r="AJ58" s="99">
        <v>2</v>
      </c>
      <c r="AK58" s="99">
        <v>2354.4</v>
      </c>
      <c r="AL58" s="99">
        <v>3</v>
      </c>
      <c r="AM58" s="99">
        <v>3531.6000000000004</v>
      </c>
      <c r="AN58" s="99">
        <v>4</v>
      </c>
      <c r="AO58" s="99">
        <v>4708.8</v>
      </c>
      <c r="AP58" s="99">
        <v>3</v>
      </c>
      <c r="AQ58" s="99">
        <v>3531.6000000000004</v>
      </c>
      <c r="AR58" s="99">
        <v>3</v>
      </c>
      <c r="AS58" s="99">
        <v>3531.6000000000004</v>
      </c>
      <c r="AT58" s="99">
        <v>2</v>
      </c>
      <c r="AU58" s="99">
        <v>2354.4</v>
      </c>
      <c r="AV58" s="99">
        <v>3</v>
      </c>
      <c r="AW58" s="99">
        <v>3531.6000000000004</v>
      </c>
      <c r="AX58" s="99">
        <v>3</v>
      </c>
      <c r="AY58" s="99">
        <v>3531.6000000000004</v>
      </c>
      <c r="AZ58" s="99">
        <v>4</v>
      </c>
      <c r="BA58" s="99">
        <v>4708.8</v>
      </c>
      <c r="BB58" s="99">
        <v>3</v>
      </c>
      <c r="BC58" s="99">
        <v>3531.6000000000004</v>
      </c>
      <c r="BD58" s="99">
        <v>2</v>
      </c>
      <c r="BE58" s="99">
        <v>2354.4</v>
      </c>
      <c r="BF58" s="99">
        <v>2</v>
      </c>
      <c r="BG58" s="99">
        <v>2354.4</v>
      </c>
      <c r="BH58" s="99">
        <v>2</v>
      </c>
      <c r="BI58" s="99">
        <v>2354.4</v>
      </c>
      <c r="BJ58" s="99">
        <v>2</v>
      </c>
      <c r="BK58" s="99">
        <v>2354.4</v>
      </c>
      <c r="BL58" s="99">
        <v>3</v>
      </c>
      <c r="BM58" s="99">
        <v>3531.6000000000004</v>
      </c>
      <c r="BN58" s="99">
        <v>3</v>
      </c>
      <c r="BO58" s="99">
        <v>3531.6000000000004</v>
      </c>
      <c r="BP58" s="99">
        <v>2</v>
      </c>
      <c r="BQ58" s="99">
        <v>2354.4</v>
      </c>
      <c r="BR58" s="99">
        <v>3</v>
      </c>
      <c r="BS58" s="99">
        <v>3531.6000000000004</v>
      </c>
      <c r="BT58" s="99">
        <v>3</v>
      </c>
      <c r="BU58" s="99">
        <v>3531.6000000000004</v>
      </c>
      <c r="BV58" s="99">
        <v>2</v>
      </c>
      <c r="BW58" s="99">
        <v>2354.4</v>
      </c>
      <c r="BX58" s="99">
        <v>2</v>
      </c>
      <c r="BY58" s="99">
        <v>2354.4</v>
      </c>
      <c r="BZ58" s="99">
        <v>3</v>
      </c>
      <c r="CA58" s="99">
        <v>3531.6000000000004</v>
      </c>
      <c r="CB58" s="99">
        <v>2</v>
      </c>
      <c r="CC58" s="99">
        <v>2354.4</v>
      </c>
      <c r="CD58" s="99">
        <v>2</v>
      </c>
      <c r="CE58" s="99">
        <v>2354.4</v>
      </c>
      <c r="CF58" s="99">
        <v>2</v>
      </c>
      <c r="CG58" s="99">
        <v>2354.4</v>
      </c>
      <c r="CH58" s="99">
        <v>2</v>
      </c>
      <c r="CI58" s="99">
        <v>2354.4</v>
      </c>
      <c r="CJ58" s="99">
        <v>2</v>
      </c>
      <c r="CK58" s="99">
        <v>2354.4</v>
      </c>
      <c r="CL58" s="99">
        <v>2.4674592726048421</v>
      </c>
      <c r="CM58" s="99">
        <v>2904.6930557104201</v>
      </c>
      <c r="CN58" s="99">
        <v>3</v>
      </c>
      <c r="CO58" s="99">
        <v>3531.6000000000004</v>
      </c>
      <c r="CP58" s="99">
        <v>3</v>
      </c>
      <c r="CQ58" s="99">
        <v>3531.6000000000004</v>
      </c>
      <c r="CR58" s="99">
        <v>3</v>
      </c>
      <c r="CS58" s="99">
        <v>3531.6000000000004</v>
      </c>
      <c r="CT58" s="99">
        <v>2</v>
      </c>
      <c r="CU58" s="99">
        <v>2354.4</v>
      </c>
    </row>
    <row r="59" spans="2:99">
      <c r="C59" s="98" t="s">
        <v>224</v>
      </c>
      <c r="D59" s="99">
        <v>0</v>
      </c>
      <c r="E59" s="99">
        <v>0</v>
      </c>
      <c r="F59" s="99">
        <v>0</v>
      </c>
      <c r="G59" s="99">
        <v>0</v>
      </c>
      <c r="H59" s="99">
        <v>2.7478138689341716</v>
      </c>
      <c r="I59" s="99">
        <v>834.23629060841438</v>
      </c>
      <c r="J59" s="99">
        <v>1.521787118502522</v>
      </c>
      <c r="K59" s="99">
        <v>462.01456917736562</v>
      </c>
      <c r="L59" s="99">
        <v>4.8739941046173341</v>
      </c>
      <c r="M59" s="99">
        <v>1479.7446101618225</v>
      </c>
      <c r="N59" s="99">
        <v>3</v>
      </c>
      <c r="O59" s="99">
        <v>910.8</v>
      </c>
      <c r="P59" s="99">
        <v>3</v>
      </c>
      <c r="Q59" s="99">
        <v>910.8</v>
      </c>
      <c r="R59" s="99">
        <v>0.64900116919319262</v>
      </c>
      <c r="S59" s="99">
        <v>197.03675496705327</v>
      </c>
      <c r="T59" s="99">
        <v>2</v>
      </c>
      <c r="U59" s="99">
        <v>607.19999999999993</v>
      </c>
      <c r="V59" s="99">
        <v>3</v>
      </c>
      <c r="W59" s="99">
        <v>910.8</v>
      </c>
      <c r="X59" s="99">
        <v>4</v>
      </c>
      <c r="Y59" s="99">
        <v>1214.3999999999999</v>
      </c>
      <c r="Z59" s="99">
        <v>4</v>
      </c>
      <c r="AA59" s="99">
        <v>1214.3999999999999</v>
      </c>
      <c r="AB59" s="99">
        <v>3</v>
      </c>
      <c r="AC59" s="99">
        <v>910.8</v>
      </c>
      <c r="AD59" s="99">
        <v>3</v>
      </c>
      <c r="AE59" s="99">
        <v>910.8</v>
      </c>
      <c r="AF59" s="99">
        <v>3</v>
      </c>
      <c r="AG59" s="99">
        <v>910.8</v>
      </c>
      <c r="AH59" s="99">
        <v>0.66050093413979616</v>
      </c>
      <c r="AI59" s="99">
        <v>200.5280836048421</v>
      </c>
      <c r="AJ59" s="99">
        <v>2</v>
      </c>
      <c r="AK59" s="99">
        <v>607.19999999999993</v>
      </c>
      <c r="AL59" s="99">
        <v>3</v>
      </c>
      <c r="AM59" s="99">
        <v>910.8</v>
      </c>
      <c r="AN59" s="99">
        <v>4</v>
      </c>
      <c r="AO59" s="99">
        <v>1214.3999999999999</v>
      </c>
      <c r="AP59" s="99">
        <v>3</v>
      </c>
      <c r="AQ59" s="99">
        <v>910.8</v>
      </c>
      <c r="AR59" s="99">
        <v>3</v>
      </c>
      <c r="AS59" s="99">
        <v>910.8</v>
      </c>
      <c r="AT59" s="99">
        <v>1.1716494413779248</v>
      </c>
      <c r="AU59" s="99">
        <v>355.71277040233792</v>
      </c>
      <c r="AV59" s="99">
        <v>3</v>
      </c>
      <c r="AW59" s="99">
        <v>910.8</v>
      </c>
      <c r="AX59" s="99">
        <v>3</v>
      </c>
      <c r="AY59" s="99">
        <v>910.8</v>
      </c>
      <c r="AZ59" s="99">
        <v>4</v>
      </c>
      <c r="BA59" s="99">
        <v>1214.3999999999999</v>
      </c>
      <c r="BB59" s="99">
        <v>4</v>
      </c>
      <c r="BC59" s="99">
        <v>1214.3999999999999</v>
      </c>
      <c r="BD59" s="99">
        <v>2</v>
      </c>
      <c r="BE59" s="99">
        <v>607.19999999999993</v>
      </c>
      <c r="BF59" s="99">
        <v>2</v>
      </c>
      <c r="BG59" s="99">
        <v>607.19999999999993</v>
      </c>
      <c r="BH59" s="99">
        <v>2</v>
      </c>
      <c r="BI59" s="99">
        <v>607.19999999999993</v>
      </c>
      <c r="BJ59" s="99">
        <v>3</v>
      </c>
      <c r="BK59" s="99">
        <v>910.8</v>
      </c>
      <c r="BL59" s="99">
        <v>2.7209459843554251</v>
      </c>
      <c r="BM59" s="99">
        <v>826.07920085030696</v>
      </c>
      <c r="BN59" s="99">
        <v>1.5087888669117426</v>
      </c>
      <c r="BO59" s="99">
        <v>458.06829999440504</v>
      </c>
      <c r="BP59" s="99">
        <v>2</v>
      </c>
      <c r="BQ59" s="99">
        <v>607.19999999999993</v>
      </c>
      <c r="BR59" s="99">
        <v>1.7615713204399046</v>
      </c>
      <c r="BS59" s="99">
        <v>534.81305288555495</v>
      </c>
      <c r="BT59" s="99">
        <v>3</v>
      </c>
      <c r="BU59" s="99">
        <v>910.8</v>
      </c>
      <c r="BV59" s="99">
        <v>2.8689079477022457</v>
      </c>
      <c r="BW59" s="99">
        <v>871.00045292240168</v>
      </c>
      <c r="BX59" s="99">
        <v>1.5777036282802819</v>
      </c>
      <c r="BY59" s="99">
        <v>478.99082154589354</v>
      </c>
      <c r="BZ59" s="99">
        <v>0</v>
      </c>
      <c r="CA59" s="99">
        <v>0</v>
      </c>
      <c r="CB59" s="99">
        <v>3</v>
      </c>
      <c r="CC59" s="99">
        <v>910.8</v>
      </c>
      <c r="CD59" s="99">
        <v>3</v>
      </c>
      <c r="CE59" s="99">
        <v>910.8</v>
      </c>
      <c r="CF59" s="99">
        <v>3</v>
      </c>
      <c r="CG59" s="99">
        <v>910.8</v>
      </c>
      <c r="CH59" s="99">
        <v>0.39782040858094214</v>
      </c>
      <c r="CI59" s="99">
        <v>120.77827604517402</v>
      </c>
      <c r="CJ59" s="99">
        <v>0</v>
      </c>
      <c r="CK59" s="99">
        <v>0</v>
      </c>
      <c r="CL59" s="99">
        <v>0</v>
      </c>
      <c r="CM59" s="99">
        <v>0</v>
      </c>
      <c r="CN59" s="99">
        <v>3</v>
      </c>
      <c r="CO59" s="99">
        <v>910.8</v>
      </c>
      <c r="CP59" s="99">
        <v>4</v>
      </c>
      <c r="CQ59" s="99">
        <v>1214.3999999999999</v>
      </c>
      <c r="CR59" s="99">
        <v>2.5471347076892705</v>
      </c>
      <c r="CS59" s="99">
        <v>773.31009725446245</v>
      </c>
      <c r="CT59" s="99">
        <v>0.99903752291499281</v>
      </c>
      <c r="CU59" s="99">
        <v>303.30779195699176</v>
      </c>
    </row>
    <row r="60" spans="2:99">
      <c r="C60" s="98" t="s">
        <v>225</v>
      </c>
      <c r="D60" s="99">
        <v>0</v>
      </c>
      <c r="E60" s="99">
        <v>0</v>
      </c>
      <c r="F60" s="99">
        <v>0</v>
      </c>
      <c r="G60" s="99">
        <v>0</v>
      </c>
      <c r="H60" s="99">
        <v>2.7478138689341716</v>
      </c>
      <c r="I60" s="99">
        <v>1790.4755169975062</v>
      </c>
      <c r="J60" s="99">
        <v>1.109989347224289</v>
      </c>
      <c r="K60" s="99">
        <v>723.26905865134677</v>
      </c>
      <c r="L60" s="99">
        <v>4.8739941046173341</v>
      </c>
      <c r="M60" s="99">
        <v>3175.8945585686552</v>
      </c>
      <c r="N60" s="99">
        <v>3</v>
      </c>
      <c r="O60" s="99">
        <v>1954.8000000000002</v>
      </c>
      <c r="P60" s="99">
        <v>4</v>
      </c>
      <c r="Q60" s="99">
        <v>2606.4</v>
      </c>
      <c r="R60" s="99">
        <v>0.64900116919319262</v>
      </c>
      <c r="S60" s="99">
        <v>422.88916184628431</v>
      </c>
      <c r="T60" s="99">
        <v>2</v>
      </c>
      <c r="U60" s="99">
        <v>1303.2</v>
      </c>
      <c r="V60" s="99">
        <v>3</v>
      </c>
      <c r="W60" s="99">
        <v>1954.8000000000002</v>
      </c>
      <c r="X60" s="99">
        <v>4</v>
      </c>
      <c r="Y60" s="99">
        <v>2606.4</v>
      </c>
      <c r="Z60" s="99">
        <v>3</v>
      </c>
      <c r="AA60" s="99">
        <v>1954.8000000000002</v>
      </c>
      <c r="AB60" s="99">
        <v>3</v>
      </c>
      <c r="AC60" s="99">
        <v>1954.8000000000002</v>
      </c>
      <c r="AD60" s="99">
        <v>3</v>
      </c>
      <c r="AE60" s="99">
        <v>1954.8000000000002</v>
      </c>
      <c r="AF60" s="99">
        <v>3</v>
      </c>
      <c r="AG60" s="99">
        <v>1954.8000000000002</v>
      </c>
      <c r="AH60" s="99">
        <v>0.66050093413979616</v>
      </c>
      <c r="AI60" s="99">
        <v>430.38240868549121</v>
      </c>
      <c r="AJ60" s="99">
        <v>3</v>
      </c>
      <c r="AK60" s="99">
        <v>1954.8000000000002</v>
      </c>
      <c r="AL60" s="99">
        <v>3</v>
      </c>
      <c r="AM60" s="99">
        <v>1954.8000000000002</v>
      </c>
      <c r="AN60" s="99">
        <v>4</v>
      </c>
      <c r="AO60" s="99">
        <v>2606.4</v>
      </c>
      <c r="AP60" s="99">
        <v>3</v>
      </c>
      <c r="AQ60" s="99">
        <v>1954.8000000000002</v>
      </c>
      <c r="AR60" s="99">
        <v>3</v>
      </c>
      <c r="AS60" s="99">
        <v>1954.8000000000002</v>
      </c>
      <c r="AT60" s="99">
        <v>1.1716494413779248</v>
      </c>
      <c r="AU60" s="99">
        <v>763.44677600185582</v>
      </c>
      <c r="AV60" s="99">
        <v>3</v>
      </c>
      <c r="AW60" s="99">
        <v>1954.8000000000002</v>
      </c>
      <c r="AX60" s="99">
        <v>3</v>
      </c>
      <c r="AY60" s="99">
        <v>1954.8000000000002</v>
      </c>
      <c r="AZ60" s="99">
        <v>4</v>
      </c>
      <c r="BA60" s="99">
        <v>2606.4</v>
      </c>
      <c r="BB60" s="99">
        <v>4</v>
      </c>
      <c r="BC60" s="99">
        <v>2606.4</v>
      </c>
      <c r="BD60" s="99">
        <v>2</v>
      </c>
      <c r="BE60" s="99">
        <v>1303.2</v>
      </c>
      <c r="BF60" s="99">
        <v>2</v>
      </c>
      <c r="BG60" s="99">
        <v>1303.2</v>
      </c>
      <c r="BH60" s="99">
        <v>2</v>
      </c>
      <c r="BI60" s="99">
        <v>1303.2</v>
      </c>
      <c r="BJ60" s="99">
        <v>3</v>
      </c>
      <c r="BK60" s="99">
        <v>1954.8000000000002</v>
      </c>
      <c r="BL60" s="99">
        <v>2.7209459843554251</v>
      </c>
      <c r="BM60" s="99">
        <v>1772.9684034059951</v>
      </c>
      <c r="BN60" s="99">
        <v>1.5087888669117426</v>
      </c>
      <c r="BO60" s="99">
        <v>983.12682567969148</v>
      </c>
      <c r="BP60" s="99">
        <v>2</v>
      </c>
      <c r="BQ60" s="99">
        <v>1303.2</v>
      </c>
      <c r="BR60" s="99">
        <v>1.7615713204399046</v>
      </c>
      <c r="BS60" s="99">
        <v>1147.8398723986418</v>
      </c>
      <c r="BT60" s="99">
        <v>3</v>
      </c>
      <c r="BU60" s="99">
        <v>1954.8000000000002</v>
      </c>
      <c r="BV60" s="99">
        <v>2.8689079477022457</v>
      </c>
      <c r="BW60" s="99">
        <v>1869.3804187227834</v>
      </c>
      <c r="BX60" s="99">
        <v>2.3665554424204225</v>
      </c>
      <c r="BY60" s="99">
        <v>1542.0475262811474</v>
      </c>
      <c r="BZ60" s="99">
        <v>0</v>
      </c>
      <c r="CA60" s="99">
        <v>0</v>
      </c>
      <c r="CB60" s="99">
        <v>3</v>
      </c>
      <c r="CC60" s="99">
        <v>1954.8000000000002</v>
      </c>
      <c r="CD60" s="99">
        <v>3</v>
      </c>
      <c r="CE60" s="99">
        <v>1954.8000000000002</v>
      </c>
      <c r="CF60" s="99">
        <v>3</v>
      </c>
      <c r="CG60" s="99">
        <v>1954.8000000000002</v>
      </c>
      <c r="CH60" s="99">
        <v>0.39782040858094214</v>
      </c>
      <c r="CI60" s="99">
        <v>259.21977823134193</v>
      </c>
      <c r="CJ60" s="99">
        <v>0</v>
      </c>
      <c r="CK60" s="99">
        <v>0</v>
      </c>
      <c r="CL60" s="99">
        <v>0</v>
      </c>
      <c r="CM60" s="99">
        <v>0</v>
      </c>
      <c r="CN60" s="99">
        <v>3</v>
      </c>
      <c r="CO60" s="99">
        <v>1954.8000000000002</v>
      </c>
      <c r="CP60" s="99">
        <v>3</v>
      </c>
      <c r="CQ60" s="99">
        <v>1954.8000000000002</v>
      </c>
      <c r="CR60" s="99">
        <v>2.5471347076892705</v>
      </c>
      <c r="CS60" s="99">
        <v>1659.7129755303288</v>
      </c>
      <c r="CT60" s="99">
        <v>0.99903752291499281</v>
      </c>
      <c r="CU60" s="99">
        <v>650.97284993140931</v>
      </c>
    </row>
    <row r="61" spans="2:99">
      <c r="C61" s="98" t="s">
        <v>226</v>
      </c>
      <c r="D61" s="99">
        <v>0</v>
      </c>
      <c r="E61" s="99">
        <v>0</v>
      </c>
      <c r="F61" s="99">
        <v>0</v>
      </c>
      <c r="G61" s="99">
        <v>0</v>
      </c>
      <c r="H61" s="99">
        <v>2.7478138689341716</v>
      </c>
      <c r="I61" s="99">
        <v>2614.8196776777572</v>
      </c>
      <c r="J61" s="99">
        <v>1.521787118502522</v>
      </c>
      <c r="K61" s="99">
        <v>1448.1326219669997</v>
      </c>
      <c r="L61" s="99">
        <v>4.8739941046173341</v>
      </c>
      <c r="M61" s="99">
        <v>4638.0927899538547</v>
      </c>
      <c r="N61" s="99">
        <v>2</v>
      </c>
      <c r="O61" s="99">
        <v>1903.1999999999998</v>
      </c>
      <c r="P61" s="99">
        <v>3</v>
      </c>
      <c r="Q61" s="99">
        <v>2854.7999999999997</v>
      </c>
      <c r="R61" s="99">
        <v>0.64900116919319262</v>
      </c>
      <c r="S61" s="99">
        <v>617.58951260424203</v>
      </c>
      <c r="T61" s="99">
        <v>2</v>
      </c>
      <c r="U61" s="99">
        <v>1903.1999999999998</v>
      </c>
      <c r="V61" s="99">
        <v>3</v>
      </c>
      <c r="W61" s="99">
        <v>2854.7999999999997</v>
      </c>
      <c r="X61" s="99">
        <v>4</v>
      </c>
      <c r="Y61" s="99">
        <v>3806.3999999999996</v>
      </c>
      <c r="Z61" s="99">
        <v>3</v>
      </c>
      <c r="AA61" s="99">
        <v>2854.7999999999997</v>
      </c>
      <c r="AB61" s="99">
        <v>2</v>
      </c>
      <c r="AC61" s="99">
        <v>1903.1999999999998</v>
      </c>
      <c r="AD61" s="99">
        <v>3</v>
      </c>
      <c r="AE61" s="99">
        <v>2854.7999999999997</v>
      </c>
      <c r="AF61" s="99">
        <v>3</v>
      </c>
      <c r="AG61" s="99">
        <v>2854.7999999999997</v>
      </c>
      <c r="AH61" s="99">
        <v>0.66050093413979616</v>
      </c>
      <c r="AI61" s="99">
        <v>628.53268892742994</v>
      </c>
      <c r="AJ61" s="99">
        <v>2</v>
      </c>
      <c r="AK61" s="99">
        <v>1903.1999999999998</v>
      </c>
      <c r="AL61" s="99">
        <v>3</v>
      </c>
      <c r="AM61" s="99">
        <v>2854.7999999999997</v>
      </c>
      <c r="AN61" s="99">
        <v>4</v>
      </c>
      <c r="AO61" s="99">
        <v>3806.3999999999996</v>
      </c>
      <c r="AP61" s="99">
        <v>3</v>
      </c>
      <c r="AQ61" s="99">
        <v>2854.7999999999997</v>
      </c>
      <c r="AR61" s="99">
        <v>3</v>
      </c>
      <c r="AS61" s="99">
        <v>2854.7999999999997</v>
      </c>
      <c r="AT61" s="99">
        <v>1.1716494413779248</v>
      </c>
      <c r="AU61" s="99">
        <v>1114.9416084152331</v>
      </c>
      <c r="AV61" s="99">
        <v>3</v>
      </c>
      <c r="AW61" s="99">
        <v>2854.7999999999997</v>
      </c>
      <c r="AX61" s="99">
        <v>3</v>
      </c>
      <c r="AY61" s="99">
        <v>2854.7999999999997</v>
      </c>
      <c r="AZ61" s="99">
        <v>3</v>
      </c>
      <c r="BA61" s="99">
        <v>2854.7999999999997</v>
      </c>
      <c r="BB61" s="99">
        <v>3</v>
      </c>
      <c r="BC61" s="99">
        <v>2854.7999999999997</v>
      </c>
      <c r="BD61" s="99">
        <v>2</v>
      </c>
      <c r="BE61" s="99">
        <v>1903.1999999999998</v>
      </c>
      <c r="BF61" s="99">
        <v>2</v>
      </c>
      <c r="BG61" s="99">
        <v>1903.1999999999998</v>
      </c>
      <c r="BH61" s="99">
        <v>2</v>
      </c>
      <c r="BI61" s="99">
        <v>1903.1999999999998</v>
      </c>
      <c r="BJ61" s="99">
        <v>2</v>
      </c>
      <c r="BK61" s="99">
        <v>1903.1999999999998</v>
      </c>
      <c r="BL61" s="99">
        <v>2.7209459843554251</v>
      </c>
      <c r="BM61" s="99">
        <v>2589.2521987126224</v>
      </c>
      <c r="BN61" s="99">
        <v>1.5087888669117426</v>
      </c>
      <c r="BO61" s="99">
        <v>1435.7634857532141</v>
      </c>
      <c r="BP61" s="99">
        <v>2</v>
      </c>
      <c r="BQ61" s="99">
        <v>1903.1999999999998</v>
      </c>
      <c r="BR61" s="99">
        <v>1.7615713204399046</v>
      </c>
      <c r="BS61" s="99">
        <v>1676.311268530613</v>
      </c>
      <c r="BT61" s="99">
        <v>3</v>
      </c>
      <c r="BU61" s="99">
        <v>2854.7999999999997</v>
      </c>
      <c r="BV61" s="99">
        <v>1.9126052984681636</v>
      </c>
      <c r="BW61" s="99">
        <v>1820.0352020223042</v>
      </c>
      <c r="BX61" s="99">
        <v>2.3665554424204225</v>
      </c>
      <c r="BY61" s="99">
        <v>2252.014159007274</v>
      </c>
      <c r="BZ61" s="99">
        <v>0</v>
      </c>
      <c r="CA61" s="99">
        <v>0</v>
      </c>
      <c r="CB61" s="99">
        <v>2</v>
      </c>
      <c r="CC61" s="99">
        <v>1903.1999999999998</v>
      </c>
      <c r="CD61" s="99">
        <v>3</v>
      </c>
      <c r="CE61" s="99">
        <v>2854.7999999999997</v>
      </c>
      <c r="CF61" s="99">
        <v>2</v>
      </c>
      <c r="CG61" s="99">
        <v>1903.1999999999998</v>
      </c>
      <c r="CH61" s="99">
        <v>0.39782040858094214</v>
      </c>
      <c r="CI61" s="99">
        <v>378.56590080562449</v>
      </c>
      <c r="CJ61" s="99">
        <v>0</v>
      </c>
      <c r="CK61" s="99">
        <v>0</v>
      </c>
      <c r="CL61" s="99">
        <v>0</v>
      </c>
      <c r="CM61" s="99">
        <v>0</v>
      </c>
      <c r="CN61" s="99">
        <v>3</v>
      </c>
      <c r="CO61" s="99">
        <v>2854.7999999999997</v>
      </c>
      <c r="CP61" s="99">
        <v>3</v>
      </c>
      <c r="CQ61" s="99">
        <v>2854.7999999999997</v>
      </c>
      <c r="CR61" s="99">
        <v>2.5471347076892705</v>
      </c>
      <c r="CS61" s="99">
        <v>2423.8533878371095</v>
      </c>
      <c r="CT61" s="99">
        <v>0.99903752291499281</v>
      </c>
      <c r="CU61" s="99">
        <v>950.68410680590705</v>
      </c>
    </row>
    <row r="62" spans="2:99">
      <c r="C62" s="98" t="s">
        <v>227</v>
      </c>
      <c r="D62" s="99">
        <v>0</v>
      </c>
      <c r="E62" s="99">
        <v>0</v>
      </c>
      <c r="F62" s="99">
        <v>0</v>
      </c>
      <c r="G62" s="99">
        <v>0</v>
      </c>
      <c r="H62" s="99">
        <v>1.831875912622781</v>
      </c>
      <c r="I62" s="99">
        <v>3123.7148062043661</v>
      </c>
      <c r="J62" s="99">
        <v>1.521787118502522</v>
      </c>
      <c r="K62" s="99">
        <v>2594.9513944705004</v>
      </c>
      <c r="L62" s="99">
        <v>3.8739941046173341</v>
      </c>
      <c r="M62" s="99">
        <v>6605.934747193478</v>
      </c>
      <c r="N62" s="99">
        <v>3</v>
      </c>
      <c r="O62" s="99">
        <v>5115.6000000000004</v>
      </c>
      <c r="P62" s="99">
        <v>3</v>
      </c>
      <c r="Q62" s="99">
        <v>5115.6000000000004</v>
      </c>
      <c r="R62" s="99">
        <v>0.64900116919319262</v>
      </c>
      <c r="S62" s="99">
        <v>1106.676793708232</v>
      </c>
      <c r="T62" s="99">
        <v>2</v>
      </c>
      <c r="U62" s="99">
        <v>3410.4</v>
      </c>
      <c r="V62" s="99">
        <v>3</v>
      </c>
      <c r="W62" s="99">
        <v>5115.6000000000004</v>
      </c>
      <c r="X62" s="99">
        <v>3</v>
      </c>
      <c r="Y62" s="99">
        <v>5115.6000000000004</v>
      </c>
      <c r="Z62" s="99">
        <v>3</v>
      </c>
      <c r="AA62" s="99">
        <v>5115.6000000000004</v>
      </c>
      <c r="AB62" s="99">
        <v>2</v>
      </c>
      <c r="AC62" s="99">
        <v>3410.4</v>
      </c>
      <c r="AD62" s="99">
        <v>2</v>
      </c>
      <c r="AE62" s="99">
        <v>3410.4</v>
      </c>
      <c r="AF62" s="99">
        <v>2</v>
      </c>
      <c r="AG62" s="99">
        <v>3410.4</v>
      </c>
      <c r="AH62" s="99">
        <v>0.66050093413979616</v>
      </c>
      <c r="AI62" s="99">
        <v>1126.2861928951804</v>
      </c>
      <c r="AJ62" s="99">
        <v>2</v>
      </c>
      <c r="AK62" s="99">
        <v>3410.4</v>
      </c>
      <c r="AL62" s="99">
        <v>3</v>
      </c>
      <c r="AM62" s="99">
        <v>5115.6000000000004</v>
      </c>
      <c r="AN62" s="99">
        <v>3</v>
      </c>
      <c r="AO62" s="99">
        <v>5115.6000000000004</v>
      </c>
      <c r="AP62" s="99">
        <v>2</v>
      </c>
      <c r="AQ62" s="99">
        <v>3410.4</v>
      </c>
      <c r="AR62" s="99">
        <v>3</v>
      </c>
      <c r="AS62" s="99">
        <v>5115.6000000000004</v>
      </c>
      <c r="AT62" s="99">
        <v>1.1716494413779248</v>
      </c>
      <c r="AU62" s="99">
        <v>1997.8966274376376</v>
      </c>
      <c r="AV62" s="99">
        <v>2</v>
      </c>
      <c r="AW62" s="99">
        <v>3410.4</v>
      </c>
      <c r="AX62" s="99">
        <v>3</v>
      </c>
      <c r="AY62" s="99">
        <v>5115.6000000000004</v>
      </c>
      <c r="AZ62" s="99">
        <v>4</v>
      </c>
      <c r="BA62" s="99">
        <v>6820.8</v>
      </c>
      <c r="BB62" s="99">
        <v>3</v>
      </c>
      <c r="BC62" s="99">
        <v>5115.6000000000004</v>
      </c>
      <c r="BD62" s="99">
        <v>2</v>
      </c>
      <c r="BE62" s="99">
        <v>3410.4</v>
      </c>
      <c r="BF62" s="99">
        <v>2</v>
      </c>
      <c r="BG62" s="99">
        <v>3410.4</v>
      </c>
      <c r="BH62" s="99">
        <v>2</v>
      </c>
      <c r="BI62" s="99">
        <v>3410.4</v>
      </c>
      <c r="BJ62" s="99">
        <v>2</v>
      </c>
      <c r="BK62" s="99">
        <v>3410.4</v>
      </c>
      <c r="BL62" s="99">
        <v>1.8139639895702835</v>
      </c>
      <c r="BM62" s="99">
        <v>3093.1713950152475</v>
      </c>
      <c r="BN62" s="99">
        <v>1.5087888669117426</v>
      </c>
      <c r="BO62" s="99">
        <v>2572.7867758579036</v>
      </c>
      <c r="BP62" s="99">
        <v>2</v>
      </c>
      <c r="BQ62" s="99">
        <v>3410.4</v>
      </c>
      <c r="BR62" s="99">
        <v>1.1743808802932698</v>
      </c>
      <c r="BS62" s="99">
        <v>2002.5542770760837</v>
      </c>
      <c r="BT62" s="99">
        <v>3</v>
      </c>
      <c r="BU62" s="99">
        <v>5115.6000000000004</v>
      </c>
      <c r="BV62" s="99">
        <v>1.9126052984681636</v>
      </c>
      <c r="BW62" s="99">
        <v>3261.3745549479127</v>
      </c>
      <c r="BX62" s="99">
        <v>1.5777036282802819</v>
      </c>
      <c r="BY62" s="99">
        <v>2690.3002269435369</v>
      </c>
      <c r="BZ62" s="99">
        <v>0</v>
      </c>
      <c r="CA62" s="99">
        <v>0</v>
      </c>
      <c r="CB62" s="99">
        <v>2</v>
      </c>
      <c r="CC62" s="99">
        <v>3410.4</v>
      </c>
      <c r="CD62" s="99">
        <v>2</v>
      </c>
      <c r="CE62" s="99">
        <v>3410.4</v>
      </c>
      <c r="CF62" s="99">
        <v>2</v>
      </c>
      <c r="CG62" s="99">
        <v>3410.4</v>
      </c>
      <c r="CH62" s="99">
        <v>0.39782040858094214</v>
      </c>
      <c r="CI62" s="99">
        <v>678.36336071222252</v>
      </c>
      <c r="CJ62" s="99">
        <v>0</v>
      </c>
      <c r="CK62" s="99">
        <v>0</v>
      </c>
      <c r="CL62" s="99">
        <v>0</v>
      </c>
      <c r="CM62" s="99">
        <v>0</v>
      </c>
      <c r="CN62" s="99">
        <v>3</v>
      </c>
      <c r="CO62" s="99">
        <v>5115.6000000000004</v>
      </c>
      <c r="CP62" s="99">
        <v>3</v>
      </c>
      <c r="CQ62" s="99">
        <v>5115.6000000000004</v>
      </c>
      <c r="CR62" s="99">
        <v>2.5471347076892705</v>
      </c>
      <c r="CS62" s="99">
        <v>4343.3741035517442</v>
      </c>
      <c r="CT62" s="99">
        <v>0.99903752291499281</v>
      </c>
      <c r="CU62" s="99">
        <v>1703.5587840746457</v>
      </c>
    </row>
    <row r="63" spans="2:99">
      <c r="C63" s="98" t="s">
        <v>228</v>
      </c>
      <c r="D63" s="99">
        <v>0</v>
      </c>
      <c r="E63" s="99">
        <v>0</v>
      </c>
      <c r="F63" s="99">
        <v>0</v>
      </c>
      <c r="G63" s="99">
        <v>0</v>
      </c>
      <c r="H63" s="99">
        <v>2.7478138689341716</v>
      </c>
      <c r="I63" s="99">
        <v>2186.160714124027</v>
      </c>
      <c r="J63" s="99">
        <v>1.521787118502522</v>
      </c>
      <c r="K63" s="99">
        <v>1210.7338314806066</v>
      </c>
      <c r="L63" s="99">
        <v>3.8739941046173341</v>
      </c>
      <c r="M63" s="99">
        <v>3082.1497096335511</v>
      </c>
      <c r="N63" s="99">
        <v>3</v>
      </c>
      <c r="O63" s="99">
        <v>2386.8000000000002</v>
      </c>
      <c r="P63" s="99">
        <v>3</v>
      </c>
      <c r="Q63" s="99">
        <v>2386.8000000000002</v>
      </c>
      <c r="R63" s="99">
        <v>0.64900116919319262</v>
      </c>
      <c r="S63" s="99">
        <v>516.34533021010407</v>
      </c>
      <c r="T63" s="99">
        <v>2</v>
      </c>
      <c r="U63" s="99">
        <v>1591.2</v>
      </c>
      <c r="V63" s="99">
        <v>3</v>
      </c>
      <c r="W63" s="99">
        <v>2386.8000000000002</v>
      </c>
      <c r="X63" s="99">
        <v>4</v>
      </c>
      <c r="Y63" s="99">
        <v>3182.4</v>
      </c>
      <c r="Z63" s="99">
        <v>4</v>
      </c>
      <c r="AA63" s="99">
        <v>3182.4</v>
      </c>
      <c r="AB63" s="99">
        <v>3</v>
      </c>
      <c r="AC63" s="99">
        <v>2386.8000000000002</v>
      </c>
      <c r="AD63" s="99">
        <v>3</v>
      </c>
      <c r="AE63" s="99">
        <v>2386.8000000000002</v>
      </c>
      <c r="AF63" s="99">
        <v>2</v>
      </c>
      <c r="AG63" s="99">
        <v>1591.2</v>
      </c>
      <c r="AH63" s="99">
        <v>0.66050093413979616</v>
      </c>
      <c r="AI63" s="99">
        <v>525.49454320162181</v>
      </c>
      <c r="AJ63" s="99">
        <v>2</v>
      </c>
      <c r="AK63" s="99">
        <v>1591.2</v>
      </c>
      <c r="AL63" s="99">
        <v>3</v>
      </c>
      <c r="AM63" s="99">
        <v>2386.8000000000002</v>
      </c>
      <c r="AN63" s="99">
        <v>4</v>
      </c>
      <c r="AO63" s="99">
        <v>3182.4</v>
      </c>
      <c r="AP63" s="99">
        <v>3</v>
      </c>
      <c r="AQ63" s="99">
        <v>2386.8000000000002</v>
      </c>
      <c r="AR63" s="99">
        <v>3</v>
      </c>
      <c r="AS63" s="99">
        <v>2386.8000000000002</v>
      </c>
      <c r="AT63" s="99">
        <v>1.1716494413779248</v>
      </c>
      <c r="AU63" s="99">
        <v>932.16429556027697</v>
      </c>
      <c r="AV63" s="99">
        <v>3</v>
      </c>
      <c r="AW63" s="99">
        <v>2386.8000000000002</v>
      </c>
      <c r="AX63" s="99">
        <v>3</v>
      </c>
      <c r="AY63" s="99">
        <v>2386.8000000000002</v>
      </c>
      <c r="AZ63" s="99">
        <v>4</v>
      </c>
      <c r="BA63" s="99">
        <v>3182.4</v>
      </c>
      <c r="BB63" s="99">
        <v>3</v>
      </c>
      <c r="BC63" s="99">
        <v>2386.8000000000002</v>
      </c>
      <c r="BD63" s="99">
        <v>2</v>
      </c>
      <c r="BE63" s="99">
        <v>1591.2</v>
      </c>
      <c r="BF63" s="99">
        <v>2</v>
      </c>
      <c r="BG63" s="99">
        <v>1591.2</v>
      </c>
      <c r="BH63" s="99">
        <v>2</v>
      </c>
      <c r="BI63" s="99">
        <v>1591.2</v>
      </c>
      <c r="BJ63" s="99">
        <v>2</v>
      </c>
      <c r="BK63" s="99">
        <v>1591.2</v>
      </c>
      <c r="BL63" s="99">
        <v>2.7209459843554251</v>
      </c>
      <c r="BM63" s="99">
        <v>2164.7846251531764</v>
      </c>
      <c r="BN63" s="99">
        <v>1.5087888669117426</v>
      </c>
      <c r="BO63" s="99">
        <v>1200.3924225149824</v>
      </c>
      <c r="BP63" s="99">
        <v>2</v>
      </c>
      <c r="BQ63" s="99">
        <v>1591.2</v>
      </c>
      <c r="BR63" s="99">
        <v>1.7615713204399046</v>
      </c>
      <c r="BS63" s="99">
        <v>1401.5061425419881</v>
      </c>
      <c r="BT63" s="99">
        <v>3</v>
      </c>
      <c r="BU63" s="99">
        <v>2386.8000000000002</v>
      </c>
      <c r="BV63" s="99">
        <v>2.8689079477022457</v>
      </c>
      <c r="BW63" s="99">
        <v>2282.5031631919069</v>
      </c>
      <c r="BX63" s="99">
        <v>1.5777036282802819</v>
      </c>
      <c r="BY63" s="99">
        <v>1255.2210066597922</v>
      </c>
      <c r="BZ63" s="99">
        <v>0</v>
      </c>
      <c r="CA63" s="99">
        <v>0</v>
      </c>
      <c r="CB63" s="99">
        <v>3</v>
      </c>
      <c r="CC63" s="99">
        <v>2386.8000000000002</v>
      </c>
      <c r="CD63" s="99">
        <v>3</v>
      </c>
      <c r="CE63" s="99">
        <v>2386.8000000000002</v>
      </c>
      <c r="CF63" s="99">
        <v>3</v>
      </c>
      <c r="CG63" s="99">
        <v>2386.8000000000002</v>
      </c>
      <c r="CH63" s="99">
        <v>0.39782040858094214</v>
      </c>
      <c r="CI63" s="99">
        <v>316.5059170669976</v>
      </c>
      <c r="CJ63" s="99">
        <v>0</v>
      </c>
      <c r="CK63" s="99">
        <v>0</v>
      </c>
      <c r="CL63" s="99">
        <v>0</v>
      </c>
      <c r="CM63" s="99">
        <v>0</v>
      </c>
      <c r="CN63" s="99">
        <v>3</v>
      </c>
      <c r="CO63" s="99">
        <v>2386.8000000000002</v>
      </c>
      <c r="CP63" s="99">
        <v>3</v>
      </c>
      <c r="CQ63" s="99">
        <v>2386.8000000000002</v>
      </c>
      <c r="CR63" s="99">
        <v>2.5471347076892705</v>
      </c>
      <c r="CS63" s="99">
        <v>2026.5003734375837</v>
      </c>
      <c r="CT63" s="99">
        <v>0.99903752291499281</v>
      </c>
      <c r="CU63" s="99">
        <v>794.8342532311683</v>
      </c>
    </row>
    <row r="64" spans="2:99">
      <c r="C64" s="98" t="s">
        <v>229</v>
      </c>
      <c r="D64" s="99">
        <v>0</v>
      </c>
      <c r="E64" s="99">
        <v>0</v>
      </c>
      <c r="F64" s="99">
        <v>0</v>
      </c>
      <c r="G64" s="99">
        <v>0</v>
      </c>
      <c r="H64" s="99">
        <v>2.7478138689341716</v>
      </c>
      <c r="I64" s="99">
        <v>2773.0937565283652</v>
      </c>
      <c r="J64" s="99">
        <v>1.521787118502522</v>
      </c>
      <c r="K64" s="99">
        <v>1535.7875599927449</v>
      </c>
      <c r="L64" s="99">
        <v>3.8739941046173341</v>
      </c>
      <c r="M64" s="99">
        <v>3909.6348503798126</v>
      </c>
      <c r="N64" s="99">
        <v>2</v>
      </c>
      <c r="O64" s="99">
        <v>2018.3999999999996</v>
      </c>
      <c r="P64" s="99">
        <v>3</v>
      </c>
      <c r="Q64" s="99">
        <v>3027.5999999999995</v>
      </c>
      <c r="R64" s="99">
        <v>0.64900116919319262</v>
      </c>
      <c r="S64" s="99">
        <v>654.97197994976989</v>
      </c>
      <c r="T64" s="99">
        <v>2</v>
      </c>
      <c r="U64" s="99">
        <v>2018.3999999999996</v>
      </c>
      <c r="V64" s="99">
        <v>3</v>
      </c>
      <c r="W64" s="99">
        <v>3027.5999999999995</v>
      </c>
      <c r="X64" s="99">
        <v>3</v>
      </c>
      <c r="Y64" s="99">
        <v>3027.5999999999995</v>
      </c>
      <c r="Z64" s="99">
        <v>4</v>
      </c>
      <c r="AA64" s="99">
        <v>4036.7999999999993</v>
      </c>
      <c r="AB64" s="99">
        <v>2</v>
      </c>
      <c r="AC64" s="99">
        <v>2018.3999999999996</v>
      </c>
      <c r="AD64" s="99">
        <v>3</v>
      </c>
      <c r="AE64" s="99">
        <v>3027.5999999999995</v>
      </c>
      <c r="AF64" s="99">
        <v>2</v>
      </c>
      <c r="AG64" s="99">
        <v>2018.3999999999996</v>
      </c>
      <c r="AH64" s="99">
        <v>0.66050093413979616</v>
      </c>
      <c r="AI64" s="99">
        <v>666.57754273388218</v>
      </c>
      <c r="AJ64" s="99">
        <v>2</v>
      </c>
      <c r="AK64" s="99">
        <v>2018.3999999999996</v>
      </c>
      <c r="AL64" s="99">
        <v>3</v>
      </c>
      <c r="AM64" s="99">
        <v>3027.5999999999995</v>
      </c>
      <c r="AN64" s="99">
        <v>4</v>
      </c>
      <c r="AO64" s="99">
        <v>4036.7999999999993</v>
      </c>
      <c r="AP64" s="99">
        <v>3</v>
      </c>
      <c r="AQ64" s="99">
        <v>3027.5999999999995</v>
      </c>
      <c r="AR64" s="99">
        <v>3</v>
      </c>
      <c r="AS64" s="99">
        <v>3027.5999999999995</v>
      </c>
      <c r="AT64" s="99">
        <v>1.1716494413779248</v>
      </c>
      <c r="AU64" s="99">
        <v>1182.4286162386015</v>
      </c>
      <c r="AV64" s="99">
        <v>3</v>
      </c>
      <c r="AW64" s="99">
        <v>3027.5999999999995</v>
      </c>
      <c r="AX64" s="99">
        <v>3</v>
      </c>
      <c r="AY64" s="99">
        <v>3027.5999999999995</v>
      </c>
      <c r="AZ64" s="99">
        <v>3</v>
      </c>
      <c r="BA64" s="99">
        <v>3027.5999999999995</v>
      </c>
      <c r="BB64" s="99">
        <v>3</v>
      </c>
      <c r="BC64" s="99">
        <v>3027.5999999999995</v>
      </c>
      <c r="BD64" s="99">
        <v>2</v>
      </c>
      <c r="BE64" s="99">
        <v>2018.3999999999996</v>
      </c>
      <c r="BF64" s="99">
        <v>2</v>
      </c>
      <c r="BG64" s="99">
        <v>2018.3999999999996</v>
      </c>
      <c r="BH64" s="99">
        <v>2</v>
      </c>
      <c r="BI64" s="99">
        <v>2018.3999999999996</v>
      </c>
      <c r="BJ64" s="99">
        <v>2</v>
      </c>
      <c r="BK64" s="99">
        <v>2018.3999999999996</v>
      </c>
      <c r="BL64" s="99">
        <v>1.8139639895702835</v>
      </c>
      <c r="BM64" s="99">
        <v>1830.6524582743298</v>
      </c>
      <c r="BN64" s="99">
        <v>1.5087888669117426</v>
      </c>
      <c r="BO64" s="99">
        <v>1522.6697244873303</v>
      </c>
      <c r="BP64" s="99">
        <v>2</v>
      </c>
      <c r="BQ64" s="99">
        <v>2018.3999999999996</v>
      </c>
      <c r="BR64" s="99">
        <v>1.7615713204399046</v>
      </c>
      <c r="BS64" s="99">
        <v>1777.7777765879514</v>
      </c>
      <c r="BT64" s="99">
        <v>3</v>
      </c>
      <c r="BU64" s="99">
        <v>3027.5999999999995</v>
      </c>
      <c r="BV64" s="99">
        <v>1.9126052984681636</v>
      </c>
      <c r="BW64" s="99">
        <v>1930.2012672140704</v>
      </c>
      <c r="BX64" s="99">
        <v>1.5777036282802819</v>
      </c>
      <c r="BY64" s="99">
        <v>1592.2185016604601</v>
      </c>
      <c r="BZ64" s="99">
        <v>0</v>
      </c>
      <c r="CA64" s="99">
        <v>0</v>
      </c>
      <c r="CB64" s="99">
        <v>2</v>
      </c>
      <c r="CC64" s="99">
        <v>2018.3999999999996</v>
      </c>
      <c r="CD64" s="99">
        <v>3</v>
      </c>
      <c r="CE64" s="99">
        <v>3027.5999999999995</v>
      </c>
      <c r="CF64" s="99">
        <v>3</v>
      </c>
      <c r="CG64" s="99">
        <v>3027.5999999999995</v>
      </c>
      <c r="CH64" s="99">
        <v>0.39782040858094214</v>
      </c>
      <c r="CI64" s="99">
        <v>401.48035633988673</v>
      </c>
      <c r="CJ64" s="99">
        <v>0</v>
      </c>
      <c r="CK64" s="99">
        <v>0</v>
      </c>
      <c r="CL64" s="99">
        <v>0</v>
      </c>
      <c r="CM64" s="99">
        <v>0</v>
      </c>
      <c r="CN64" s="99">
        <v>3</v>
      </c>
      <c r="CO64" s="99">
        <v>3027.5999999999995</v>
      </c>
      <c r="CP64" s="99">
        <v>3</v>
      </c>
      <c r="CQ64" s="99">
        <v>3027.5999999999995</v>
      </c>
      <c r="CR64" s="99">
        <v>2.5471347076892705</v>
      </c>
      <c r="CS64" s="99">
        <v>2570.5683470000113</v>
      </c>
      <c r="CT64" s="99">
        <v>0.99903752291499281</v>
      </c>
      <c r="CU64" s="99">
        <v>1008.2286681258106</v>
      </c>
    </row>
    <row r="65" spans="2:99">
      <c r="C65" s="98" t="s">
        <v>230</v>
      </c>
      <c r="D65" s="99">
        <v>0</v>
      </c>
      <c r="E65" s="99">
        <v>0</v>
      </c>
      <c r="F65" s="99">
        <v>0</v>
      </c>
      <c r="G65" s="99">
        <v>0</v>
      </c>
      <c r="H65" s="99">
        <v>1.831875912622781</v>
      </c>
      <c r="I65" s="99">
        <v>1879.5046863509733</v>
      </c>
      <c r="J65" s="99">
        <v>1.4645083575689573</v>
      </c>
      <c r="K65" s="99">
        <v>1502.5855748657502</v>
      </c>
      <c r="L65" s="99">
        <v>4.6991952836938671</v>
      </c>
      <c r="M65" s="99">
        <v>4821.3743610699075</v>
      </c>
      <c r="N65" s="99">
        <v>2</v>
      </c>
      <c r="O65" s="99">
        <v>2052</v>
      </c>
      <c r="P65" s="99">
        <v>3</v>
      </c>
      <c r="Q65" s="99">
        <v>3078</v>
      </c>
      <c r="R65" s="99">
        <v>0.64900116919319262</v>
      </c>
      <c r="S65" s="99">
        <v>665.87519959221561</v>
      </c>
      <c r="T65" s="99">
        <v>2</v>
      </c>
      <c r="U65" s="99">
        <v>2052</v>
      </c>
      <c r="V65" s="99">
        <v>3</v>
      </c>
      <c r="W65" s="99">
        <v>3078</v>
      </c>
      <c r="X65" s="99">
        <v>3</v>
      </c>
      <c r="Y65" s="99">
        <v>3078</v>
      </c>
      <c r="Z65" s="99">
        <v>4</v>
      </c>
      <c r="AA65" s="99">
        <v>4104</v>
      </c>
      <c r="AB65" s="99">
        <v>2</v>
      </c>
      <c r="AC65" s="99">
        <v>2052</v>
      </c>
      <c r="AD65" s="99">
        <v>2</v>
      </c>
      <c r="AE65" s="99">
        <v>2052</v>
      </c>
      <c r="AF65" s="99">
        <v>2</v>
      </c>
      <c r="AG65" s="99">
        <v>2052</v>
      </c>
      <c r="AH65" s="99">
        <v>0.66050093413979616</v>
      </c>
      <c r="AI65" s="99">
        <v>677.67395842743088</v>
      </c>
      <c r="AJ65" s="99">
        <v>2</v>
      </c>
      <c r="AK65" s="99">
        <v>2052</v>
      </c>
      <c r="AL65" s="99">
        <v>3</v>
      </c>
      <c r="AM65" s="99">
        <v>3078</v>
      </c>
      <c r="AN65" s="99">
        <v>4</v>
      </c>
      <c r="AO65" s="99">
        <v>4104</v>
      </c>
      <c r="AP65" s="99">
        <v>3</v>
      </c>
      <c r="AQ65" s="99">
        <v>3078</v>
      </c>
      <c r="AR65" s="99">
        <v>3</v>
      </c>
      <c r="AS65" s="99">
        <v>3078</v>
      </c>
      <c r="AT65" s="99">
        <v>1.1716494413779248</v>
      </c>
      <c r="AU65" s="99">
        <v>1202.1123268537508</v>
      </c>
      <c r="AV65" s="99">
        <v>3</v>
      </c>
      <c r="AW65" s="99">
        <v>3078</v>
      </c>
      <c r="AX65" s="99">
        <v>3</v>
      </c>
      <c r="AY65" s="99">
        <v>3078</v>
      </c>
      <c r="AZ65" s="99">
        <v>4</v>
      </c>
      <c r="BA65" s="99">
        <v>4104</v>
      </c>
      <c r="BB65" s="99">
        <v>3</v>
      </c>
      <c r="BC65" s="99">
        <v>3078</v>
      </c>
      <c r="BD65" s="99">
        <v>2</v>
      </c>
      <c r="BE65" s="99">
        <v>2052</v>
      </c>
      <c r="BF65" s="99">
        <v>2</v>
      </c>
      <c r="BG65" s="99">
        <v>2052</v>
      </c>
      <c r="BH65" s="99">
        <v>2</v>
      </c>
      <c r="BI65" s="99">
        <v>2052</v>
      </c>
      <c r="BJ65" s="99">
        <v>2</v>
      </c>
      <c r="BK65" s="99">
        <v>2052</v>
      </c>
      <c r="BL65" s="99">
        <v>2.7209459843554251</v>
      </c>
      <c r="BM65" s="99">
        <v>2791.6905799486663</v>
      </c>
      <c r="BN65" s="99">
        <v>1.5087888669117426</v>
      </c>
      <c r="BO65" s="99">
        <v>1548.0173774514478</v>
      </c>
      <c r="BP65" s="99">
        <v>2</v>
      </c>
      <c r="BQ65" s="99">
        <v>2052</v>
      </c>
      <c r="BR65" s="99">
        <v>1.7615713204399046</v>
      </c>
      <c r="BS65" s="99">
        <v>1807.3721747713421</v>
      </c>
      <c r="BT65" s="99">
        <v>3</v>
      </c>
      <c r="BU65" s="99">
        <v>3078</v>
      </c>
      <c r="BV65" s="99">
        <v>2.8689079477022457</v>
      </c>
      <c r="BW65" s="99">
        <v>2943.4995543425039</v>
      </c>
      <c r="BX65" s="99">
        <v>1.5777036282802819</v>
      </c>
      <c r="BY65" s="99">
        <v>1618.7239226155691</v>
      </c>
      <c r="BZ65" s="99">
        <v>0</v>
      </c>
      <c r="CA65" s="99">
        <v>0</v>
      </c>
      <c r="CB65" s="99">
        <v>2</v>
      </c>
      <c r="CC65" s="99">
        <v>2052</v>
      </c>
      <c r="CD65" s="99">
        <v>2</v>
      </c>
      <c r="CE65" s="99">
        <v>2052</v>
      </c>
      <c r="CF65" s="99">
        <v>2</v>
      </c>
      <c r="CG65" s="99">
        <v>2052</v>
      </c>
      <c r="CH65" s="99">
        <v>0.39782040858094214</v>
      </c>
      <c r="CI65" s="99">
        <v>408.16373920404664</v>
      </c>
      <c r="CJ65" s="99">
        <v>0</v>
      </c>
      <c r="CK65" s="99">
        <v>0</v>
      </c>
      <c r="CL65" s="99">
        <v>0</v>
      </c>
      <c r="CM65" s="99">
        <v>0</v>
      </c>
      <c r="CN65" s="99">
        <v>3</v>
      </c>
      <c r="CO65" s="99">
        <v>3078</v>
      </c>
      <c r="CP65" s="99">
        <v>3</v>
      </c>
      <c r="CQ65" s="99">
        <v>3078</v>
      </c>
      <c r="CR65" s="99">
        <v>2.5471347076892705</v>
      </c>
      <c r="CS65" s="99">
        <v>2613.3602100891917</v>
      </c>
      <c r="CT65" s="99">
        <v>0.99903752291499281</v>
      </c>
      <c r="CU65" s="99">
        <v>1025.0124985107827</v>
      </c>
    </row>
    <row r="66" spans="2:99">
      <c r="C66" s="98" t="s">
        <v>231</v>
      </c>
      <c r="D66" s="99">
        <v>0</v>
      </c>
      <c r="E66" s="99">
        <v>0</v>
      </c>
      <c r="F66" s="99">
        <v>0</v>
      </c>
      <c r="G66" s="99">
        <v>0</v>
      </c>
      <c r="H66" s="99">
        <v>2.7478138689341716</v>
      </c>
      <c r="I66" s="99">
        <v>3270.9976295792376</v>
      </c>
      <c r="J66" s="99">
        <v>1.521787118502522</v>
      </c>
      <c r="K66" s="99">
        <v>1811.5353858654021</v>
      </c>
      <c r="L66" s="99">
        <v>4.8739941046173341</v>
      </c>
      <c r="M66" s="99">
        <v>5802.0025821364734</v>
      </c>
      <c r="N66" s="99">
        <v>3</v>
      </c>
      <c r="O66" s="99">
        <v>3571.2</v>
      </c>
      <c r="P66" s="99">
        <v>4</v>
      </c>
      <c r="Q66" s="99">
        <v>4761.5999999999995</v>
      </c>
      <c r="R66" s="99">
        <v>0.64900116919319262</v>
      </c>
      <c r="S66" s="99">
        <v>772.57099180757643</v>
      </c>
      <c r="T66" s="99">
        <v>2</v>
      </c>
      <c r="U66" s="99">
        <v>2380.7999999999997</v>
      </c>
      <c r="V66" s="99">
        <v>3</v>
      </c>
      <c r="W66" s="99">
        <v>3571.2</v>
      </c>
      <c r="X66" s="99">
        <v>4</v>
      </c>
      <c r="Y66" s="99">
        <v>4761.5999999999995</v>
      </c>
      <c r="Z66" s="99">
        <v>3</v>
      </c>
      <c r="AA66" s="99">
        <v>3571.2</v>
      </c>
      <c r="AB66" s="99">
        <v>2</v>
      </c>
      <c r="AC66" s="99">
        <v>2380.7999999999997</v>
      </c>
      <c r="AD66" s="99">
        <v>3</v>
      </c>
      <c r="AE66" s="99">
        <v>3571.2</v>
      </c>
      <c r="AF66" s="99">
        <v>2</v>
      </c>
      <c r="AG66" s="99">
        <v>2380.7999999999997</v>
      </c>
      <c r="AH66" s="99">
        <v>0.66050093413979616</v>
      </c>
      <c r="AI66" s="99">
        <v>786.2603120000133</v>
      </c>
      <c r="AJ66" s="99">
        <v>2</v>
      </c>
      <c r="AK66" s="99">
        <v>2380.7999999999997</v>
      </c>
      <c r="AL66" s="99">
        <v>2</v>
      </c>
      <c r="AM66" s="99">
        <v>2380.7999999999997</v>
      </c>
      <c r="AN66" s="99">
        <v>3</v>
      </c>
      <c r="AO66" s="99">
        <v>3571.2</v>
      </c>
      <c r="AP66" s="99">
        <v>3</v>
      </c>
      <c r="AQ66" s="99">
        <v>3571.2</v>
      </c>
      <c r="AR66" s="99">
        <v>3</v>
      </c>
      <c r="AS66" s="99">
        <v>3571.2</v>
      </c>
      <c r="AT66" s="99">
        <v>1.1716494413779248</v>
      </c>
      <c r="AU66" s="99">
        <v>1394.7314950162815</v>
      </c>
      <c r="AV66" s="99">
        <v>3</v>
      </c>
      <c r="AW66" s="99">
        <v>3571.2</v>
      </c>
      <c r="AX66" s="99">
        <v>3</v>
      </c>
      <c r="AY66" s="99">
        <v>3571.2</v>
      </c>
      <c r="AZ66" s="99">
        <v>4</v>
      </c>
      <c r="BA66" s="99">
        <v>4761.5999999999995</v>
      </c>
      <c r="BB66" s="99">
        <v>3</v>
      </c>
      <c r="BC66" s="99">
        <v>3571.2</v>
      </c>
      <c r="BD66" s="99">
        <v>2</v>
      </c>
      <c r="BE66" s="99">
        <v>2380.7999999999997</v>
      </c>
      <c r="BF66" s="99">
        <v>2</v>
      </c>
      <c r="BG66" s="99">
        <v>2380.7999999999997</v>
      </c>
      <c r="BH66" s="99">
        <v>2</v>
      </c>
      <c r="BI66" s="99">
        <v>2380.7999999999997</v>
      </c>
      <c r="BJ66" s="99">
        <v>2</v>
      </c>
      <c r="BK66" s="99">
        <v>2380.7999999999997</v>
      </c>
      <c r="BL66" s="99">
        <v>2.7209459843554251</v>
      </c>
      <c r="BM66" s="99">
        <v>3239.0140997766975</v>
      </c>
      <c r="BN66" s="99">
        <v>1.5087888669117426</v>
      </c>
      <c r="BO66" s="99">
        <v>1796.0622671717383</v>
      </c>
      <c r="BP66" s="99">
        <v>2</v>
      </c>
      <c r="BQ66" s="99">
        <v>2380.7999999999997</v>
      </c>
      <c r="BR66" s="99">
        <v>1.7615713204399046</v>
      </c>
      <c r="BS66" s="99">
        <v>2096.9744998516621</v>
      </c>
      <c r="BT66" s="99">
        <v>3</v>
      </c>
      <c r="BU66" s="99">
        <v>3571.2</v>
      </c>
      <c r="BV66" s="99">
        <v>1.9126052984681636</v>
      </c>
      <c r="BW66" s="99">
        <v>2276.7653472965017</v>
      </c>
      <c r="BX66" s="99">
        <v>2.3665554424204225</v>
      </c>
      <c r="BY66" s="99">
        <v>2817.1475986572705</v>
      </c>
      <c r="BZ66" s="99">
        <v>0</v>
      </c>
      <c r="CA66" s="99">
        <v>0</v>
      </c>
      <c r="CB66" s="99">
        <v>2</v>
      </c>
      <c r="CC66" s="99">
        <v>2380.7999999999997</v>
      </c>
      <c r="CD66" s="99">
        <v>3</v>
      </c>
      <c r="CE66" s="99">
        <v>3571.2</v>
      </c>
      <c r="CF66" s="99">
        <v>3</v>
      </c>
      <c r="CG66" s="99">
        <v>3571.2</v>
      </c>
      <c r="CH66" s="99">
        <v>0.39782040858094214</v>
      </c>
      <c r="CI66" s="99">
        <v>473.56541437475346</v>
      </c>
      <c r="CJ66" s="99">
        <v>0</v>
      </c>
      <c r="CK66" s="99">
        <v>0</v>
      </c>
      <c r="CL66" s="99">
        <v>0</v>
      </c>
      <c r="CM66" s="99">
        <v>0</v>
      </c>
      <c r="CN66" s="99">
        <v>3</v>
      </c>
      <c r="CO66" s="99">
        <v>3571.2</v>
      </c>
      <c r="CP66" s="99">
        <v>3</v>
      </c>
      <c r="CQ66" s="99">
        <v>3571.2</v>
      </c>
      <c r="CR66" s="99">
        <v>2.5471347076892705</v>
      </c>
      <c r="CS66" s="99">
        <v>3032.1091560333075</v>
      </c>
      <c r="CT66" s="99">
        <v>0.99903752291499281</v>
      </c>
      <c r="CU66" s="99">
        <v>1189.2542672780073</v>
      </c>
    </row>
    <row r="67" spans="2:99">
      <c r="C67" s="98" t="s">
        <v>232</v>
      </c>
      <c r="D67" s="99">
        <v>0</v>
      </c>
      <c r="E67" s="99">
        <v>0</v>
      </c>
      <c r="F67" s="99">
        <v>0</v>
      </c>
      <c r="G67" s="99">
        <v>0</v>
      </c>
      <c r="H67" s="99">
        <v>2.7478138689341716</v>
      </c>
      <c r="I67" s="99">
        <v>3086.3445375868614</v>
      </c>
      <c r="J67" s="99">
        <v>1.4645083575689573</v>
      </c>
      <c r="K67" s="99">
        <v>1644.9357872214528</v>
      </c>
      <c r="L67" s="99">
        <v>3.8739941046173341</v>
      </c>
      <c r="M67" s="99">
        <v>4351.2701783061902</v>
      </c>
      <c r="N67" s="99">
        <v>3</v>
      </c>
      <c r="O67" s="99">
        <v>3369.6000000000004</v>
      </c>
      <c r="P67" s="99">
        <v>3</v>
      </c>
      <c r="Q67" s="99">
        <v>3369.6000000000004</v>
      </c>
      <c r="R67" s="99">
        <v>0.64900116919319262</v>
      </c>
      <c r="S67" s="99">
        <v>728.95811323779401</v>
      </c>
      <c r="T67" s="99">
        <v>2</v>
      </c>
      <c r="U67" s="99">
        <v>2246.4</v>
      </c>
      <c r="V67" s="99">
        <v>3</v>
      </c>
      <c r="W67" s="99">
        <v>3369.6000000000004</v>
      </c>
      <c r="X67" s="99">
        <v>4</v>
      </c>
      <c r="Y67" s="99">
        <v>4492.8</v>
      </c>
      <c r="Z67" s="99">
        <v>4</v>
      </c>
      <c r="AA67" s="99">
        <v>4492.8</v>
      </c>
      <c r="AB67" s="99">
        <v>3</v>
      </c>
      <c r="AC67" s="99">
        <v>3369.6000000000004</v>
      </c>
      <c r="AD67" s="99">
        <v>3</v>
      </c>
      <c r="AE67" s="99">
        <v>3369.6000000000004</v>
      </c>
      <c r="AF67" s="99">
        <v>2</v>
      </c>
      <c r="AG67" s="99">
        <v>2246.4</v>
      </c>
      <c r="AH67" s="99">
        <v>0.66050093413979616</v>
      </c>
      <c r="AI67" s="99">
        <v>741.8746492258191</v>
      </c>
      <c r="AJ67" s="99">
        <v>2</v>
      </c>
      <c r="AK67" s="99">
        <v>2246.4</v>
      </c>
      <c r="AL67" s="99">
        <v>2</v>
      </c>
      <c r="AM67" s="99">
        <v>2246.4</v>
      </c>
      <c r="AN67" s="99">
        <v>3</v>
      </c>
      <c r="AO67" s="99">
        <v>3369.6000000000004</v>
      </c>
      <c r="AP67" s="99">
        <v>3</v>
      </c>
      <c r="AQ67" s="99">
        <v>3369.6000000000004</v>
      </c>
      <c r="AR67" s="99">
        <v>3</v>
      </c>
      <c r="AS67" s="99">
        <v>3369.6000000000004</v>
      </c>
      <c r="AT67" s="99">
        <v>1.1716494413779248</v>
      </c>
      <c r="AU67" s="99">
        <v>1315.9966525556852</v>
      </c>
      <c r="AV67" s="99">
        <v>3</v>
      </c>
      <c r="AW67" s="99">
        <v>3369.6000000000004</v>
      </c>
      <c r="AX67" s="99">
        <v>3</v>
      </c>
      <c r="AY67" s="99">
        <v>3369.6000000000004</v>
      </c>
      <c r="AZ67" s="99">
        <v>3</v>
      </c>
      <c r="BA67" s="99">
        <v>3369.6000000000004</v>
      </c>
      <c r="BB67" s="99">
        <v>4</v>
      </c>
      <c r="BC67" s="99">
        <v>4492.8</v>
      </c>
      <c r="BD67" s="99">
        <v>2</v>
      </c>
      <c r="BE67" s="99">
        <v>2246.4</v>
      </c>
      <c r="BF67" s="99">
        <v>2</v>
      </c>
      <c r="BG67" s="99">
        <v>2246.4</v>
      </c>
      <c r="BH67" s="99">
        <v>2</v>
      </c>
      <c r="BI67" s="99">
        <v>2246.4</v>
      </c>
      <c r="BJ67" s="99">
        <v>2</v>
      </c>
      <c r="BK67" s="99">
        <v>2246.4</v>
      </c>
      <c r="BL67" s="99">
        <v>1.8139639895702835</v>
      </c>
      <c r="BM67" s="99">
        <v>2037.4443530853425</v>
      </c>
      <c r="BN67" s="99">
        <v>1.5087888669117426</v>
      </c>
      <c r="BO67" s="99">
        <v>1694.6716553152694</v>
      </c>
      <c r="BP67" s="99">
        <v>2</v>
      </c>
      <c r="BQ67" s="99">
        <v>2246.4</v>
      </c>
      <c r="BR67" s="99">
        <v>1.1743808802932698</v>
      </c>
      <c r="BS67" s="99">
        <v>1319.0646047454006</v>
      </c>
      <c r="BT67" s="99">
        <v>3</v>
      </c>
      <c r="BU67" s="99">
        <v>3369.6000000000004</v>
      </c>
      <c r="BV67" s="99">
        <v>2.8689079477022457</v>
      </c>
      <c r="BW67" s="99">
        <v>3222.3574068591624</v>
      </c>
      <c r="BX67" s="99">
        <v>1.5777036282802819</v>
      </c>
      <c r="BY67" s="99">
        <v>1772.0767152844128</v>
      </c>
      <c r="BZ67" s="99">
        <v>0</v>
      </c>
      <c r="CA67" s="99">
        <v>0</v>
      </c>
      <c r="CB67" s="99">
        <v>2</v>
      </c>
      <c r="CC67" s="99">
        <v>2246.4</v>
      </c>
      <c r="CD67" s="99">
        <v>3</v>
      </c>
      <c r="CE67" s="99">
        <v>3369.6000000000004</v>
      </c>
      <c r="CF67" s="99">
        <v>3</v>
      </c>
      <c r="CG67" s="99">
        <v>3369.6000000000004</v>
      </c>
      <c r="CH67" s="99">
        <v>0.39782040858094214</v>
      </c>
      <c r="CI67" s="99">
        <v>446.83188291811422</v>
      </c>
      <c r="CJ67" s="99">
        <v>0</v>
      </c>
      <c r="CK67" s="99">
        <v>0</v>
      </c>
      <c r="CL67" s="99">
        <v>0</v>
      </c>
      <c r="CM67" s="99">
        <v>0</v>
      </c>
      <c r="CN67" s="99">
        <v>3</v>
      </c>
      <c r="CO67" s="99">
        <v>3369.6000000000004</v>
      </c>
      <c r="CP67" s="99">
        <v>3</v>
      </c>
      <c r="CQ67" s="99">
        <v>3369.6000000000004</v>
      </c>
      <c r="CR67" s="99">
        <v>2.5471347076892705</v>
      </c>
      <c r="CS67" s="99">
        <v>2860.941703676589</v>
      </c>
      <c r="CT67" s="99">
        <v>0.99903752291499281</v>
      </c>
      <c r="CU67" s="99">
        <v>1122.1189457381199</v>
      </c>
    </row>
    <row r="68" spans="2:99">
      <c r="C68" s="98" t="s">
        <v>233</v>
      </c>
      <c r="D68" s="99">
        <v>0</v>
      </c>
      <c r="E68" s="99">
        <v>0</v>
      </c>
      <c r="F68" s="99">
        <v>0</v>
      </c>
      <c r="G68" s="99">
        <v>0</v>
      </c>
      <c r="H68" s="99">
        <v>2.7478138689341716</v>
      </c>
      <c r="I68" s="99">
        <v>2839.0412893827861</v>
      </c>
      <c r="J68" s="99">
        <v>1.521787118502522</v>
      </c>
      <c r="K68" s="99">
        <v>1572.3104508368058</v>
      </c>
      <c r="L68" s="99">
        <v>3.8739941046173341</v>
      </c>
      <c r="M68" s="99">
        <v>4002.6107088906297</v>
      </c>
      <c r="N68" s="99">
        <v>3</v>
      </c>
      <c r="O68" s="99">
        <v>3099.6000000000004</v>
      </c>
      <c r="P68" s="99">
        <v>3</v>
      </c>
      <c r="Q68" s="99">
        <v>3099.6000000000004</v>
      </c>
      <c r="R68" s="99">
        <v>0.64900116919319262</v>
      </c>
      <c r="S68" s="99">
        <v>670.54800801040665</v>
      </c>
      <c r="T68" s="99">
        <v>2</v>
      </c>
      <c r="U68" s="99">
        <v>2066.4</v>
      </c>
      <c r="V68" s="99">
        <v>3</v>
      </c>
      <c r="W68" s="99">
        <v>3099.6000000000004</v>
      </c>
      <c r="X68" s="99">
        <v>4</v>
      </c>
      <c r="Y68" s="99">
        <v>4132.8</v>
      </c>
      <c r="Z68" s="99">
        <v>4</v>
      </c>
      <c r="AA68" s="99">
        <v>4132.8</v>
      </c>
      <c r="AB68" s="99">
        <v>3</v>
      </c>
      <c r="AC68" s="99">
        <v>3099.6000000000004</v>
      </c>
      <c r="AD68" s="99">
        <v>3</v>
      </c>
      <c r="AE68" s="99">
        <v>3099.6000000000004</v>
      </c>
      <c r="AF68" s="99">
        <v>2</v>
      </c>
      <c r="AG68" s="99">
        <v>2066.4</v>
      </c>
      <c r="AH68" s="99">
        <v>0.66050093413979616</v>
      </c>
      <c r="AI68" s="99">
        <v>682.42956515323738</v>
      </c>
      <c r="AJ68" s="99">
        <v>2</v>
      </c>
      <c r="AK68" s="99">
        <v>2066.4</v>
      </c>
      <c r="AL68" s="99">
        <v>3</v>
      </c>
      <c r="AM68" s="99">
        <v>3099.6000000000004</v>
      </c>
      <c r="AN68" s="99">
        <v>4</v>
      </c>
      <c r="AO68" s="99">
        <v>4132.8</v>
      </c>
      <c r="AP68" s="99">
        <v>3</v>
      </c>
      <c r="AQ68" s="99">
        <v>3099.6000000000004</v>
      </c>
      <c r="AR68" s="99">
        <v>3</v>
      </c>
      <c r="AS68" s="99">
        <v>3099.6000000000004</v>
      </c>
      <c r="AT68" s="99">
        <v>1.1716494413779248</v>
      </c>
      <c r="AU68" s="99">
        <v>1210.5482028316719</v>
      </c>
      <c r="AV68" s="99">
        <v>3</v>
      </c>
      <c r="AW68" s="99">
        <v>3099.6000000000004</v>
      </c>
      <c r="AX68" s="99">
        <v>3</v>
      </c>
      <c r="AY68" s="99">
        <v>3099.6000000000004</v>
      </c>
      <c r="AZ68" s="99">
        <v>4</v>
      </c>
      <c r="BA68" s="99">
        <v>4132.8</v>
      </c>
      <c r="BB68" s="99">
        <v>3</v>
      </c>
      <c r="BC68" s="99">
        <v>3099.6000000000004</v>
      </c>
      <c r="BD68" s="99">
        <v>2</v>
      </c>
      <c r="BE68" s="99">
        <v>2066.4</v>
      </c>
      <c r="BF68" s="99">
        <v>2</v>
      </c>
      <c r="BG68" s="99">
        <v>2066.4</v>
      </c>
      <c r="BH68" s="99">
        <v>2</v>
      </c>
      <c r="BI68" s="99">
        <v>2066.4</v>
      </c>
      <c r="BJ68" s="99">
        <v>2</v>
      </c>
      <c r="BK68" s="99">
        <v>2066.4</v>
      </c>
      <c r="BL68" s="99">
        <v>2.7209459843554251</v>
      </c>
      <c r="BM68" s="99">
        <v>2811.2813910360255</v>
      </c>
      <c r="BN68" s="99">
        <v>1.5087888669117426</v>
      </c>
      <c r="BO68" s="99">
        <v>1558.8806572932126</v>
      </c>
      <c r="BP68" s="99">
        <v>2</v>
      </c>
      <c r="BQ68" s="99">
        <v>2066.4</v>
      </c>
      <c r="BR68" s="99">
        <v>1.7615713204399046</v>
      </c>
      <c r="BS68" s="99">
        <v>1820.0554882785095</v>
      </c>
      <c r="BT68" s="99">
        <v>3</v>
      </c>
      <c r="BU68" s="99">
        <v>3099.6000000000004</v>
      </c>
      <c r="BV68" s="99">
        <v>2.8689079477022457</v>
      </c>
      <c r="BW68" s="99">
        <v>2964.1556915659603</v>
      </c>
      <c r="BX68" s="99">
        <v>1.5777036282802819</v>
      </c>
      <c r="BY68" s="99">
        <v>1630.0833887391873</v>
      </c>
      <c r="BZ68" s="99">
        <v>0</v>
      </c>
      <c r="CA68" s="99">
        <v>0</v>
      </c>
      <c r="CB68" s="99">
        <v>2</v>
      </c>
      <c r="CC68" s="99">
        <v>2066.4</v>
      </c>
      <c r="CD68" s="99">
        <v>3</v>
      </c>
      <c r="CE68" s="99">
        <v>3099.6000000000004</v>
      </c>
      <c r="CF68" s="99">
        <v>3</v>
      </c>
      <c r="CG68" s="99">
        <v>3099.6000000000004</v>
      </c>
      <c r="CH68" s="99">
        <v>0.39782040858094214</v>
      </c>
      <c r="CI68" s="99">
        <v>411.02804614582942</v>
      </c>
      <c r="CJ68" s="99">
        <v>0</v>
      </c>
      <c r="CK68" s="99">
        <v>0</v>
      </c>
      <c r="CL68" s="99">
        <v>0</v>
      </c>
      <c r="CM68" s="99">
        <v>0</v>
      </c>
      <c r="CN68" s="99">
        <v>3</v>
      </c>
      <c r="CO68" s="99">
        <v>3099.6000000000004</v>
      </c>
      <c r="CP68" s="99">
        <v>3</v>
      </c>
      <c r="CQ68" s="99">
        <v>3099.6000000000004</v>
      </c>
      <c r="CR68" s="99">
        <v>2.5471347076892705</v>
      </c>
      <c r="CS68" s="99">
        <v>2631.6995799845545</v>
      </c>
      <c r="CT68" s="99">
        <v>0.99903752291499281</v>
      </c>
      <c r="CU68" s="99">
        <v>1032.2055686757706</v>
      </c>
    </row>
    <row r="69" spans="2:99">
      <c r="C69" s="98" t="s">
        <v>234</v>
      </c>
      <c r="D69" s="99">
        <v>0</v>
      </c>
      <c r="E69" s="99">
        <v>0</v>
      </c>
      <c r="F69" s="99">
        <v>0</v>
      </c>
      <c r="G69" s="99">
        <v>0</v>
      </c>
      <c r="H69" s="99">
        <v>2.7478138689341716</v>
      </c>
      <c r="I69" s="99">
        <v>2083.9420381996756</v>
      </c>
      <c r="J69" s="99">
        <v>1.521787118502522</v>
      </c>
      <c r="K69" s="99">
        <v>1154.1233506723127</v>
      </c>
      <c r="L69" s="99">
        <v>4.8739941046173341</v>
      </c>
      <c r="M69" s="99">
        <v>3696.4371289417859</v>
      </c>
      <c r="N69" s="99">
        <v>3</v>
      </c>
      <c r="O69" s="99">
        <v>2275.1999999999998</v>
      </c>
      <c r="P69" s="99">
        <v>4</v>
      </c>
      <c r="Q69" s="99">
        <v>3033.6</v>
      </c>
      <c r="R69" s="99">
        <v>0.64900116919319262</v>
      </c>
      <c r="S69" s="99">
        <v>492.20248671611728</v>
      </c>
      <c r="T69" s="99">
        <v>2</v>
      </c>
      <c r="U69" s="99">
        <v>1516.8</v>
      </c>
      <c r="V69" s="99">
        <v>3</v>
      </c>
      <c r="W69" s="99">
        <v>2275.1999999999998</v>
      </c>
      <c r="X69" s="99">
        <v>4</v>
      </c>
      <c r="Y69" s="99">
        <v>3033.6</v>
      </c>
      <c r="Z69" s="99">
        <v>3</v>
      </c>
      <c r="AA69" s="99">
        <v>2275.1999999999998</v>
      </c>
      <c r="AB69" s="99">
        <v>3</v>
      </c>
      <c r="AC69" s="99">
        <v>2275.1999999999998</v>
      </c>
      <c r="AD69" s="99">
        <v>3</v>
      </c>
      <c r="AE69" s="99">
        <v>2275.1999999999998</v>
      </c>
      <c r="AF69" s="99">
        <v>2</v>
      </c>
      <c r="AG69" s="99">
        <v>1516.8</v>
      </c>
      <c r="AH69" s="99">
        <v>0.66050093413979616</v>
      </c>
      <c r="AI69" s="99">
        <v>500.9239084516214</v>
      </c>
      <c r="AJ69" s="99">
        <v>2</v>
      </c>
      <c r="AK69" s="99">
        <v>1516.8</v>
      </c>
      <c r="AL69" s="99">
        <v>3</v>
      </c>
      <c r="AM69" s="99">
        <v>2275.1999999999998</v>
      </c>
      <c r="AN69" s="99">
        <v>4</v>
      </c>
      <c r="AO69" s="99">
        <v>3033.6</v>
      </c>
      <c r="AP69" s="99">
        <v>3</v>
      </c>
      <c r="AQ69" s="99">
        <v>2275.1999999999998</v>
      </c>
      <c r="AR69" s="99">
        <v>3</v>
      </c>
      <c r="AS69" s="99">
        <v>2275.1999999999998</v>
      </c>
      <c r="AT69" s="99">
        <v>1.1716494413779248</v>
      </c>
      <c r="AU69" s="99">
        <v>888.57893634101811</v>
      </c>
      <c r="AV69" s="99">
        <v>3</v>
      </c>
      <c r="AW69" s="99">
        <v>2275.1999999999998</v>
      </c>
      <c r="AX69" s="99">
        <v>3</v>
      </c>
      <c r="AY69" s="99">
        <v>2275.1999999999998</v>
      </c>
      <c r="AZ69" s="99">
        <v>3</v>
      </c>
      <c r="BA69" s="99">
        <v>2275.1999999999998</v>
      </c>
      <c r="BB69" s="99">
        <v>3</v>
      </c>
      <c r="BC69" s="99">
        <v>2275.1999999999998</v>
      </c>
      <c r="BD69" s="99">
        <v>2</v>
      </c>
      <c r="BE69" s="99">
        <v>1516.8</v>
      </c>
      <c r="BF69" s="99">
        <v>2</v>
      </c>
      <c r="BG69" s="99">
        <v>1516.8</v>
      </c>
      <c r="BH69" s="99">
        <v>2</v>
      </c>
      <c r="BI69" s="99">
        <v>1516.8</v>
      </c>
      <c r="BJ69" s="99">
        <v>2</v>
      </c>
      <c r="BK69" s="99">
        <v>1516.8</v>
      </c>
      <c r="BL69" s="99">
        <v>2.7209459843554251</v>
      </c>
      <c r="BM69" s="99">
        <v>2063.5654345351545</v>
      </c>
      <c r="BN69" s="99">
        <v>1.5087888669117426</v>
      </c>
      <c r="BO69" s="99">
        <v>1144.2654766658657</v>
      </c>
      <c r="BP69" s="99">
        <v>2</v>
      </c>
      <c r="BQ69" s="99">
        <v>1516.8</v>
      </c>
      <c r="BR69" s="99">
        <v>1.1743808802932698</v>
      </c>
      <c r="BS69" s="99">
        <v>890.65045961441581</v>
      </c>
      <c r="BT69" s="99">
        <v>3</v>
      </c>
      <c r="BU69" s="99">
        <v>2275.1999999999998</v>
      </c>
      <c r="BV69" s="99">
        <v>2.8689079477022457</v>
      </c>
      <c r="BW69" s="99">
        <v>2175.7797875373831</v>
      </c>
      <c r="BX69" s="99">
        <v>1.5777036282802819</v>
      </c>
      <c r="BY69" s="99">
        <v>1196.5304316877657</v>
      </c>
      <c r="BZ69" s="99">
        <v>0</v>
      </c>
      <c r="CA69" s="99">
        <v>0</v>
      </c>
      <c r="CB69" s="99">
        <v>2</v>
      </c>
      <c r="CC69" s="99">
        <v>1516.8</v>
      </c>
      <c r="CD69" s="99">
        <v>3</v>
      </c>
      <c r="CE69" s="99">
        <v>2275.1999999999998</v>
      </c>
      <c r="CF69" s="99">
        <v>2</v>
      </c>
      <c r="CG69" s="99">
        <v>1516.8</v>
      </c>
      <c r="CH69" s="99">
        <v>0.39782040858094214</v>
      </c>
      <c r="CI69" s="99">
        <v>301.70699786778653</v>
      </c>
      <c r="CJ69" s="99">
        <v>0</v>
      </c>
      <c r="CK69" s="99">
        <v>0</v>
      </c>
      <c r="CL69" s="99">
        <v>0</v>
      </c>
      <c r="CM69" s="99">
        <v>0</v>
      </c>
      <c r="CN69" s="99">
        <v>3</v>
      </c>
      <c r="CO69" s="99">
        <v>2275.1999999999998</v>
      </c>
      <c r="CP69" s="99">
        <v>3</v>
      </c>
      <c r="CQ69" s="99">
        <v>2275.1999999999998</v>
      </c>
      <c r="CR69" s="99">
        <v>2.5471347076892705</v>
      </c>
      <c r="CS69" s="99">
        <v>1931.7469623115428</v>
      </c>
      <c r="CT69" s="99">
        <v>0.99903752291499281</v>
      </c>
      <c r="CU69" s="99">
        <v>757.67005737873058</v>
      </c>
    </row>
    <row r="70" spans="2:99">
      <c r="C70" s="98" t="s">
        <v>235</v>
      </c>
      <c r="D70" s="99">
        <v>0</v>
      </c>
      <c r="E70" s="99">
        <v>0</v>
      </c>
      <c r="F70" s="99">
        <v>0</v>
      </c>
      <c r="G70" s="99">
        <v>0</v>
      </c>
      <c r="H70" s="99">
        <v>2.7478138689341716</v>
      </c>
      <c r="I70" s="99">
        <v>1470.6299826535685</v>
      </c>
      <c r="J70" s="99">
        <v>1.109989347224289</v>
      </c>
      <c r="K70" s="99">
        <v>594.06629863443936</v>
      </c>
      <c r="L70" s="99">
        <v>4.8739941046173341</v>
      </c>
      <c r="M70" s="99">
        <v>2608.5616447911971</v>
      </c>
      <c r="N70" s="99">
        <v>3</v>
      </c>
      <c r="O70" s="99">
        <v>1605.6</v>
      </c>
      <c r="P70" s="99">
        <v>3</v>
      </c>
      <c r="Q70" s="99">
        <v>1605.6</v>
      </c>
      <c r="R70" s="99">
        <v>0.64900116919319262</v>
      </c>
      <c r="S70" s="99">
        <v>347.34542575219666</v>
      </c>
      <c r="T70" s="99">
        <v>2</v>
      </c>
      <c r="U70" s="99">
        <v>1070.3999999999999</v>
      </c>
      <c r="V70" s="99">
        <v>3</v>
      </c>
      <c r="W70" s="99">
        <v>1605.6</v>
      </c>
      <c r="X70" s="99">
        <v>4</v>
      </c>
      <c r="Y70" s="99">
        <v>2140.7999999999997</v>
      </c>
      <c r="Z70" s="99">
        <v>4</v>
      </c>
      <c r="AA70" s="99">
        <v>2140.7999999999997</v>
      </c>
      <c r="AB70" s="99">
        <v>3</v>
      </c>
      <c r="AC70" s="99">
        <v>1605.6</v>
      </c>
      <c r="AD70" s="99">
        <v>3</v>
      </c>
      <c r="AE70" s="99">
        <v>1605.6</v>
      </c>
      <c r="AF70" s="99">
        <v>3</v>
      </c>
      <c r="AG70" s="99">
        <v>1605.6</v>
      </c>
      <c r="AH70" s="99">
        <v>0.66050093413979616</v>
      </c>
      <c r="AI70" s="99">
        <v>353.50009995161884</v>
      </c>
      <c r="AJ70" s="99">
        <v>3</v>
      </c>
      <c r="AK70" s="99">
        <v>1605.6</v>
      </c>
      <c r="AL70" s="99">
        <v>3</v>
      </c>
      <c r="AM70" s="99">
        <v>1605.6</v>
      </c>
      <c r="AN70" s="99">
        <v>4</v>
      </c>
      <c r="AO70" s="99">
        <v>2140.7999999999997</v>
      </c>
      <c r="AP70" s="99">
        <v>3</v>
      </c>
      <c r="AQ70" s="99">
        <v>1605.6</v>
      </c>
      <c r="AR70" s="99">
        <v>3</v>
      </c>
      <c r="AS70" s="99">
        <v>1605.6</v>
      </c>
      <c r="AT70" s="99">
        <v>1.1716494413779248</v>
      </c>
      <c r="AU70" s="99">
        <v>627.06678102546527</v>
      </c>
      <c r="AV70" s="99">
        <v>3</v>
      </c>
      <c r="AW70" s="99">
        <v>1605.6</v>
      </c>
      <c r="AX70" s="99">
        <v>3</v>
      </c>
      <c r="AY70" s="99">
        <v>1605.6</v>
      </c>
      <c r="AZ70" s="99">
        <v>3</v>
      </c>
      <c r="BA70" s="99">
        <v>1605.6</v>
      </c>
      <c r="BB70" s="99">
        <v>4</v>
      </c>
      <c r="BC70" s="99">
        <v>2140.7999999999997</v>
      </c>
      <c r="BD70" s="99">
        <v>2</v>
      </c>
      <c r="BE70" s="99">
        <v>1070.3999999999999</v>
      </c>
      <c r="BF70" s="99">
        <v>2</v>
      </c>
      <c r="BG70" s="99">
        <v>1070.3999999999999</v>
      </c>
      <c r="BH70" s="99">
        <v>2</v>
      </c>
      <c r="BI70" s="99">
        <v>1070.3999999999999</v>
      </c>
      <c r="BJ70" s="99">
        <v>3</v>
      </c>
      <c r="BK70" s="99">
        <v>1605.6</v>
      </c>
      <c r="BL70" s="99">
        <v>2.7209459843554251</v>
      </c>
      <c r="BM70" s="99">
        <v>1456.2502908270233</v>
      </c>
      <c r="BN70" s="99">
        <v>1.5087888669117426</v>
      </c>
      <c r="BO70" s="99">
        <v>807.50380157116456</v>
      </c>
      <c r="BP70" s="99">
        <v>2</v>
      </c>
      <c r="BQ70" s="99">
        <v>1070.3999999999999</v>
      </c>
      <c r="BR70" s="99">
        <v>1.7615713204399046</v>
      </c>
      <c r="BS70" s="99">
        <v>942.79297069943686</v>
      </c>
      <c r="BT70" s="99">
        <v>3</v>
      </c>
      <c r="BU70" s="99">
        <v>1605.6</v>
      </c>
      <c r="BV70" s="99">
        <v>2.8689079477022457</v>
      </c>
      <c r="BW70" s="99">
        <v>1535.4395336102416</v>
      </c>
      <c r="BX70" s="99">
        <v>1.5777036282802819</v>
      </c>
      <c r="BY70" s="99">
        <v>844.38698185560679</v>
      </c>
      <c r="BZ70" s="99">
        <v>0</v>
      </c>
      <c r="CA70" s="99">
        <v>0</v>
      </c>
      <c r="CB70" s="99">
        <v>2</v>
      </c>
      <c r="CC70" s="99">
        <v>1070.3999999999999</v>
      </c>
      <c r="CD70" s="99">
        <v>3</v>
      </c>
      <c r="CE70" s="99">
        <v>1605.6</v>
      </c>
      <c r="CF70" s="99">
        <v>2</v>
      </c>
      <c r="CG70" s="99">
        <v>1070.3999999999999</v>
      </c>
      <c r="CH70" s="99">
        <v>0.39782040858094214</v>
      </c>
      <c r="CI70" s="99">
        <v>212.91348267252022</v>
      </c>
      <c r="CJ70" s="99">
        <v>0</v>
      </c>
      <c r="CK70" s="99">
        <v>0</v>
      </c>
      <c r="CL70" s="99">
        <v>0</v>
      </c>
      <c r="CM70" s="99">
        <v>0</v>
      </c>
      <c r="CN70" s="99">
        <v>3</v>
      </c>
      <c r="CO70" s="99">
        <v>1605.6</v>
      </c>
      <c r="CP70" s="99">
        <v>3</v>
      </c>
      <c r="CQ70" s="99">
        <v>1605.6</v>
      </c>
      <c r="CR70" s="99">
        <v>2.5471347076892705</v>
      </c>
      <c r="CS70" s="99">
        <v>1363.2264955552973</v>
      </c>
      <c r="CT70" s="99">
        <v>0.99903752291499281</v>
      </c>
      <c r="CU70" s="99">
        <v>534.68488226410409</v>
      </c>
    </row>
    <row r="71" spans="2:99">
      <c r="B71" s="98" t="s">
        <v>130</v>
      </c>
      <c r="C71" s="98" t="s">
        <v>236</v>
      </c>
      <c r="D71" s="99">
        <v>0</v>
      </c>
      <c r="E71" s="99">
        <v>0</v>
      </c>
      <c r="F71" s="99">
        <v>0</v>
      </c>
      <c r="G71" s="99">
        <v>0</v>
      </c>
      <c r="H71" s="99">
        <v>1.8000985156859384</v>
      </c>
      <c r="I71" s="99">
        <v>1015.2555628468692</v>
      </c>
      <c r="J71" s="99">
        <v>2</v>
      </c>
      <c r="K71" s="99">
        <v>1128</v>
      </c>
      <c r="L71" s="99">
        <v>2</v>
      </c>
      <c r="M71" s="99">
        <v>1128</v>
      </c>
      <c r="N71" s="99">
        <v>2</v>
      </c>
      <c r="O71" s="99">
        <v>1128</v>
      </c>
      <c r="P71" s="99">
        <v>3</v>
      </c>
      <c r="Q71" s="99">
        <v>1692</v>
      </c>
      <c r="R71" s="99">
        <v>2</v>
      </c>
      <c r="S71" s="99">
        <v>1128</v>
      </c>
      <c r="T71" s="99">
        <v>2</v>
      </c>
      <c r="U71" s="99">
        <v>1128</v>
      </c>
      <c r="V71" s="99">
        <v>2</v>
      </c>
      <c r="W71" s="99">
        <v>1128</v>
      </c>
      <c r="X71" s="99">
        <v>3</v>
      </c>
      <c r="Y71" s="99">
        <v>1692</v>
      </c>
      <c r="Z71" s="99">
        <v>3</v>
      </c>
      <c r="AA71" s="99">
        <v>1692</v>
      </c>
      <c r="AB71" s="99">
        <v>3</v>
      </c>
      <c r="AC71" s="99">
        <v>1692</v>
      </c>
      <c r="AD71" s="99">
        <v>2</v>
      </c>
      <c r="AE71" s="99">
        <v>1128</v>
      </c>
      <c r="AF71" s="99">
        <v>2</v>
      </c>
      <c r="AG71" s="99">
        <v>1128</v>
      </c>
      <c r="AH71" s="99">
        <v>2</v>
      </c>
      <c r="AI71" s="99">
        <v>1128</v>
      </c>
      <c r="AJ71" s="99">
        <v>2</v>
      </c>
      <c r="AK71" s="99">
        <v>1128</v>
      </c>
      <c r="AL71" s="99">
        <v>2</v>
      </c>
      <c r="AM71" s="99">
        <v>1128</v>
      </c>
      <c r="AN71" s="99">
        <v>2</v>
      </c>
      <c r="AO71" s="99">
        <v>1128</v>
      </c>
      <c r="AP71" s="99">
        <v>4</v>
      </c>
      <c r="AQ71" s="99">
        <v>2256</v>
      </c>
      <c r="AR71" s="99">
        <v>3</v>
      </c>
      <c r="AS71" s="99">
        <v>1692</v>
      </c>
      <c r="AT71" s="99">
        <v>3</v>
      </c>
      <c r="AU71" s="99">
        <v>1692</v>
      </c>
      <c r="AV71" s="99">
        <v>2</v>
      </c>
      <c r="AW71" s="99">
        <v>1128</v>
      </c>
      <c r="AX71" s="99">
        <v>2</v>
      </c>
      <c r="AY71" s="99">
        <v>1128</v>
      </c>
      <c r="AZ71" s="99">
        <v>3</v>
      </c>
      <c r="BA71" s="99">
        <v>1692</v>
      </c>
      <c r="BB71" s="99">
        <v>3</v>
      </c>
      <c r="BC71" s="99">
        <v>1692</v>
      </c>
      <c r="BD71" s="99">
        <v>2</v>
      </c>
      <c r="BE71" s="99">
        <v>1128</v>
      </c>
      <c r="BF71" s="99">
        <v>3</v>
      </c>
      <c r="BG71" s="99">
        <v>1692</v>
      </c>
      <c r="BH71" s="99">
        <v>2</v>
      </c>
      <c r="BI71" s="99">
        <v>1128</v>
      </c>
      <c r="BJ71" s="99">
        <v>4</v>
      </c>
      <c r="BK71" s="99">
        <v>2256</v>
      </c>
      <c r="BL71" s="99">
        <v>2</v>
      </c>
      <c r="BM71" s="99">
        <v>1128</v>
      </c>
      <c r="BN71" s="99">
        <v>3</v>
      </c>
      <c r="BO71" s="99">
        <v>1692</v>
      </c>
      <c r="BP71" s="99">
        <v>3</v>
      </c>
      <c r="BQ71" s="99">
        <v>1692</v>
      </c>
      <c r="BR71" s="99">
        <v>2</v>
      </c>
      <c r="BS71" s="99">
        <v>1128</v>
      </c>
      <c r="BT71" s="99">
        <v>2</v>
      </c>
      <c r="BU71" s="99">
        <v>1128</v>
      </c>
      <c r="BV71" s="99">
        <v>3</v>
      </c>
      <c r="BW71" s="99">
        <v>1692</v>
      </c>
      <c r="BX71" s="99">
        <v>2</v>
      </c>
      <c r="BY71" s="99">
        <v>1128</v>
      </c>
      <c r="BZ71" s="99">
        <v>3</v>
      </c>
      <c r="CA71" s="99">
        <v>1692</v>
      </c>
      <c r="CB71" s="99">
        <v>3</v>
      </c>
      <c r="CC71" s="99">
        <v>1692</v>
      </c>
      <c r="CD71" s="99">
        <v>3</v>
      </c>
      <c r="CE71" s="99">
        <v>1692</v>
      </c>
      <c r="CF71" s="99">
        <v>2</v>
      </c>
      <c r="CG71" s="99">
        <v>1128</v>
      </c>
      <c r="CH71" s="99">
        <v>4</v>
      </c>
      <c r="CI71" s="99">
        <v>2256</v>
      </c>
      <c r="CJ71" s="99">
        <v>2</v>
      </c>
      <c r="CK71" s="99">
        <v>1128</v>
      </c>
      <c r="CL71" s="99">
        <v>2.4674592726048421</v>
      </c>
      <c r="CM71" s="99">
        <v>1391.647029749131</v>
      </c>
      <c r="CN71" s="99">
        <v>2</v>
      </c>
      <c r="CO71" s="99">
        <v>1128</v>
      </c>
      <c r="CP71" s="99">
        <v>2</v>
      </c>
      <c r="CQ71" s="99">
        <v>1128</v>
      </c>
      <c r="CR71" s="99">
        <v>3</v>
      </c>
      <c r="CS71" s="99">
        <v>1692</v>
      </c>
      <c r="CT71" s="99">
        <v>4</v>
      </c>
      <c r="CU71" s="99">
        <v>2256</v>
      </c>
    </row>
    <row r="72" spans="2:99">
      <c r="C72" s="98" t="s">
        <v>237</v>
      </c>
      <c r="D72" s="99">
        <v>0</v>
      </c>
      <c r="E72" s="99">
        <v>0</v>
      </c>
      <c r="F72" s="99">
        <v>0</v>
      </c>
      <c r="G72" s="99">
        <v>0</v>
      </c>
      <c r="H72" s="99">
        <v>1.8000985156859384</v>
      </c>
      <c r="I72" s="99">
        <v>133.92732956703381</v>
      </c>
      <c r="J72" s="99">
        <v>2</v>
      </c>
      <c r="K72" s="99">
        <v>148.79999999999998</v>
      </c>
      <c r="L72" s="99">
        <v>3</v>
      </c>
      <c r="M72" s="99">
        <v>223.2</v>
      </c>
      <c r="N72" s="99">
        <v>2</v>
      </c>
      <c r="O72" s="99">
        <v>148.79999999999998</v>
      </c>
      <c r="P72" s="99">
        <v>3</v>
      </c>
      <c r="Q72" s="99">
        <v>223.2</v>
      </c>
      <c r="R72" s="99">
        <v>2</v>
      </c>
      <c r="S72" s="99">
        <v>148.79999999999998</v>
      </c>
      <c r="T72" s="99">
        <v>2</v>
      </c>
      <c r="U72" s="99">
        <v>148.79999999999998</v>
      </c>
      <c r="V72" s="99">
        <v>2</v>
      </c>
      <c r="W72" s="99">
        <v>148.79999999999998</v>
      </c>
      <c r="X72" s="99">
        <v>3</v>
      </c>
      <c r="Y72" s="99">
        <v>223.2</v>
      </c>
      <c r="Z72" s="99">
        <v>3</v>
      </c>
      <c r="AA72" s="99">
        <v>223.2</v>
      </c>
      <c r="AB72" s="99">
        <v>2</v>
      </c>
      <c r="AC72" s="99">
        <v>148.79999999999998</v>
      </c>
      <c r="AD72" s="99">
        <v>2</v>
      </c>
      <c r="AE72" s="99">
        <v>148.79999999999998</v>
      </c>
      <c r="AF72" s="99">
        <v>2</v>
      </c>
      <c r="AG72" s="99">
        <v>148.79999999999998</v>
      </c>
      <c r="AH72" s="99">
        <v>3</v>
      </c>
      <c r="AI72" s="99">
        <v>223.2</v>
      </c>
      <c r="AJ72" s="99">
        <v>2</v>
      </c>
      <c r="AK72" s="99">
        <v>148.79999999999998</v>
      </c>
      <c r="AL72" s="99">
        <v>2</v>
      </c>
      <c r="AM72" s="99">
        <v>148.79999999999998</v>
      </c>
      <c r="AN72" s="99">
        <v>3</v>
      </c>
      <c r="AO72" s="99">
        <v>223.2</v>
      </c>
      <c r="AP72" s="99">
        <v>3</v>
      </c>
      <c r="AQ72" s="99">
        <v>223.2</v>
      </c>
      <c r="AR72" s="99">
        <v>3</v>
      </c>
      <c r="AS72" s="99">
        <v>223.2</v>
      </c>
      <c r="AT72" s="99">
        <v>3</v>
      </c>
      <c r="AU72" s="99">
        <v>223.2</v>
      </c>
      <c r="AV72" s="99">
        <v>2</v>
      </c>
      <c r="AW72" s="99">
        <v>148.79999999999998</v>
      </c>
      <c r="AX72" s="99">
        <v>2</v>
      </c>
      <c r="AY72" s="99">
        <v>148.79999999999998</v>
      </c>
      <c r="AZ72" s="99">
        <v>3</v>
      </c>
      <c r="BA72" s="99">
        <v>223.2</v>
      </c>
      <c r="BB72" s="99">
        <v>3</v>
      </c>
      <c r="BC72" s="99">
        <v>223.2</v>
      </c>
      <c r="BD72" s="99">
        <v>2</v>
      </c>
      <c r="BE72" s="99">
        <v>148.79999999999998</v>
      </c>
      <c r="BF72" s="99">
        <v>3</v>
      </c>
      <c r="BG72" s="99">
        <v>223.2</v>
      </c>
      <c r="BH72" s="99">
        <v>2</v>
      </c>
      <c r="BI72" s="99">
        <v>148.79999999999998</v>
      </c>
      <c r="BJ72" s="99">
        <v>3</v>
      </c>
      <c r="BK72" s="99">
        <v>223.2</v>
      </c>
      <c r="BL72" s="99">
        <v>2</v>
      </c>
      <c r="BM72" s="99">
        <v>148.79999999999998</v>
      </c>
      <c r="BN72" s="99">
        <v>3</v>
      </c>
      <c r="BO72" s="99">
        <v>223.2</v>
      </c>
      <c r="BP72" s="99">
        <v>3</v>
      </c>
      <c r="BQ72" s="99">
        <v>223.2</v>
      </c>
      <c r="BR72" s="99">
        <v>3</v>
      </c>
      <c r="BS72" s="99">
        <v>223.2</v>
      </c>
      <c r="BT72" s="99">
        <v>2</v>
      </c>
      <c r="BU72" s="99">
        <v>148.79999999999998</v>
      </c>
      <c r="BV72" s="99">
        <v>3</v>
      </c>
      <c r="BW72" s="99">
        <v>223.2</v>
      </c>
      <c r="BX72" s="99">
        <v>3</v>
      </c>
      <c r="BY72" s="99">
        <v>223.2</v>
      </c>
      <c r="BZ72" s="99">
        <v>3</v>
      </c>
      <c r="CA72" s="99">
        <v>223.2</v>
      </c>
      <c r="CB72" s="99">
        <v>3</v>
      </c>
      <c r="CC72" s="99">
        <v>223.2</v>
      </c>
      <c r="CD72" s="99">
        <v>3</v>
      </c>
      <c r="CE72" s="99">
        <v>223.2</v>
      </c>
      <c r="CF72" s="99">
        <v>3</v>
      </c>
      <c r="CG72" s="99">
        <v>223.2</v>
      </c>
      <c r="CH72" s="99">
        <v>3</v>
      </c>
      <c r="CI72" s="99">
        <v>223.2</v>
      </c>
      <c r="CJ72" s="99">
        <v>2</v>
      </c>
      <c r="CK72" s="99">
        <v>148.79999999999998</v>
      </c>
      <c r="CL72" s="99">
        <v>2.4674592726048421</v>
      </c>
      <c r="CM72" s="99">
        <v>183.57896988180022</v>
      </c>
      <c r="CN72" s="99">
        <v>3</v>
      </c>
      <c r="CO72" s="99">
        <v>223.2</v>
      </c>
      <c r="CP72" s="99">
        <v>2</v>
      </c>
      <c r="CQ72" s="99">
        <v>148.79999999999998</v>
      </c>
      <c r="CR72" s="99">
        <v>3</v>
      </c>
      <c r="CS72" s="99">
        <v>223.2</v>
      </c>
      <c r="CT72" s="99">
        <v>3</v>
      </c>
      <c r="CU72" s="99">
        <v>223.2</v>
      </c>
    </row>
    <row r="73" spans="2:99">
      <c r="C73" s="98" t="s">
        <v>238</v>
      </c>
      <c r="D73" s="99">
        <v>0</v>
      </c>
      <c r="E73" s="99">
        <v>0</v>
      </c>
      <c r="F73" s="99">
        <v>0</v>
      </c>
      <c r="G73" s="99">
        <v>0</v>
      </c>
      <c r="H73" s="99">
        <v>1.8000985156859384</v>
      </c>
      <c r="I73" s="99">
        <v>1006.6150899715766</v>
      </c>
      <c r="J73" s="99">
        <v>2</v>
      </c>
      <c r="K73" s="99">
        <v>1118.3999999999999</v>
      </c>
      <c r="L73" s="99">
        <v>2</v>
      </c>
      <c r="M73" s="99">
        <v>1118.3999999999999</v>
      </c>
      <c r="N73" s="99">
        <v>2</v>
      </c>
      <c r="O73" s="99">
        <v>1118.3999999999999</v>
      </c>
      <c r="P73" s="99">
        <v>3</v>
      </c>
      <c r="Q73" s="99">
        <v>1677.6</v>
      </c>
      <c r="R73" s="99">
        <v>2</v>
      </c>
      <c r="S73" s="99">
        <v>1118.3999999999999</v>
      </c>
      <c r="T73" s="99">
        <v>2</v>
      </c>
      <c r="U73" s="99">
        <v>1118.3999999999999</v>
      </c>
      <c r="V73" s="99">
        <v>2</v>
      </c>
      <c r="W73" s="99">
        <v>1118.3999999999999</v>
      </c>
      <c r="X73" s="99">
        <v>3</v>
      </c>
      <c r="Y73" s="99">
        <v>1677.6</v>
      </c>
      <c r="Z73" s="99">
        <v>3</v>
      </c>
      <c r="AA73" s="99">
        <v>1677.6</v>
      </c>
      <c r="AB73" s="99">
        <v>3</v>
      </c>
      <c r="AC73" s="99">
        <v>1677.6</v>
      </c>
      <c r="AD73" s="99">
        <v>2</v>
      </c>
      <c r="AE73" s="99">
        <v>1118.3999999999999</v>
      </c>
      <c r="AF73" s="99">
        <v>2</v>
      </c>
      <c r="AG73" s="99">
        <v>1118.3999999999999</v>
      </c>
      <c r="AH73" s="99">
        <v>2</v>
      </c>
      <c r="AI73" s="99">
        <v>1118.3999999999999</v>
      </c>
      <c r="AJ73" s="99">
        <v>2</v>
      </c>
      <c r="AK73" s="99">
        <v>1118.3999999999999</v>
      </c>
      <c r="AL73" s="99">
        <v>2</v>
      </c>
      <c r="AM73" s="99">
        <v>1118.3999999999999</v>
      </c>
      <c r="AN73" s="99">
        <v>2</v>
      </c>
      <c r="AO73" s="99">
        <v>1118.3999999999999</v>
      </c>
      <c r="AP73" s="99">
        <v>3</v>
      </c>
      <c r="AQ73" s="99">
        <v>1677.6</v>
      </c>
      <c r="AR73" s="99">
        <v>3</v>
      </c>
      <c r="AS73" s="99">
        <v>1677.6</v>
      </c>
      <c r="AT73" s="99">
        <v>3</v>
      </c>
      <c r="AU73" s="99">
        <v>1677.6</v>
      </c>
      <c r="AV73" s="99">
        <v>2</v>
      </c>
      <c r="AW73" s="99">
        <v>1118.3999999999999</v>
      </c>
      <c r="AX73" s="99">
        <v>2</v>
      </c>
      <c r="AY73" s="99">
        <v>1118.3999999999999</v>
      </c>
      <c r="AZ73" s="99">
        <v>3</v>
      </c>
      <c r="BA73" s="99">
        <v>1677.6</v>
      </c>
      <c r="BB73" s="99">
        <v>3</v>
      </c>
      <c r="BC73" s="99">
        <v>1677.6</v>
      </c>
      <c r="BD73" s="99">
        <v>2</v>
      </c>
      <c r="BE73" s="99">
        <v>1118.3999999999999</v>
      </c>
      <c r="BF73" s="99">
        <v>3</v>
      </c>
      <c r="BG73" s="99">
        <v>1677.6</v>
      </c>
      <c r="BH73" s="99">
        <v>2</v>
      </c>
      <c r="BI73" s="99">
        <v>1118.3999999999999</v>
      </c>
      <c r="BJ73" s="99">
        <v>3</v>
      </c>
      <c r="BK73" s="99">
        <v>1677.6</v>
      </c>
      <c r="BL73" s="99">
        <v>2</v>
      </c>
      <c r="BM73" s="99">
        <v>1118.3999999999999</v>
      </c>
      <c r="BN73" s="99">
        <v>3</v>
      </c>
      <c r="BO73" s="99">
        <v>1677.6</v>
      </c>
      <c r="BP73" s="99">
        <v>3</v>
      </c>
      <c r="BQ73" s="99">
        <v>1677.6</v>
      </c>
      <c r="BR73" s="99">
        <v>2</v>
      </c>
      <c r="BS73" s="99">
        <v>1118.3999999999999</v>
      </c>
      <c r="BT73" s="99">
        <v>2</v>
      </c>
      <c r="BU73" s="99">
        <v>1118.3999999999999</v>
      </c>
      <c r="BV73" s="99">
        <v>3</v>
      </c>
      <c r="BW73" s="99">
        <v>1677.6</v>
      </c>
      <c r="BX73" s="99">
        <v>3</v>
      </c>
      <c r="BY73" s="99">
        <v>1677.6</v>
      </c>
      <c r="BZ73" s="99">
        <v>3</v>
      </c>
      <c r="CA73" s="99">
        <v>1677.6</v>
      </c>
      <c r="CB73" s="99">
        <v>3</v>
      </c>
      <c r="CC73" s="99">
        <v>1677.6</v>
      </c>
      <c r="CD73" s="99">
        <v>3</v>
      </c>
      <c r="CE73" s="99">
        <v>1677.6</v>
      </c>
      <c r="CF73" s="99">
        <v>2</v>
      </c>
      <c r="CG73" s="99">
        <v>1118.3999999999999</v>
      </c>
      <c r="CH73" s="99">
        <v>3</v>
      </c>
      <c r="CI73" s="99">
        <v>1677.6</v>
      </c>
      <c r="CJ73" s="99">
        <v>2</v>
      </c>
      <c r="CK73" s="99">
        <v>1118.3999999999999</v>
      </c>
      <c r="CL73" s="99">
        <v>2.4674592726048421</v>
      </c>
      <c r="CM73" s="99">
        <v>1379.8032252406276</v>
      </c>
      <c r="CN73" s="99">
        <v>2</v>
      </c>
      <c r="CO73" s="99">
        <v>1118.3999999999999</v>
      </c>
      <c r="CP73" s="99">
        <v>3</v>
      </c>
      <c r="CQ73" s="99">
        <v>1677.6</v>
      </c>
      <c r="CR73" s="99">
        <v>3</v>
      </c>
      <c r="CS73" s="99">
        <v>1677.6</v>
      </c>
      <c r="CT73" s="99">
        <v>4</v>
      </c>
      <c r="CU73" s="99">
        <v>2236.7999999999997</v>
      </c>
    </row>
    <row r="74" spans="2:99">
      <c r="C74" s="98" t="s">
        <v>239</v>
      </c>
      <c r="D74" s="99">
        <v>0</v>
      </c>
      <c r="E74" s="99">
        <v>0</v>
      </c>
      <c r="F74" s="99">
        <v>0</v>
      </c>
      <c r="G74" s="99">
        <v>0</v>
      </c>
      <c r="H74" s="99">
        <v>1.8000985156859384</v>
      </c>
      <c r="I74" s="99">
        <v>725.79972152457037</v>
      </c>
      <c r="J74" s="99">
        <v>2</v>
      </c>
      <c r="K74" s="99">
        <v>806.4</v>
      </c>
      <c r="L74" s="99">
        <v>3</v>
      </c>
      <c r="M74" s="99">
        <v>1209.5999999999999</v>
      </c>
      <c r="N74" s="99">
        <v>2</v>
      </c>
      <c r="O74" s="99">
        <v>806.4</v>
      </c>
      <c r="P74" s="99">
        <v>3</v>
      </c>
      <c r="Q74" s="99">
        <v>1209.5999999999999</v>
      </c>
      <c r="R74" s="99">
        <v>2</v>
      </c>
      <c r="S74" s="99">
        <v>806.4</v>
      </c>
      <c r="T74" s="99">
        <v>2</v>
      </c>
      <c r="U74" s="99">
        <v>806.4</v>
      </c>
      <c r="V74" s="99">
        <v>2</v>
      </c>
      <c r="W74" s="99">
        <v>806.4</v>
      </c>
      <c r="X74" s="99">
        <v>3</v>
      </c>
      <c r="Y74" s="99">
        <v>1209.5999999999999</v>
      </c>
      <c r="Z74" s="99">
        <v>3</v>
      </c>
      <c r="AA74" s="99">
        <v>1209.5999999999999</v>
      </c>
      <c r="AB74" s="99">
        <v>3</v>
      </c>
      <c r="AC74" s="99">
        <v>1209.5999999999999</v>
      </c>
      <c r="AD74" s="99">
        <v>2</v>
      </c>
      <c r="AE74" s="99">
        <v>806.4</v>
      </c>
      <c r="AF74" s="99">
        <v>2</v>
      </c>
      <c r="AG74" s="99">
        <v>806.4</v>
      </c>
      <c r="AH74" s="99">
        <v>2</v>
      </c>
      <c r="AI74" s="99">
        <v>806.4</v>
      </c>
      <c r="AJ74" s="99">
        <v>2</v>
      </c>
      <c r="AK74" s="99">
        <v>806.4</v>
      </c>
      <c r="AL74" s="99">
        <v>2</v>
      </c>
      <c r="AM74" s="99">
        <v>806.4</v>
      </c>
      <c r="AN74" s="99">
        <v>2</v>
      </c>
      <c r="AO74" s="99">
        <v>806.4</v>
      </c>
      <c r="AP74" s="99">
        <v>3</v>
      </c>
      <c r="AQ74" s="99">
        <v>1209.5999999999999</v>
      </c>
      <c r="AR74" s="99">
        <v>3</v>
      </c>
      <c r="AS74" s="99">
        <v>1209.5999999999999</v>
      </c>
      <c r="AT74" s="99">
        <v>3</v>
      </c>
      <c r="AU74" s="99">
        <v>1209.5999999999999</v>
      </c>
      <c r="AV74" s="99">
        <v>2</v>
      </c>
      <c r="AW74" s="99">
        <v>806.4</v>
      </c>
      <c r="AX74" s="99">
        <v>3</v>
      </c>
      <c r="AY74" s="99">
        <v>1209.5999999999999</v>
      </c>
      <c r="AZ74" s="99">
        <v>3</v>
      </c>
      <c r="BA74" s="99">
        <v>1209.5999999999999</v>
      </c>
      <c r="BB74" s="99">
        <v>3</v>
      </c>
      <c r="BC74" s="99">
        <v>1209.5999999999999</v>
      </c>
      <c r="BD74" s="99">
        <v>2</v>
      </c>
      <c r="BE74" s="99">
        <v>806.4</v>
      </c>
      <c r="BF74" s="99">
        <v>3</v>
      </c>
      <c r="BG74" s="99">
        <v>1209.5999999999999</v>
      </c>
      <c r="BH74" s="99">
        <v>2</v>
      </c>
      <c r="BI74" s="99">
        <v>806.4</v>
      </c>
      <c r="BJ74" s="99">
        <v>3</v>
      </c>
      <c r="BK74" s="99">
        <v>1209.5999999999999</v>
      </c>
      <c r="BL74" s="99">
        <v>2</v>
      </c>
      <c r="BM74" s="99">
        <v>806.4</v>
      </c>
      <c r="BN74" s="99">
        <v>2</v>
      </c>
      <c r="BO74" s="99">
        <v>806.4</v>
      </c>
      <c r="BP74" s="99">
        <v>3</v>
      </c>
      <c r="BQ74" s="99">
        <v>1209.5999999999999</v>
      </c>
      <c r="BR74" s="99">
        <v>3</v>
      </c>
      <c r="BS74" s="99">
        <v>1209.5999999999999</v>
      </c>
      <c r="BT74" s="99">
        <v>2</v>
      </c>
      <c r="BU74" s="99">
        <v>806.4</v>
      </c>
      <c r="BV74" s="99">
        <v>3</v>
      </c>
      <c r="BW74" s="99">
        <v>1209.5999999999999</v>
      </c>
      <c r="BX74" s="99">
        <v>2</v>
      </c>
      <c r="BY74" s="99">
        <v>806.4</v>
      </c>
      <c r="BZ74" s="99">
        <v>3</v>
      </c>
      <c r="CA74" s="99">
        <v>1209.5999999999999</v>
      </c>
      <c r="CB74" s="99">
        <v>2</v>
      </c>
      <c r="CC74" s="99">
        <v>806.4</v>
      </c>
      <c r="CD74" s="99">
        <v>3</v>
      </c>
      <c r="CE74" s="99">
        <v>1209.5999999999999</v>
      </c>
      <c r="CF74" s="99">
        <v>2</v>
      </c>
      <c r="CG74" s="99">
        <v>806.4</v>
      </c>
      <c r="CH74" s="99">
        <v>3</v>
      </c>
      <c r="CI74" s="99">
        <v>1209.5999999999999</v>
      </c>
      <c r="CJ74" s="99">
        <v>2</v>
      </c>
      <c r="CK74" s="99">
        <v>806.4</v>
      </c>
      <c r="CL74" s="99">
        <v>2.4674592726048421</v>
      </c>
      <c r="CM74" s="99">
        <v>994.87957871427227</v>
      </c>
      <c r="CN74" s="99">
        <v>2</v>
      </c>
      <c r="CO74" s="99">
        <v>806.4</v>
      </c>
      <c r="CP74" s="99">
        <v>3</v>
      </c>
      <c r="CQ74" s="99">
        <v>1209.5999999999999</v>
      </c>
      <c r="CR74" s="99">
        <v>3</v>
      </c>
      <c r="CS74" s="99">
        <v>1209.5999999999999</v>
      </c>
      <c r="CT74" s="99">
        <v>4</v>
      </c>
      <c r="CU74" s="99">
        <v>1612.8</v>
      </c>
    </row>
    <row r="75" spans="2:99">
      <c r="C75" s="98" t="s">
        <v>240</v>
      </c>
      <c r="D75" s="99">
        <v>0</v>
      </c>
      <c r="E75" s="99">
        <v>0</v>
      </c>
      <c r="F75" s="99">
        <v>0</v>
      </c>
      <c r="G75" s="99">
        <v>0</v>
      </c>
      <c r="H75" s="99">
        <v>1.8000985156859384</v>
      </c>
      <c r="I75" s="99">
        <v>1157.8233652891954</v>
      </c>
      <c r="J75" s="99">
        <v>2</v>
      </c>
      <c r="K75" s="99">
        <v>1286.3999999999999</v>
      </c>
      <c r="L75" s="99">
        <v>3</v>
      </c>
      <c r="M75" s="99">
        <v>1929.6</v>
      </c>
      <c r="N75" s="99">
        <v>2</v>
      </c>
      <c r="O75" s="99">
        <v>1286.3999999999999</v>
      </c>
      <c r="P75" s="99">
        <v>3</v>
      </c>
      <c r="Q75" s="99">
        <v>1929.6</v>
      </c>
      <c r="R75" s="99">
        <v>2</v>
      </c>
      <c r="S75" s="99">
        <v>1286.3999999999999</v>
      </c>
      <c r="T75" s="99">
        <v>2</v>
      </c>
      <c r="U75" s="99">
        <v>1286.3999999999999</v>
      </c>
      <c r="V75" s="99">
        <v>2</v>
      </c>
      <c r="W75" s="99">
        <v>1286.3999999999999</v>
      </c>
      <c r="X75" s="99">
        <v>3</v>
      </c>
      <c r="Y75" s="99">
        <v>1929.6</v>
      </c>
      <c r="Z75" s="99">
        <v>3</v>
      </c>
      <c r="AA75" s="99">
        <v>1929.6</v>
      </c>
      <c r="AB75" s="99">
        <v>2</v>
      </c>
      <c r="AC75" s="99">
        <v>1286.3999999999999</v>
      </c>
      <c r="AD75" s="99">
        <v>2</v>
      </c>
      <c r="AE75" s="99">
        <v>1286.3999999999999</v>
      </c>
      <c r="AF75" s="99">
        <v>2</v>
      </c>
      <c r="AG75" s="99">
        <v>1286.3999999999999</v>
      </c>
      <c r="AH75" s="99">
        <v>2</v>
      </c>
      <c r="AI75" s="99">
        <v>1286.3999999999999</v>
      </c>
      <c r="AJ75" s="99">
        <v>2</v>
      </c>
      <c r="AK75" s="99">
        <v>1286.3999999999999</v>
      </c>
      <c r="AL75" s="99">
        <v>2</v>
      </c>
      <c r="AM75" s="99">
        <v>1286.3999999999999</v>
      </c>
      <c r="AN75" s="99">
        <v>2</v>
      </c>
      <c r="AO75" s="99">
        <v>1286.3999999999999</v>
      </c>
      <c r="AP75" s="99">
        <v>4</v>
      </c>
      <c r="AQ75" s="99">
        <v>2572.7999999999997</v>
      </c>
      <c r="AR75" s="99">
        <v>3</v>
      </c>
      <c r="AS75" s="99">
        <v>1929.6</v>
      </c>
      <c r="AT75" s="99">
        <v>3</v>
      </c>
      <c r="AU75" s="99">
        <v>1929.6</v>
      </c>
      <c r="AV75" s="99">
        <v>3</v>
      </c>
      <c r="AW75" s="99">
        <v>1929.6</v>
      </c>
      <c r="AX75" s="99">
        <v>2</v>
      </c>
      <c r="AY75" s="99">
        <v>1286.3999999999999</v>
      </c>
      <c r="AZ75" s="99">
        <v>3</v>
      </c>
      <c r="BA75" s="99">
        <v>1929.6</v>
      </c>
      <c r="BB75" s="99">
        <v>3</v>
      </c>
      <c r="BC75" s="99">
        <v>1929.6</v>
      </c>
      <c r="BD75" s="99">
        <v>2</v>
      </c>
      <c r="BE75" s="99">
        <v>1286.3999999999999</v>
      </c>
      <c r="BF75" s="99">
        <v>3</v>
      </c>
      <c r="BG75" s="99">
        <v>1929.6</v>
      </c>
      <c r="BH75" s="99">
        <v>2</v>
      </c>
      <c r="BI75" s="99">
        <v>1286.3999999999999</v>
      </c>
      <c r="BJ75" s="99">
        <v>3</v>
      </c>
      <c r="BK75" s="99">
        <v>1929.6</v>
      </c>
      <c r="BL75" s="99">
        <v>2</v>
      </c>
      <c r="BM75" s="99">
        <v>1286.3999999999999</v>
      </c>
      <c r="BN75" s="99">
        <v>3</v>
      </c>
      <c r="BO75" s="99">
        <v>1929.6</v>
      </c>
      <c r="BP75" s="99">
        <v>4</v>
      </c>
      <c r="BQ75" s="99">
        <v>2572.7999999999997</v>
      </c>
      <c r="BR75" s="99">
        <v>3</v>
      </c>
      <c r="BS75" s="99">
        <v>1929.6</v>
      </c>
      <c r="BT75" s="99">
        <v>2</v>
      </c>
      <c r="BU75" s="99">
        <v>1286.3999999999999</v>
      </c>
      <c r="BV75" s="99">
        <v>3</v>
      </c>
      <c r="BW75" s="99">
        <v>1929.6</v>
      </c>
      <c r="BX75" s="99">
        <v>3</v>
      </c>
      <c r="BY75" s="99">
        <v>1929.6</v>
      </c>
      <c r="BZ75" s="99">
        <v>3</v>
      </c>
      <c r="CA75" s="99">
        <v>1929.6</v>
      </c>
      <c r="CB75" s="99">
        <v>3</v>
      </c>
      <c r="CC75" s="99">
        <v>1929.6</v>
      </c>
      <c r="CD75" s="99">
        <v>3</v>
      </c>
      <c r="CE75" s="99">
        <v>1929.6</v>
      </c>
      <c r="CF75" s="99">
        <v>2</v>
      </c>
      <c r="CG75" s="99">
        <v>1286.3999999999999</v>
      </c>
      <c r="CH75" s="99">
        <v>3</v>
      </c>
      <c r="CI75" s="99">
        <v>1929.6</v>
      </c>
      <c r="CJ75" s="99">
        <v>2</v>
      </c>
      <c r="CK75" s="99">
        <v>1286.3999999999999</v>
      </c>
      <c r="CL75" s="99">
        <v>2.4674592726048421</v>
      </c>
      <c r="CM75" s="99">
        <v>1587.0698041394344</v>
      </c>
      <c r="CN75" s="99">
        <v>3</v>
      </c>
      <c r="CO75" s="99">
        <v>1929.6</v>
      </c>
      <c r="CP75" s="99">
        <v>3</v>
      </c>
      <c r="CQ75" s="99">
        <v>1929.6</v>
      </c>
      <c r="CR75" s="99">
        <v>3</v>
      </c>
      <c r="CS75" s="99">
        <v>1929.6</v>
      </c>
      <c r="CT75" s="99">
        <v>3</v>
      </c>
      <c r="CU75" s="99">
        <v>1929.6</v>
      </c>
    </row>
    <row r="76" spans="2:99">
      <c r="C76" s="98" t="s">
        <v>241</v>
      </c>
      <c r="D76" s="99">
        <v>0</v>
      </c>
      <c r="E76" s="99">
        <v>0</v>
      </c>
      <c r="F76" s="99">
        <v>0</v>
      </c>
      <c r="G76" s="99">
        <v>0</v>
      </c>
      <c r="H76" s="99">
        <v>1.8000985156859384</v>
      </c>
      <c r="I76" s="99">
        <v>1401.9167240162087</v>
      </c>
      <c r="J76" s="99">
        <v>2</v>
      </c>
      <c r="K76" s="99">
        <v>1557.6</v>
      </c>
      <c r="L76" s="99">
        <v>3</v>
      </c>
      <c r="M76" s="99">
        <v>2336.3999999999996</v>
      </c>
      <c r="N76" s="99">
        <v>2</v>
      </c>
      <c r="O76" s="99">
        <v>1557.6</v>
      </c>
      <c r="P76" s="99">
        <v>3</v>
      </c>
      <c r="Q76" s="99">
        <v>2336.3999999999996</v>
      </c>
      <c r="R76" s="99">
        <v>2</v>
      </c>
      <c r="S76" s="99">
        <v>1557.6</v>
      </c>
      <c r="T76" s="99">
        <v>2</v>
      </c>
      <c r="U76" s="99">
        <v>1557.6</v>
      </c>
      <c r="V76" s="99">
        <v>2</v>
      </c>
      <c r="W76" s="99">
        <v>1557.6</v>
      </c>
      <c r="X76" s="99">
        <v>3</v>
      </c>
      <c r="Y76" s="99">
        <v>2336.3999999999996</v>
      </c>
      <c r="Z76" s="99">
        <v>3</v>
      </c>
      <c r="AA76" s="99">
        <v>2336.3999999999996</v>
      </c>
      <c r="AB76" s="99">
        <v>2</v>
      </c>
      <c r="AC76" s="99">
        <v>1557.6</v>
      </c>
      <c r="AD76" s="99">
        <v>2</v>
      </c>
      <c r="AE76" s="99">
        <v>1557.6</v>
      </c>
      <c r="AF76" s="99">
        <v>2</v>
      </c>
      <c r="AG76" s="99">
        <v>1557.6</v>
      </c>
      <c r="AH76" s="99">
        <v>2</v>
      </c>
      <c r="AI76" s="99">
        <v>1557.6</v>
      </c>
      <c r="AJ76" s="99">
        <v>2</v>
      </c>
      <c r="AK76" s="99">
        <v>1557.6</v>
      </c>
      <c r="AL76" s="99">
        <v>2</v>
      </c>
      <c r="AM76" s="99">
        <v>1557.6</v>
      </c>
      <c r="AN76" s="99">
        <v>2</v>
      </c>
      <c r="AO76" s="99">
        <v>1557.6</v>
      </c>
      <c r="AP76" s="99">
        <v>3</v>
      </c>
      <c r="AQ76" s="99">
        <v>2336.3999999999996</v>
      </c>
      <c r="AR76" s="99">
        <v>3</v>
      </c>
      <c r="AS76" s="99">
        <v>2336.3999999999996</v>
      </c>
      <c r="AT76" s="99">
        <v>3</v>
      </c>
      <c r="AU76" s="99">
        <v>2336.3999999999996</v>
      </c>
      <c r="AV76" s="99">
        <v>2</v>
      </c>
      <c r="AW76" s="99">
        <v>1557.6</v>
      </c>
      <c r="AX76" s="99">
        <v>2</v>
      </c>
      <c r="AY76" s="99">
        <v>1557.6</v>
      </c>
      <c r="AZ76" s="99">
        <v>2</v>
      </c>
      <c r="BA76" s="99">
        <v>1557.6</v>
      </c>
      <c r="BB76" s="99">
        <v>2</v>
      </c>
      <c r="BC76" s="99">
        <v>1557.6</v>
      </c>
      <c r="BD76" s="99">
        <v>2</v>
      </c>
      <c r="BE76" s="99">
        <v>1557.6</v>
      </c>
      <c r="BF76" s="99">
        <v>3</v>
      </c>
      <c r="BG76" s="99">
        <v>2336.3999999999996</v>
      </c>
      <c r="BH76" s="99">
        <v>2</v>
      </c>
      <c r="BI76" s="99">
        <v>1557.6</v>
      </c>
      <c r="BJ76" s="99">
        <v>4</v>
      </c>
      <c r="BK76" s="99">
        <v>3115.2</v>
      </c>
      <c r="BL76" s="99">
        <v>2</v>
      </c>
      <c r="BM76" s="99">
        <v>1557.6</v>
      </c>
      <c r="BN76" s="99">
        <v>3</v>
      </c>
      <c r="BO76" s="99">
        <v>2336.3999999999996</v>
      </c>
      <c r="BP76" s="99">
        <v>3</v>
      </c>
      <c r="BQ76" s="99">
        <v>2336.3999999999996</v>
      </c>
      <c r="BR76" s="99">
        <v>2</v>
      </c>
      <c r="BS76" s="99">
        <v>1557.6</v>
      </c>
      <c r="BT76" s="99">
        <v>2</v>
      </c>
      <c r="BU76" s="99">
        <v>1557.6</v>
      </c>
      <c r="BV76" s="99">
        <v>3</v>
      </c>
      <c r="BW76" s="99">
        <v>2336.3999999999996</v>
      </c>
      <c r="BX76" s="99">
        <v>2</v>
      </c>
      <c r="BY76" s="99">
        <v>1557.6</v>
      </c>
      <c r="BZ76" s="99">
        <v>3</v>
      </c>
      <c r="CA76" s="99">
        <v>2336.3999999999996</v>
      </c>
      <c r="CB76" s="99">
        <v>2</v>
      </c>
      <c r="CC76" s="99">
        <v>1557.6</v>
      </c>
      <c r="CD76" s="99">
        <v>3</v>
      </c>
      <c r="CE76" s="99">
        <v>2336.3999999999996</v>
      </c>
      <c r="CF76" s="99">
        <v>2</v>
      </c>
      <c r="CG76" s="99">
        <v>1557.6</v>
      </c>
      <c r="CH76" s="99">
        <v>3</v>
      </c>
      <c r="CI76" s="99">
        <v>2336.3999999999996</v>
      </c>
      <c r="CJ76" s="99">
        <v>2</v>
      </c>
      <c r="CK76" s="99">
        <v>1557.6</v>
      </c>
      <c r="CL76" s="99">
        <v>2.4674592726048421</v>
      </c>
      <c r="CM76" s="99">
        <v>1921.6572815046509</v>
      </c>
      <c r="CN76" s="99">
        <v>2</v>
      </c>
      <c r="CO76" s="99">
        <v>1557.6</v>
      </c>
      <c r="CP76" s="99">
        <v>2</v>
      </c>
      <c r="CQ76" s="99">
        <v>1557.6</v>
      </c>
      <c r="CR76" s="99">
        <v>3</v>
      </c>
      <c r="CS76" s="99">
        <v>2336.3999999999996</v>
      </c>
      <c r="CT76" s="99">
        <v>3</v>
      </c>
      <c r="CU76" s="99">
        <v>2336.3999999999996</v>
      </c>
    </row>
    <row r="77" spans="2:99">
      <c r="C77" s="98" t="s">
        <v>242</v>
      </c>
      <c r="D77" s="99">
        <v>0</v>
      </c>
      <c r="E77" s="99">
        <v>0</v>
      </c>
      <c r="F77" s="99">
        <v>0</v>
      </c>
      <c r="G77" s="99">
        <v>0</v>
      </c>
      <c r="H77" s="99">
        <v>1.8000985156859384</v>
      </c>
      <c r="I77" s="99">
        <v>501.14742676696522</v>
      </c>
      <c r="J77" s="99">
        <v>2</v>
      </c>
      <c r="K77" s="99">
        <v>556.79999999999995</v>
      </c>
      <c r="L77" s="99">
        <v>2</v>
      </c>
      <c r="M77" s="99">
        <v>556.79999999999995</v>
      </c>
      <c r="N77" s="99">
        <v>2</v>
      </c>
      <c r="O77" s="99">
        <v>556.79999999999995</v>
      </c>
      <c r="P77" s="99">
        <v>3</v>
      </c>
      <c r="Q77" s="99">
        <v>835.19999999999993</v>
      </c>
      <c r="R77" s="99">
        <v>2</v>
      </c>
      <c r="S77" s="99">
        <v>556.79999999999995</v>
      </c>
      <c r="T77" s="99">
        <v>2</v>
      </c>
      <c r="U77" s="99">
        <v>556.79999999999995</v>
      </c>
      <c r="V77" s="99">
        <v>2</v>
      </c>
      <c r="W77" s="99">
        <v>556.79999999999995</v>
      </c>
      <c r="X77" s="99">
        <v>3</v>
      </c>
      <c r="Y77" s="99">
        <v>835.19999999999993</v>
      </c>
      <c r="Z77" s="99">
        <v>3</v>
      </c>
      <c r="AA77" s="99">
        <v>835.19999999999993</v>
      </c>
      <c r="AB77" s="99">
        <v>2</v>
      </c>
      <c r="AC77" s="99">
        <v>556.79999999999995</v>
      </c>
      <c r="AD77" s="99">
        <v>2</v>
      </c>
      <c r="AE77" s="99">
        <v>556.79999999999995</v>
      </c>
      <c r="AF77" s="99">
        <v>2</v>
      </c>
      <c r="AG77" s="99">
        <v>556.79999999999995</v>
      </c>
      <c r="AH77" s="99">
        <v>2</v>
      </c>
      <c r="AI77" s="99">
        <v>556.79999999999995</v>
      </c>
      <c r="AJ77" s="99">
        <v>2</v>
      </c>
      <c r="AK77" s="99">
        <v>556.79999999999995</v>
      </c>
      <c r="AL77" s="99">
        <v>2</v>
      </c>
      <c r="AM77" s="99">
        <v>556.79999999999995</v>
      </c>
      <c r="AN77" s="99">
        <v>2</v>
      </c>
      <c r="AO77" s="99">
        <v>556.79999999999995</v>
      </c>
      <c r="AP77" s="99">
        <v>3</v>
      </c>
      <c r="AQ77" s="99">
        <v>835.19999999999993</v>
      </c>
      <c r="AR77" s="99">
        <v>3</v>
      </c>
      <c r="AS77" s="99">
        <v>835.19999999999993</v>
      </c>
      <c r="AT77" s="99">
        <v>3</v>
      </c>
      <c r="AU77" s="99">
        <v>835.19999999999993</v>
      </c>
      <c r="AV77" s="99">
        <v>3</v>
      </c>
      <c r="AW77" s="99">
        <v>835.19999999999993</v>
      </c>
      <c r="AX77" s="99">
        <v>3</v>
      </c>
      <c r="AY77" s="99">
        <v>835.19999999999993</v>
      </c>
      <c r="AZ77" s="99">
        <v>2</v>
      </c>
      <c r="BA77" s="99">
        <v>556.79999999999995</v>
      </c>
      <c r="BB77" s="99">
        <v>3</v>
      </c>
      <c r="BC77" s="99">
        <v>835.19999999999993</v>
      </c>
      <c r="BD77" s="99">
        <v>2</v>
      </c>
      <c r="BE77" s="99">
        <v>556.79999999999995</v>
      </c>
      <c r="BF77" s="99">
        <v>3</v>
      </c>
      <c r="BG77" s="99">
        <v>835.19999999999993</v>
      </c>
      <c r="BH77" s="99">
        <v>2</v>
      </c>
      <c r="BI77" s="99">
        <v>556.79999999999995</v>
      </c>
      <c r="BJ77" s="99">
        <v>4</v>
      </c>
      <c r="BK77" s="99">
        <v>1113.5999999999999</v>
      </c>
      <c r="BL77" s="99">
        <v>2</v>
      </c>
      <c r="BM77" s="99">
        <v>556.79999999999995</v>
      </c>
      <c r="BN77" s="99">
        <v>3</v>
      </c>
      <c r="BO77" s="99">
        <v>835.19999999999993</v>
      </c>
      <c r="BP77" s="99">
        <v>4</v>
      </c>
      <c r="BQ77" s="99">
        <v>1113.5999999999999</v>
      </c>
      <c r="BR77" s="99">
        <v>3</v>
      </c>
      <c r="BS77" s="99">
        <v>835.19999999999993</v>
      </c>
      <c r="BT77" s="99">
        <v>2</v>
      </c>
      <c r="BU77" s="99">
        <v>556.79999999999995</v>
      </c>
      <c r="BV77" s="99">
        <v>3</v>
      </c>
      <c r="BW77" s="99">
        <v>835.19999999999993</v>
      </c>
      <c r="BX77" s="99">
        <v>3</v>
      </c>
      <c r="BY77" s="99">
        <v>835.19999999999993</v>
      </c>
      <c r="BZ77" s="99">
        <v>3</v>
      </c>
      <c r="CA77" s="99">
        <v>835.19999999999993</v>
      </c>
      <c r="CB77" s="99">
        <v>2</v>
      </c>
      <c r="CC77" s="99">
        <v>556.79999999999995</v>
      </c>
      <c r="CD77" s="99">
        <v>3</v>
      </c>
      <c r="CE77" s="99">
        <v>835.19999999999993</v>
      </c>
      <c r="CF77" s="99">
        <v>2</v>
      </c>
      <c r="CG77" s="99">
        <v>556.79999999999995</v>
      </c>
      <c r="CH77" s="99">
        <v>3</v>
      </c>
      <c r="CI77" s="99">
        <v>835.19999999999993</v>
      </c>
      <c r="CJ77" s="99">
        <v>2</v>
      </c>
      <c r="CK77" s="99">
        <v>556.79999999999995</v>
      </c>
      <c r="CL77" s="99">
        <v>2.4674592726048421</v>
      </c>
      <c r="CM77" s="99">
        <v>686.94066149318803</v>
      </c>
      <c r="CN77" s="99">
        <v>2</v>
      </c>
      <c r="CO77" s="99">
        <v>556.79999999999995</v>
      </c>
      <c r="CP77" s="99">
        <v>3</v>
      </c>
      <c r="CQ77" s="99">
        <v>835.19999999999993</v>
      </c>
      <c r="CR77" s="99">
        <v>3</v>
      </c>
      <c r="CS77" s="99">
        <v>835.19999999999993</v>
      </c>
      <c r="CT77" s="99">
        <v>4</v>
      </c>
      <c r="CU77" s="99">
        <v>1113.5999999999999</v>
      </c>
    </row>
    <row r="78" spans="2:99">
      <c r="C78" s="98" t="s">
        <v>243</v>
      </c>
      <c r="D78" s="99">
        <v>0</v>
      </c>
      <c r="E78" s="99">
        <v>0</v>
      </c>
      <c r="F78" s="99">
        <v>0</v>
      </c>
      <c r="G78" s="99">
        <v>0</v>
      </c>
      <c r="H78" s="99">
        <v>1.8000985156859384</v>
      </c>
      <c r="I78" s="99">
        <v>993.65438065863793</v>
      </c>
      <c r="J78" s="99">
        <v>2</v>
      </c>
      <c r="K78" s="99">
        <v>1104</v>
      </c>
      <c r="L78" s="99">
        <v>3</v>
      </c>
      <c r="M78" s="99">
        <v>1656</v>
      </c>
      <c r="N78" s="99">
        <v>2</v>
      </c>
      <c r="O78" s="99">
        <v>1104</v>
      </c>
      <c r="P78" s="99">
        <v>3</v>
      </c>
      <c r="Q78" s="99">
        <v>1656</v>
      </c>
      <c r="R78" s="99">
        <v>2</v>
      </c>
      <c r="S78" s="99">
        <v>1104</v>
      </c>
      <c r="T78" s="99">
        <v>2</v>
      </c>
      <c r="U78" s="99">
        <v>1104</v>
      </c>
      <c r="V78" s="99">
        <v>2</v>
      </c>
      <c r="W78" s="99">
        <v>1104</v>
      </c>
      <c r="X78" s="99">
        <v>3</v>
      </c>
      <c r="Y78" s="99">
        <v>1656</v>
      </c>
      <c r="Z78" s="99">
        <v>3</v>
      </c>
      <c r="AA78" s="99">
        <v>1656</v>
      </c>
      <c r="AB78" s="99">
        <v>3</v>
      </c>
      <c r="AC78" s="99">
        <v>1656</v>
      </c>
      <c r="AD78" s="99">
        <v>2</v>
      </c>
      <c r="AE78" s="99">
        <v>1104</v>
      </c>
      <c r="AF78" s="99">
        <v>2</v>
      </c>
      <c r="AG78" s="99">
        <v>1104</v>
      </c>
      <c r="AH78" s="99">
        <v>2</v>
      </c>
      <c r="AI78" s="99">
        <v>1104</v>
      </c>
      <c r="AJ78" s="99">
        <v>2</v>
      </c>
      <c r="AK78" s="99">
        <v>1104</v>
      </c>
      <c r="AL78" s="99">
        <v>2</v>
      </c>
      <c r="AM78" s="99">
        <v>1104</v>
      </c>
      <c r="AN78" s="99">
        <v>2</v>
      </c>
      <c r="AO78" s="99">
        <v>1104</v>
      </c>
      <c r="AP78" s="99">
        <v>3</v>
      </c>
      <c r="AQ78" s="99">
        <v>1656</v>
      </c>
      <c r="AR78" s="99">
        <v>3</v>
      </c>
      <c r="AS78" s="99">
        <v>1656</v>
      </c>
      <c r="AT78" s="99">
        <v>3</v>
      </c>
      <c r="AU78" s="99">
        <v>1656</v>
      </c>
      <c r="AV78" s="99">
        <v>2</v>
      </c>
      <c r="AW78" s="99">
        <v>1104</v>
      </c>
      <c r="AX78" s="99">
        <v>2</v>
      </c>
      <c r="AY78" s="99">
        <v>1104</v>
      </c>
      <c r="AZ78" s="99">
        <v>3</v>
      </c>
      <c r="BA78" s="99">
        <v>1656</v>
      </c>
      <c r="BB78" s="99">
        <v>3</v>
      </c>
      <c r="BC78" s="99">
        <v>1656</v>
      </c>
      <c r="BD78" s="99">
        <v>2</v>
      </c>
      <c r="BE78" s="99">
        <v>1104</v>
      </c>
      <c r="BF78" s="99">
        <v>3</v>
      </c>
      <c r="BG78" s="99">
        <v>1656</v>
      </c>
      <c r="BH78" s="99">
        <v>2</v>
      </c>
      <c r="BI78" s="99">
        <v>1104</v>
      </c>
      <c r="BJ78" s="99">
        <v>3</v>
      </c>
      <c r="BK78" s="99">
        <v>1656</v>
      </c>
      <c r="BL78" s="99">
        <v>2</v>
      </c>
      <c r="BM78" s="99">
        <v>1104</v>
      </c>
      <c r="BN78" s="99">
        <v>3</v>
      </c>
      <c r="BO78" s="99">
        <v>1656</v>
      </c>
      <c r="BP78" s="99">
        <v>3</v>
      </c>
      <c r="BQ78" s="99">
        <v>1656</v>
      </c>
      <c r="BR78" s="99">
        <v>3</v>
      </c>
      <c r="BS78" s="99">
        <v>1656</v>
      </c>
      <c r="BT78" s="99">
        <v>2</v>
      </c>
      <c r="BU78" s="99">
        <v>1104</v>
      </c>
      <c r="BV78" s="99">
        <v>3</v>
      </c>
      <c r="BW78" s="99">
        <v>1656</v>
      </c>
      <c r="BX78" s="99">
        <v>3</v>
      </c>
      <c r="BY78" s="99">
        <v>1656</v>
      </c>
      <c r="BZ78" s="99">
        <v>3</v>
      </c>
      <c r="CA78" s="99">
        <v>1656</v>
      </c>
      <c r="CB78" s="99">
        <v>3</v>
      </c>
      <c r="CC78" s="99">
        <v>1656</v>
      </c>
      <c r="CD78" s="99">
        <v>3</v>
      </c>
      <c r="CE78" s="99">
        <v>1656</v>
      </c>
      <c r="CF78" s="99">
        <v>2</v>
      </c>
      <c r="CG78" s="99">
        <v>1104</v>
      </c>
      <c r="CH78" s="99">
        <v>4</v>
      </c>
      <c r="CI78" s="99">
        <v>2208</v>
      </c>
      <c r="CJ78" s="99">
        <v>2</v>
      </c>
      <c r="CK78" s="99">
        <v>1104</v>
      </c>
      <c r="CL78" s="99">
        <v>2.4674592726048421</v>
      </c>
      <c r="CM78" s="99">
        <v>1362.0375184778729</v>
      </c>
      <c r="CN78" s="99">
        <v>2</v>
      </c>
      <c r="CO78" s="99">
        <v>1104</v>
      </c>
      <c r="CP78" s="99">
        <v>2</v>
      </c>
      <c r="CQ78" s="99">
        <v>1104</v>
      </c>
      <c r="CR78" s="99">
        <v>3</v>
      </c>
      <c r="CS78" s="99">
        <v>1656</v>
      </c>
      <c r="CT78" s="99">
        <v>4</v>
      </c>
      <c r="CU78" s="99">
        <v>2208</v>
      </c>
    </row>
    <row r="79" spans="2:99">
      <c r="C79" s="98" t="s">
        <v>244</v>
      </c>
      <c r="D79" s="99">
        <v>0</v>
      </c>
      <c r="E79" s="99">
        <v>0</v>
      </c>
      <c r="F79" s="99">
        <v>0</v>
      </c>
      <c r="G79" s="99">
        <v>0</v>
      </c>
      <c r="H79" s="99">
        <v>1.8000985156859384</v>
      </c>
      <c r="I79" s="99">
        <v>1363.0345960773925</v>
      </c>
      <c r="J79" s="99">
        <v>2</v>
      </c>
      <c r="K79" s="99">
        <v>1514.3999999999999</v>
      </c>
      <c r="L79" s="99">
        <v>3</v>
      </c>
      <c r="M79" s="99">
        <v>2271.6</v>
      </c>
      <c r="N79" s="99">
        <v>2</v>
      </c>
      <c r="O79" s="99">
        <v>1514.3999999999999</v>
      </c>
      <c r="P79" s="99">
        <v>3</v>
      </c>
      <c r="Q79" s="99">
        <v>2271.6</v>
      </c>
      <c r="R79" s="99">
        <v>2</v>
      </c>
      <c r="S79" s="99">
        <v>1514.3999999999999</v>
      </c>
      <c r="T79" s="99">
        <v>2</v>
      </c>
      <c r="U79" s="99">
        <v>1514.3999999999999</v>
      </c>
      <c r="V79" s="99">
        <v>2</v>
      </c>
      <c r="W79" s="99">
        <v>1514.3999999999999</v>
      </c>
      <c r="X79" s="99">
        <v>3</v>
      </c>
      <c r="Y79" s="99">
        <v>2271.6</v>
      </c>
      <c r="Z79" s="99">
        <v>3</v>
      </c>
      <c r="AA79" s="99">
        <v>2271.6</v>
      </c>
      <c r="AB79" s="99">
        <v>2</v>
      </c>
      <c r="AC79" s="99">
        <v>1514.3999999999999</v>
      </c>
      <c r="AD79" s="99">
        <v>2</v>
      </c>
      <c r="AE79" s="99">
        <v>1514.3999999999999</v>
      </c>
      <c r="AF79" s="99">
        <v>2</v>
      </c>
      <c r="AG79" s="99">
        <v>1514.3999999999999</v>
      </c>
      <c r="AH79" s="99">
        <v>2</v>
      </c>
      <c r="AI79" s="99">
        <v>1514.3999999999999</v>
      </c>
      <c r="AJ79" s="99">
        <v>2</v>
      </c>
      <c r="AK79" s="99">
        <v>1514.3999999999999</v>
      </c>
      <c r="AL79" s="99">
        <v>2</v>
      </c>
      <c r="AM79" s="99">
        <v>1514.3999999999999</v>
      </c>
      <c r="AN79" s="99">
        <v>2</v>
      </c>
      <c r="AO79" s="99">
        <v>1514.3999999999999</v>
      </c>
      <c r="AP79" s="99">
        <v>3</v>
      </c>
      <c r="AQ79" s="99">
        <v>2271.6</v>
      </c>
      <c r="AR79" s="99">
        <v>3</v>
      </c>
      <c r="AS79" s="99">
        <v>2271.6</v>
      </c>
      <c r="AT79" s="99">
        <v>3</v>
      </c>
      <c r="AU79" s="99">
        <v>2271.6</v>
      </c>
      <c r="AV79" s="99">
        <v>3</v>
      </c>
      <c r="AW79" s="99">
        <v>2271.6</v>
      </c>
      <c r="AX79" s="99">
        <v>2</v>
      </c>
      <c r="AY79" s="99">
        <v>1514.3999999999999</v>
      </c>
      <c r="AZ79" s="99">
        <v>2</v>
      </c>
      <c r="BA79" s="99">
        <v>1514.3999999999999</v>
      </c>
      <c r="BB79" s="99">
        <v>3</v>
      </c>
      <c r="BC79" s="99">
        <v>2271.6</v>
      </c>
      <c r="BD79" s="99">
        <v>2</v>
      </c>
      <c r="BE79" s="99">
        <v>1514.3999999999999</v>
      </c>
      <c r="BF79" s="99">
        <v>3</v>
      </c>
      <c r="BG79" s="99">
        <v>2271.6</v>
      </c>
      <c r="BH79" s="99">
        <v>2</v>
      </c>
      <c r="BI79" s="99">
        <v>1514.3999999999999</v>
      </c>
      <c r="BJ79" s="99">
        <v>4</v>
      </c>
      <c r="BK79" s="99">
        <v>3028.7999999999997</v>
      </c>
      <c r="BL79" s="99">
        <v>2</v>
      </c>
      <c r="BM79" s="99">
        <v>1514.3999999999999</v>
      </c>
      <c r="BN79" s="99">
        <v>3</v>
      </c>
      <c r="BO79" s="99">
        <v>2271.6</v>
      </c>
      <c r="BP79" s="99">
        <v>3</v>
      </c>
      <c r="BQ79" s="99">
        <v>2271.6</v>
      </c>
      <c r="BR79" s="99">
        <v>3</v>
      </c>
      <c r="BS79" s="99">
        <v>2271.6</v>
      </c>
      <c r="BT79" s="99">
        <v>2</v>
      </c>
      <c r="BU79" s="99">
        <v>1514.3999999999999</v>
      </c>
      <c r="BV79" s="99">
        <v>3</v>
      </c>
      <c r="BW79" s="99">
        <v>2271.6</v>
      </c>
      <c r="BX79" s="99">
        <v>3</v>
      </c>
      <c r="BY79" s="99">
        <v>2271.6</v>
      </c>
      <c r="BZ79" s="99">
        <v>3</v>
      </c>
      <c r="CA79" s="99">
        <v>2271.6</v>
      </c>
      <c r="CB79" s="99">
        <v>3</v>
      </c>
      <c r="CC79" s="99">
        <v>2271.6</v>
      </c>
      <c r="CD79" s="99">
        <v>3</v>
      </c>
      <c r="CE79" s="99">
        <v>2271.6</v>
      </c>
      <c r="CF79" s="99">
        <v>2</v>
      </c>
      <c r="CG79" s="99">
        <v>1514.3999999999999</v>
      </c>
      <c r="CH79" s="99">
        <v>4</v>
      </c>
      <c r="CI79" s="99">
        <v>3028.7999999999997</v>
      </c>
      <c r="CJ79" s="99">
        <v>2</v>
      </c>
      <c r="CK79" s="99">
        <v>1514.3999999999999</v>
      </c>
      <c r="CL79" s="99">
        <v>2.4674592726048421</v>
      </c>
      <c r="CM79" s="99">
        <v>1868.3601612163864</v>
      </c>
      <c r="CN79" s="99">
        <v>2</v>
      </c>
      <c r="CO79" s="99">
        <v>1514.3999999999999</v>
      </c>
      <c r="CP79" s="99">
        <v>3</v>
      </c>
      <c r="CQ79" s="99">
        <v>2271.6</v>
      </c>
      <c r="CR79" s="99">
        <v>3</v>
      </c>
      <c r="CS79" s="99">
        <v>2271.6</v>
      </c>
      <c r="CT79" s="99">
        <v>4</v>
      </c>
      <c r="CU79" s="99">
        <v>3028.7999999999997</v>
      </c>
    </row>
    <row r="80" spans="2:99">
      <c r="C80" s="98" t="s">
        <v>245</v>
      </c>
      <c r="D80" s="99">
        <v>0</v>
      </c>
      <c r="E80" s="99">
        <v>0</v>
      </c>
      <c r="F80" s="99">
        <v>0</v>
      </c>
      <c r="G80" s="99">
        <v>0</v>
      </c>
      <c r="H80" s="99">
        <v>1.8000985156859384</v>
      </c>
      <c r="I80" s="99">
        <v>1449.4393248303174</v>
      </c>
      <c r="J80" s="99">
        <v>2</v>
      </c>
      <c r="K80" s="99">
        <v>1610.3999999999999</v>
      </c>
      <c r="L80" s="99">
        <v>3</v>
      </c>
      <c r="M80" s="99">
        <v>2415.6</v>
      </c>
      <c r="N80" s="99">
        <v>2</v>
      </c>
      <c r="O80" s="99">
        <v>1610.3999999999999</v>
      </c>
      <c r="P80" s="99">
        <v>3</v>
      </c>
      <c r="Q80" s="99">
        <v>2415.6</v>
      </c>
      <c r="R80" s="99">
        <v>2</v>
      </c>
      <c r="S80" s="99">
        <v>1610.3999999999999</v>
      </c>
      <c r="T80" s="99">
        <v>2</v>
      </c>
      <c r="U80" s="99">
        <v>1610.3999999999999</v>
      </c>
      <c r="V80" s="99">
        <v>2</v>
      </c>
      <c r="W80" s="99">
        <v>1610.3999999999999</v>
      </c>
      <c r="X80" s="99">
        <v>3</v>
      </c>
      <c r="Y80" s="99">
        <v>2415.6</v>
      </c>
      <c r="Z80" s="99">
        <v>3</v>
      </c>
      <c r="AA80" s="99">
        <v>2415.6</v>
      </c>
      <c r="AB80" s="99">
        <v>2</v>
      </c>
      <c r="AC80" s="99">
        <v>1610.3999999999999</v>
      </c>
      <c r="AD80" s="99">
        <v>2</v>
      </c>
      <c r="AE80" s="99">
        <v>1610.3999999999999</v>
      </c>
      <c r="AF80" s="99">
        <v>2</v>
      </c>
      <c r="AG80" s="99">
        <v>1610.3999999999999</v>
      </c>
      <c r="AH80" s="99">
        <v>2</v>
      </c>
      <c r="AI80" s="99">
        <v>1610.3999999999999</v>
      </c>
      <c r="AJ80" s="99">
        <v>2</v>
      </c>
      <c r="AK80" s="99">
        <v>1610.3999999999999</v>
      </c>
      <c r="AL80" s="99">
        <v>2</v>
      </c>
      <c r="AM80" s="99">
        <v>1610.3999999999999</v>
      </c>
      <c r="AN80" s="99">
        <v>2</v>
      </c>
      <c r="AO80" s="99">
        <v>1610.3999999999999</v>
      </c>
      <c r="AP80" s="99">
        <v>3</v>
      </c>
      <c r="AQ80" s="99">
        <v>2415.6</v>
      </c>
      <c r="AR80" s="99">
        <v>3</v>
      </c>
      <c r="AS80" s="99">
        <v>2415.6</v>
      </c>
      <c r="AT80" s="99">
        <v>3</v>
      </c>
      <c r="AU80" s="99">
        <v>2415.6</v>
      </c>
      <c r="AV80" s="99">
        <v>3</v>
      </c>
      <c r="AW80" s="99">
        <v>2415.6</v>
      </c>
      <c r="AX80" s="99">
        <v>2</v>
      </c>
      <c r="AY80" s="99">
        <v>1610.3999999999999</v>
      </c>
      <c r="AZ80" s="99">
        <v>3</v>
      </c>
      <c r="BA80" s="99">
        <v>2415.6</v>
      </c>
      <c r="BB80" s="99">
        <v>3</v>
      </c>
      <c r="BC80" s="99">
        <v>2415.6</v>
      </c>
      <c r="BD80" s="99">
        <v>2</v>
      </c>
      <c r="BE80" s="99">
        <v>1610.3999999999999</v>
      </c>
      <c r="BF80" s="99">
        <v>3</v>
      </c>
      <c r="BG80" s="99">
        <v>2415.6</v>
      </c>
      <c r="BH80" s="99">
        <v>2</v>
      </c>
      <c r="BI80" s="99">
        <v>1610.3999999999999</v>
      </c>
      <c r="BJ80" s="99">
        <v>3</v>
      </c>
      <c r="BK80" s="99">
        <v>2415.6</v>
      </c>
      <c r="BL80" s="99">
        <v>2</v>
      </c>
      <c r="BM80" s="99">
        <v>1610.3999999999999</v>
      </c>
      <c r="BN80" s="99">
        <v>3</v>
      </c>
      <c r="BO80" s="99">
        <v>2415.6</v>
      </c>
      <c r="BP80" s="99">
        <v>3</v>
      </c>
      <c r="BQ80" s="99">
        <v>2415.6</v>
      </c>
      <c r="BR80" s="99">
        <v>2</v>
      </c>
      <c r="BS80" s="99">
        <v>1610.3999999999999</v>
      </c>
      <c r="BT80" s="99">
        <v>2</v>
      </c>
      <c r="BU80" s="99">
        <v>1610.3999999999999</v>
      </c>
      <c r="BV80" s="99">
        <v>3</v>
      </c>
      <c r="BW80" s="99">
        <v>2415.6</v>
      </c>
      <c r="BX80" s="99">
        <v>3</v>
      </c>
      <c r="BY80" s="99">
        <v>2415.6</v>
      </c>
      <c r="BZ80" s="99">
        <v>3</v>
      </c>
      <c r="CA80" s="99">
        <v>2415.6</v>
      </c>
      <c r="CB80" s="99">
        <v>2</v>
      </c>
      <c r="CC80" s="99">
        <v>1610.3999999999999</v>
      </c>
      <c r="CD80" s="99">
        <v>3</v>
      </c>
      <c r="CE80" s="99">
        <v>2415.6</v>
      </c>
      <c r="CF80" s="99">
        <v>2</v>
      </c>
      <c r="CG80" s="99">
        <v>1610.3999999999999</v>
      </c>
      <c r="CH80" s="99">
        <v>3</v>
      </c>
      <c r="CI80" s="99">
        <v>2415.6</v>
      </c>
      <c r="CJ80" s="99">
        <v>2</v>
      </c>
      <c r="CK80" s="99">
        <v>1610.3999999999999</v>
      </c>
      <c r="CL80" s="99">
        <v>2.4674592726048421</v>
      </c>
      <c r="CM80" s="99">
        <v>1986.7982063014188</v>
      </c>
      <c r="CN80" s="99">
        <v>2</v>
      </c>
      <c r="CO80" s="99">
        <v>1610.3999999999999</v>
      </c>
      <c r="CP80" s="99">
        <v>2</v>
      </c>
      <c r="CQ80" s="99">
        <v>1610.3999999999999</v>
      </c>
      <c r="CR80" s="99">
        <v>3</v>
      </c>
      <c r="CS80" s="99">
        <v>2415.6</v>
      </c>
      <c r="CT80" s="99">
        <v>3</v>
      </c>
      <c r="CU80" s="99">
        <v>2415.6</v>
      </c>
    </row>
    <row r="81" spans="2:99">
      <c r="C81" s="98" t="s">
        <v>246</v>
      </c>
      <c r="D81" s="99">
        <v>0</v>
      </c>
      <c r="E81" s="99">
        <v>0</v>
      </c>
      <c r="F81" s="99">
        <v>0</v>
      </c>
      <c r="G81" s="99">
        <v>0</v>
      </c>
      <c r="H81" s="99">
        <v>1.8000985156859384</v>
      </c>
      <c r="I81" s="99">
        <v>1356.5542414209233</v>
      </c>
      <c r="J81" s="99">
        <v>2</v>
      </c>
      <c r="K81" s="99">
        <v>1507.2</v>
      </c>
      <c r="L81" s="99">
        <v>3</v>
      </c>
      <c r="M81" s="99">
        <v>2260.8000000000002</v>
      </c>
      <c r="N81" s="99">
        <v>2</v>
      </c>
      <c r="O81" s="99">
        <v>1507.2</v>
      </c>
      <c r="P81" s="99">
        <v>3</v>
      </c>
      <c r="Q81" s="99">
        <v>2260.8000000000002</v>
      </c>
      <c r="R81" s="99">
        <v>2</v>
      </c>
      <c r="S81" s="99">
        <v>1507.2</v>
      </c>
      <c r="T81" s="99">
        <v>2</v>
      </c>
      <c r="U81" s="99">
        <v>1507.2</v>
      </c>
      <c r="V81" s="99">
        <v>2</v>
      </c>
      <c r="W81" s="99">
        <v>1507.2</v>
      </c>
      <c r="X81" s="99">
        <v>3</v>
      </c>
      <c r="Y81" s="99">
        <v>2260.8000000000002</v>
      </c>
      <c r="Z81" s="99">
        <v>3</v>
      </c>
      <c r="AA81" s="99">
        <v>2260.8000000000002</v>
      </c>
      <c r="AB81" s="99">
        <v>2</v>
      </c>
      <c r="AC81" s="99">
        <v>1507.2</v>
      </c>
      <c r="AD81" s="99">
        <v>2</v>
      </c>
      <c r="AE81" s="99">
        <v>1507.2</v>
      </c>
      <c r="AF81" s="99">
        <v>2</v>
      </c>
      <c r="AG81" s="99">
        <v>1507.2</v>
      </c>
      <c r="AH81" s="99">
        <v>2</v>
      </c>
      <c r="AI81" s="99">
        <v>1507.2</v>
      </c>
      <c r="AJ81" s="99">
        <v>2</v>
      </c>
      <c r="AK81" s="99">
        <v>1507.2</v>
      </c>
      <c r="AL81" s="99">
        <v>2</v>
      </c>
      <c r="AM81" s="99">
        <v>1507.2</v>
      </c>
      <c r="AN81" s="99">
        <v>2</v>
      </c>
      <c r="AO81" s="99">
        <v>1507.2</v>
      </c>
      <c r="AP81" s="99">
        <v>3</v>
      </c>
      <c r="AQ81" s="99">
        <v>2260.8000000000002</v>
      </c>
      <c r="AR81" s="99">
        <v>3</v>
      </c>
      <c r="AS81" s="99">
        <v>2260.8000000000002</v>
      </c>
      <c r="AT81" s="99">
        <v>3</v>
      </c>
      <c r="AU81" s="99">
        <v>2260.8000000000002</v>
      </c>
      <c r="AV81" s="99">
        <v>3</v>
      </c>
      <c r="AW81" s="99">
        <v>2260.8000000000002</v>
      </c>
      <c r="AX81" s="99">
        <v>2</v>
      </c>
      <c r="AY81" s="99">
        <v>1507.2</v>
      </c>
      <c r="AZ81" s="99">
        <v>2</v>
      </c>
      <c r="BA81" s="99">
        <v>1507.2</v>
      </c>
      <c r="BB81" s="99">
        <v>2</v>
      </c>
      <c r="BC81" s="99">
        <v>1507.2</v>
      </c>
      <c r="BD81" s="99">
        <v>2</v>
      </c>
      <c r="BE81" s="99">
        <v>1507.2</v>
      </c>
      <c r="BF81" s="99">
        <v>3</v>
      </c>
      <c r="BG81" s="99">
        <v>2260.8000000000002</v>
      </c>
      <c r="BH81" s="99">
        <v>2</v>
      </c>
      <c r="BI81" s="99">
        <v>1507.2</v>
      </c>
      <c r="BJ81" s="99">
        <v>3</v>
      </c>
      <c r="BK81" s="99">
        <v>2260.8000000000002</v>
      </c>
      <c r="BL81" s="99">
        <v>2</v>
      </c>
      <c r="BM81" s="99">
        <v>1507.2</v>
      </c>
      <c r="BN81" s="99">
        <v>3</v>
      </c>
      <c r="BO81" s="99">
        <v>2260.8000000000002</v>
      </c>
      <c r="BP81" s="99">
        <v>3</v>
      </c>
      <c r="BQ81" s="99">
        <v>2260.8000000000002</v>
      </c>
      <c r="BR81" s="99">
        <v>2</v>
      </c>
      <c r="BS81" s="99">
        <v>1507.2</v>
      </c>
      <c r="BT81" s="99">
        <v>2</v>
      </c>
      <c r="BU81" s="99">
        <v>1507.2</v>
      </c>
      <c r="BV81" s="99">
        <v>3</v>
      </c>
      <c r="BW81" s="99">
        <v>2260.8000000000002</v>
      </c>
      <c r="BX81" s="99">
        <v>2</v>
      </c>
      <c r="BY81" s="99">
        <v>1507.2</v>
      </c>
      <c r="BZ81" s="99">
        <v>3</v>
      </c>
      <c r="CA81" s="99">
        <v>2260.8000000000002</v>
      </c>
      <c r="CB81" s="99">
        <v>3</v>
      </c>
      <c r="CC81" s="99">
        <v>2260.8000000000002</v>
      </c>
      <c r="CD81" s="99">
        <v>3</v>
      </c>
      <c r="CE81" s="99">
        <v>2260.8000000000002</v>
      </c>
      <c r="CF81" s="99">
        <v>2</v>
      </c>
      <c r="CG81" s="99">
        <v>1507.2</v>
      </c>
      <c r="CH81" s="99">
        <v>3</v>
      </c>
      <c r="CI81" s="99">
        <v>2260.8000000000002</v>
      </c>
      <c r="CJ81" s="99">
        <v>2</v>
      </c>
      <c r="CK81" s="99">
        <v>1507.2</v>
      </c>
      <c r="CL81" s="99">
        <v>2.4674592726048421</v>
      </c>
      <c r="CM81" s="99">
        <v>1859.477307835009</v>
      </c>
      <c r="CN81" s="99">
        <v>2</v>
      </c>
      <c r="CO81" s="99">
        <v>1507.2</v>
      </c>
      <c r="CP81" s="99">
        <v>3</v>
      </c>
      <c r="CQ81" s="99">
        <v>2260.8000000000002</v>
      </c>
      <c r="CR81" s="99">
        <v>3</v>
      </c>
      <c r="CS81" s="99">
        <v>2260.8000000000002</v>
      </c>
      <c r="CT81" s="99">
        <v>3</v>
      </c>
      <c r="CU81" s="99">
        <v>2260.8000000000002</v>
      </c>
    </row>
    <row r="82" spans="2:99">
      <c r="C82" s="98" t="s">
        <v>247</v>
      </c>
      <c r="D82" s="99">
        <v>0</v>
      </c>
      <c r="E82" s="99">
        <v>0</v>
      </c>
      <c r="F82" s="99">
        <v>0</v>
      </c>
      <c r="G82" s="99">
        <v>0</v>
      </c>
      <c r="H82" s="99">
        <v>1.8000985156859384</v>
      </c>
      <c r="I82" s="99">
        <v>915.89012478100528</v>
      </c>
      <c r="J82" s="99">
        <v>2</v>
      </c>
      <c r="K82" s="99">
        <v>1017.5999999999998</v>
      </c>
      <c r="L82" s="99">
        <v>2</v>
      </c>
      <c r="M82" s="99">
        <v>1017.5999999999998</v>
      </c>
      <c r="N82" s="99">
        <v>2</v>
      </c>
      <c r="O82" s="99">
        <v>1017.5999999999998</v>
      </c>
      <c r="P82" s="99">
        <v>3</v>
      </c>
      <c r="Q82" s="99">
        <v>1526.3999999999996</v>
      </c>
      <c r="R82" s="99">
        <v>2</v>
      </c>
      <c r="S82" s="99">
        <v>1017.5999999999998</v>
      </c>
      <c r="T82" s="99">
        <v>2</v>
      </c>
      <c r="U82" s="99">
        <v>1017.5999999999998</v>
      </c>
      <c r="V82" s="99">
        <v>2</v>
      </c>
      <c r="W82" s="99">
        <v>1017.5999999999998</v>
      </c>
      <c r="X82" s="99">
        <v>3</v>
      </c>
      <c r="Y82" s="99">
        <v>1526.3999999999996</v>
      </c>
      <c r="Z82" s="99">
        <v>3</v>
      </c>
      <c r="AA82" s="99">
        <v>1526.3999999999996</v>
      </c>
      <c r="AB82" s="99">
        <v>3</v>
      </c>
      <c r="AC82" s="99">
        <v>1526.3999999999996</v>
      </c>
      <c r="AD82" s="99">
        <v>2</v>
      </c>
      <c r="AE82" s="99">
        <v>1017.5999999999998</v>
      </c>
      <c r="AF82" s="99">
        <v>2</v>
      </c>
      <c r="AG82" s="99">
        <v>1017.5999999999998</v>
      </c>
      <c r="AH82" s="99">
        <v>2</v>
      </c>
      <c r="AI82" s="99">
        <v>1017.5999999999998</v>
      </c>
      <c r="AJ82" s="99">
        <v>2</v>
      </c>
      <c r="AK82" s="99">
        <v>1017.5999999999998</v>
      </c>
      <c r="AL82" s="99">
        <v>2</v>
      </c>
      <c r="AM82" s="99">
        <v>1017.5999999999998</v>
      </c>
      <c r="AN82" s="99">
        <v>2</v>
      </c>
      <c r="AO82" s="99">
        <v>1017.5999999999998</v>
      </c>
      <c r="AP82" s="99">
        <v>3</v>
      </c>
      <c r="AQ82" s="99">
        <v>1526.3999999999996</v>
      </c>
      <c r="AR82" s="99">
        <v>3</v>
      </c>
      <c r="AS82" s="99">
        <v>1526.3999999999996</v>
      </c>
      <c r="AT82" s="99">
        <v>3</v>
      </c>
      <c r="AU82" s="99">
        <v>1526.3999999999996</v>
      </c>
      <c r="AV82" s="99">
        <v>3</v>
      </c>
      <c r="AW82" s="99">
        <v>1526.3999999999996</v>
      </c>
      <c r="AX82" s="99">
        <v>2</v>
      </c>
      <c r="AY82" s="99">
        <v>1017.5999999999998</v>
      </c>
      <c r="AZ82" s="99">
        <v>3</v>
      </c>
      <c r="BA82" s="99">
        <v>1526.3999999999996</v>
      </c>
      <c r="BB82" s="99">
        <v>2</v>
      </c>
      <c r="BC82" s="99">
        <v>1017.5999999999998</v>
      </c>
      <c r="BD82" s="99">
        <v>2</v>
      </c>
      <c r="BE82" s="99">
        <v>1017.5999999999998</v>
      </c>
      <c r="BF82" s="99">
        <v>3</v>
      </c>
      <c r="BG82" s="99">
        <v>1526.3999999999996</v>
      </c>
      <c r="BH82" s="99">
        <v>2</v>
      </c>
      <c r="BI82" s="99">
        <v>1017.5999999999998</v>
      </c>
      <c r="BJ82" s="99">
        <v>4</v>
      </c>
      <c r="BK82" s="99">
        <v>2035.1999999999996</v>
      </c>
      <c r="BL82" s="99">
        <v>2</v>
      </c>
      <c r="BM82" s="99">
        <v>1017.5999999999998</v>
      </c>
      <c r="BN82" s="99">
        <v>3</v>
      </c>
      <c r="BO82" s="99">
        <v>1526.3999999999996</v>
      </c>
      <c r="BP82" s="99">
        <v>4</v>
      </c>
      <c r="BQ82" s="99">
        <v>2035.1999999999996</v>
      </c>
      <c r="BR82" s="99">
        <v>3</v>
      </c>
      <c r="BS82" s="99">
        <v>1526.3999999999996</v>
      </c>
      <c r="BT82" s="99">
        <v>2</v>
      </c>
      <c r="BU82" s="99">
        <v>1017.5999999999998</v>
      </c>
      <c r="BV82" s="99">
        <v>3</v>
      </c>
      <c r="BW82" s="99">
        <v>1526.3999999999996</v>
      </c>
      <c r="BX82" s="99">
        <v>3</v>
      </c>
      <c r="BY82" s="99">
        <v>1526.3999999999996</v>
      </c>
      <c r="BZ82" s="99">
        <v>3</v>
      </c>
      <c r="CA82" s="99">
        <v>1526.3999999999996</v>
      </c>
      <c r="CB82" s="99">
        <v>3</v>
      </c>
      <c r="CC82" s="99">
        <v>1526.3999999999996</v>
      </c>
      <c r="CD82" s="99">
        <v>3</v>
      </c>
      <c r="CE82" s="99">
        <v>1526.3999999999996</v>
      </c>
      <c r="CF82" s="99">
        <v>2</v>
      </c>
      <c r="CG82" s="99">
        <v>1017.5999999999998</v>
      </c>
      <c r="CH82" s="99">
        <v>4</v>
      </c>
      <c r="CI82" s="99">
        <v>2035.1999999999996</v>
      </c>
      <c r="CJ82" s="99">
        <v>2</v>
      </c>
      <c r="CK82" s="99">
        <v>1017.5999999999998</v>
      </c>
      <c r="CL82" s="99">
        <v>2.4674592726048421</v>
      </c>
      <c r="CM82" s="99">
        <v>1255.4432779013434</v>
      </c>
      <c r="CN82" s="99">
        <v>3</v>
      </c>
      <c r="CO82" s="99">
        <v>1526.3999999999996</v>
      </c>
      <c r="CP82" s="99">
        <v>3</v>
      </c>
      <c r="CQ82" s="99">
        <v>1526.3999999999996</v>
      </c>
      <c r="CR82" s="99">
        <v>3</v>
      </c>
      <c r="CS82" s="99">
        <v>1526.3999999999996</v>
      </c>
      <c r="CT82" s="99">
        <v>3</v>
      </c>
      <c r="CU82" s="99">
        <v>1526.3999999999996</v>
      </c>
    </row>
    <row r="83" spans="2:99">
      <c r="C83" s="98" t="s">
        <v>248</v>
      </c>
      <c r="D83" s="99">
        <v>0</v>
      </c>
      <c r="E83" s="99">
        <v>0</v>
      </c>
      <c r="F83" s="99">
        <v>0</v>
      </c>
      <c r="G83" s="99">
        <v>0</v>
      </c>
      <c r="H83" s="99">
        <v>1.8000985156859384</v>
      </c>
      <c r="I83" s="99">
        <v>1548.8047628961813</v>
      </c>
      <c r="J83" s="99">
        <v>2</v>
      </c>
      <c r="K83" s="99">
        <v>1720.8</v>
      </c>
      <c r="L83" s="99">
        <v>3</v>
      </c>
      <c r="M83" s="99">
        <v>2581.1999999999998</v>
      </c>
      <c r="N83" s="99">
        <v>2</v>
      </c>
      <c r="O83" s="99">
        <v>1720.8</v>
      </c>
      <c r="P83" s="99">
        <v>3</v>
      </c>
      <c r="Q83" s="99">
        <v>2581.1999999999998</v>
      </c>
      <c r="R83" s="99">
        <v>2</v>
      </c>
      <c r="S83" s="99">
        <v>1720.8</v>
      </c>
      <c r="T83" s="99">
        <v>2</v>
      </c>
      <c r="U83" s="99">
        <v>1720.8</v>
      </c>
      <c r="V83" s="99">
        <v>2</v>
      </c>
      <c r="W83" s="99">
        <v>1720.8</v>
      </c>
      <c r="X83" s="99">
        <v>3</v>
      </c>
      <c r="Y83" s="99">
        <v>2581.1999999999998</v>
      </c>
      <c r="Z83" s="99">
        <v>3</v>
      </c>
      <c r="AA83" s="99">
        <v>2581.1999999999998</v>
      </c>
      <c r="AB83" s="99">
        <v>3</v>
      </c>
      <c r="AC83" s="99">
        <v>2581.1999999999998</v>
      </c>
      <c r="AD83" s="99">
        <v>2</v>
      </c>
      <c r="AE83" s="99">
        <v>1720.8</v>
      </c>
      <c r="AF83" s="99">
        <v>2</v>
      </c>
      <c r="AG83" s="99">
        <v>1720.8</v>
      </c>
      <c r="AH83" s="99">
        <v>2</v>
      </c>
      <c r="AI83" s="99">
        <v>1720.8</v>
      </c>
      <c r="AJ83" s="99">
        <v>2</v>
      </c>
      <c r="AK83" s="99">
        <v>1720.8</v>
      </c>
      <c r="AL83" s="99">
        <v>2</v>
      </c>
      <c r="AM83" s="99">
        <v>1720.8</v>
      </c>
      <c r="AN83" s="99">
        <v>2</v>
      </c>
      <c r="AO83" s="99">
        <v>1720.8</v>
      </c>
      <c r="AP83" s="99">
        <v>3</v>
      </c>
      <c r="AQ83" s="99">
        <v>2581.1999999999998</v>
      </c>
      <c r="AR83" s="99">
        <v>3</v>
      </c>
      <c r="AS83" s="99">
        <v>2581.1999999999998</v>
      </c>
      <c r="AT83" s="99">
        <v>3</v>
      </c>
      <c r="AU83" s="99">
        <v>2581.1999999999998</v>
      </c>
      <c r="AV83" s="99">
        <v>2</v>
      </c>
      <c r="AW83" s="99">
        <v>1720.8</v>
      </c>
      <c r="AX83" s="99">
        <v>2</v>
      </c>
      <c r="AY83" s="99">
        <v>1720.8</v>
      </c>
      <c r="AZ83" s="99">
        <v>3</v>
      </c>
      <c r="BA83" s="99">
        <v>2581.1999999999998</v>
      </c>
      <c r="BB83" s="99">
        <v>3</v>
      </c>
      <c r="BC83" s="99">
        <v>2581.1999999999998</v>
      </c>
      <c r="BD83" s="99">
        <v>2</v>
      </c>
      <c r="BE83" s="99">
        <v>1720.8</v>
      </c>
      <c r="BF83" s="99">
        <v>3</v>
      </c>
      <c r="BG83" s="99">
        <v>2581.1999999999998</v>
      </c>
      <c r="BH83" s="99">
        <v>2</v>
      </c>
      <c r="BI83" s="99">
        <v>1720.8</v>
      </c>
      <c r="BJ83" s="99">
        <v>4</v>
      </c>
      <c r="BK83" s="99">
        <v>3441.6</v>
      </c>
      <c r="BL83" s="99">
        <v>2</v>
      </c>
      <c r="BM83" s="99">
        <v>1720.8</v>
      </c>
      <c r="BN83" s="99">
        <v>2</v>
      </c>
      <c r="BO83" s="99">
        <v>1720.8</v>
      </c>
      <c r="BP83" s="99">
        <v>3</v>
      </c>
      <c r="BQ83" s="99">
        <v>2581.1999999999998</v>
      </c>
      <c r="BR83" s="99">
        <v>3</v>
      </c>
      <c r="BS83" s="99">
        <v>2581.1999999999998</v>
      </c>
      <c r="BT83" s="99">
        <v>2</v>
      </c>
      <c r="BU83" s="99">
        <v>1720.8</v>
      </c>
      <c r="BV83" s="99">
        <v>3</v>
      </c>
      <c r="BW83" s="99">
        <v>2581.1999999999998</v>
      </c>
      <c r="BX83" s="99">
        <v>3</v>
      </c>
      <c r="BY83" s="99">
        <v>2581.1999999999998</v>
      </c>
      <c r="BZ83" s="99">
        <v>3</v>
      </c>
      <c r="CA83" s="99">
        <v>2581.1999999999998</v>
      </c>
      <c r="CB83" s="99">
        <v>3</v>
      </c>
      <c r="CC83" s="99">
        <v>2581.1999999999998</v>
      </c>
      <c r="CD83" s="99">
        <v>3</v>
      </c>
      <c r="CE83" s="99">
        <v>2581.1999999999998</v>
      </c>
      <c r="CF83" s="99">
        <v>2</v>
      </c>
      <c r="CG83" s="99">
        <v>1720.8</v>
      </c>
      <c r="CH83" s="99">
        <v>4</v>
      </c>
      <c r="CI83" s="99">
        <v>3441.6</v>
      </c>
      <c r="CJ83" s="99">
        <v>2</v>
      </c>
      <c r="CK83" s="99">
        <v>1720.8</v>
      </c>
      <c r="CL83" s="99">
        <v>2.4674592726048421</v>
      </c>
      <c r="CM83" s="99">
        <v>2123.0019581492061</v>
      </c>
      <c r="CN83" s="99">
        <v>2</v>
      </c>
      <c r="CO83" s="99">
        <v>1720.8</v>
      </c>
      <c r="CP83" s="99">
        <v>3</v>
      </c>
      <c r="CQ83" s="99">
        <v>2581.1999999999998</v>
      </c>
      <c r="CR83" s="99">
        <v>3</v>
      </c>
      <c r="CS83" s="99">
        <v>2581.1999999999998</v>
      </c>
      <c r="CT83" s="99">
        <v>3</v>
      </c>
      <c r="CU83" s="99">
        <v>2581.1999999999998</v>
      </c>
    </row>
    <row r="84" spans="2:99">
      <c r="C84" s="98" t="s">
        <v>249</v>
      </c>
      <c r="D84" s="99">
        <v>0</v>
      </c>
      <c r="E84" s="99">
        <v>0</v>
      </c>
      <c r="F84" s="99">
        <v>0</v>
      </c>
      <c r="G84" s="99">
        <v>0</v>
      </c>
      <c r="H84" s="99">
        <v>1.8000985156859384</v>
      </c>
      <c r="I84" s="99">
        <v>1406.2369604538549</v>
      </c>
      <c r="J84" s="99">
        <v>2</v>
      </c>
      <c r="K84" s="99">
        <v>1562.3999999999999</v>
      </c>
      <c r="L84" s="99">
        <v>3</v>
      </c>
      <c r="M84" s="99">
        <v>2343.6</v>
      </c>
      <c r="N84" s="99">
        <v>2</v>
      </c>
      <c r="O84" s="99">
        <v>1562.3999999999999</v>
      </c>
      <c r="P84" s="99">
        <v>3</v>
      </c>
      <c r="Q84" s="99">
        <v>2343.6</v>
      </c>
      <c r="R84" s="99">
        <v>2</v>
      </c>
      <c r="S84" s="99">
        <v>1562.3999999999999</v>
      </c>
      <c r="T84" s="99">
        <v>2</v>
      </c>
      <c r="U84" s="99">
        <v>1562.3999999999999</v>
      </c>
      <c r="V84" s="99">
        <v>2</v>
      </c>
      <c r="W84" s="99">
        <v>1562.3999999999999</v>
      </c>
      <c r="X84" s="99">
        <v>3</v>
      </c>
      <c r="Y84" s="99">
        <v>2343.6</v>
      </c>
      <c r="Z84" s="99">
        <v>3</v>
      </c>
      <c r="AA84" s="99">
        <v>2343.6</v>
      </c>
      <c r="AB84" s="99">
        <v>2</v>
      </c>
      <c r="AC84" s="99">
        <v>1562.3999999999999</v>
      </c>
      <c r="AD84" s="99">
        <v>2</v>
      </c>
      <c r="AE84" s="99">
        <v>1562.3999999999999</v>
      </c>
      <c r="AF84" s="99">
        <v>2</v>
      </c>
      <c r="AG84" s="99">
        <v>1562.3999999999999</v>
      </c>
      <c r="AH84" s="99">
        <v>2</v>
      </c>
      <c r="AI84" s="99">
        <v>1562.3999999999999</v>
      </c>
      <c r="AJ84" s="99">
        <v>2</v>
      </c>
      <c r="AK84" s="99">
        <v>1562.3999999999999</v>
      </c>
      <c r="AL84" s="99">
        <v>2</v>
      </c>
      <c r="AM84" s="99">
        <v>1562.3999999999999</v>
      </c>
      <c r="AN84" s="99">
        <v>2</v>
      </c>
      <c r="AO84" s="99">
        <v>1562.3999999999999</v>
      </c>
      <c r="AP84" s="99">
        <v>3</v>
      </c>
      <c r="AQ84" s="99">
        <v>2343.6</v>
      </c>
      <c r="AR84" s="99">
        <v>3</v>
      </c>
      <c r="AS84" s="99">
        <v>2343.6</v>
      </c>
      <c r="AT84" s="99">
        <v>3</v>
      </c>
      <c r="AU84" s="99">
        <v>2343.6</v>
      </c>
      <c r="AV84" s="99">
        <v>3</v>
      </c>
      <c r="AW84" s="99">
        <v>2343.6</v>
      </c>
      <c r="AX84" s="99">
        <v>2</v>
      </c>
      <c r="AY84" s="99">
        <v>1562.3999999999999</v>
      </c>
      <c r="AZ84" s="99">
        <v>3</v>
      </c>
      <c r="BA84" s="99">
        <v>2343.6</v>
      </c>
      <c r="BB84" s="99">
        <v>3</v>
      </c>
      <c r="BC84" s="99">
        <v>2343.6</v>
      </c>
      <c r="BD84" s="99">
        <v>2</v>
      </c>
      <c r="BE84" s="99">
        <v>1562.3999999999999</v>
      </c>
      <c r="BF84" s="99">
        <v>3</v>
      </c>
      <c r="BG84" s="99">
        <v>2343.6</v>
      </c>
      <c r="BH84" s="99">
        <v>2</v>
      </c>
      <c r="BI84" s="99">
        <v>1562.3999999999999</v>
      </c>
      <c r="BJ84" s="99">
        <v>4</v>
      </c>
      <c r="BK84" s="99">
        <v>3124.7999999999997</v>
      </c>
      <c r="BL84" s="99">
        <v>2</v>
      </c>
      <c r="BM84" s="99">
        <v>1562.3999999999999</v>
      </c>
      <c r="BN84" s="99">
        <v>3</v>
      </c>
      <c r="BO84" s="99">
        <v>2343.6</v>
      </c>
      <c r="BP84" s="99">
        <v>3</v>
      </c>
      <c r="BQ84" s="99">
        <v>2343.6</v>
      </c>
      <c r="BR84" s="99">
        <v>3</v>
      </c>
      <c r="BS84" s="99">
        <v>2343.6</v>
      </c>
      <c r="BT84" s="99">
        <v>2</v>
      </c>
      <c r="BU84" s="99">
        <v>1562.3999999999999</v>
      </c>
      <c r="BV84" s="99">
        <v>3</v>
      </c>
      <c r="BW84" s="99">
        <v>2343.6</v>
      </c>
      <c r="BX84" s="99">
        <v>2</v>
      </c>
      <c r="BY84" s="99">
        <v>1562.3999999999999</v>
      </c>
      <c r="BZ84" s="99">
        <v>3</v>
      </c>
      <c r="CA84" s="99">
        <v>2343.6</v>
      </c>
      <c r="CB84" s="99">
        <v>3</v>
      </c>
      <c r="CC84" s="99">
        <v>2343.6</v>
      </c>
      <c r="CD84" s="99">
        <v>3</v>
      </c>
      <c r="CE84" s="99">
        <v>2343.6</v>
      </c>
      <c r="CF84" s="99">
        <v>2</v>
      </c>
      <c r="CG84" s="99">
        <v>1562.3999999999999</v>
      </c>
      <c r="CH84" s="99">
        <v>4</v>
      </c>
      <c r="CI84" s="99">
        <v>3124.7999999999997</v>
      </c>
      <c r="CJ84" s="99">
        <v>2</v>
      </c>
      <c r="CK84" s="99">
        <v>1562.3999999999999</v>
      </c>
      <c r="CL84" s="99">
        <v>2.4674592726048421</v>
      </c>
      <c r="CM84" s="99">
        <v>1927.5791837589024</v>
      </c>
      <c r="CN84" s="99">
        <v>2</v>
      </c>
      <c r="CO84" s="99">
        <v>1562.3999999999999</v>
      </c>
      <c r="CP84" s="99">
        <v>3</v>
      </c>
      <c r="CQ84" s="99">
        <v>2343.6</v>
      </c>
      <c r="CR84" s="99">
        <v>3</v>
      </c>
      <c r="CS84" s="99">
        <v>2343.6</v>
      </c>
      <c r="CT84" s="99">
        <v>3</v>
      </c>
      <c r="CU84" s="99">
        <v>2343.6</v>
      </c>
    </row>
    <row r="85" spans="2:99">
      <c r="C85" s="98" t="s">
        <v>250</v>
      </c>
      <c r="D85" s="99">
        <v>0</v>
      </c>
      <c r="E85" s="99">
        <v>0</v>
      </c>
      <c r="F85" s="99">
        <v>0</v>
      </c>
      <c r="G85" s="99">
        <v>0</v>
      </c>
      <c r="H85" s="99">
        <v>1.8000985156859384</v>
      </c>
      <c r="I85" s="99">
        <v>270.01477735289075</v>
      </c>
      <c r="J85" s="99">
        <v>2</v>
      </c>
      <c r="K85" s="99">
        <v>300</v>
      </c>
      <c r="L85" s="99">
        <v>2</v>
      </c>
      <c r="M85" s="99">
        <v>300</v>
      </c>
      <c r="N85" s="99">
        <v>2</v>
      </c>
      <c r="O85" s="99">
        <v>300</v>
      </c>
      <c r="P85" s="99">
        <v>3</v>
      </c>
      <c r="Q85" s="99">
        <v>450</v>
      </c>
      <c r="R85" s="99">
        <v>2</v>
      </c>
      <c r="S85" s="99">
        <v>300</v>
      </c>
      <c r="T85" s="99">
        <v>2</v>
      </c>
      <c r="U85" s="99">
        <v>300</v>
      </c>
      <c r="V85" s="99">
        <v>2</v>
      </c>
      <c r="W85" s="99">
        <v>300</v>
      </c>
      <c r="X85" s="99">
        <v>3</v>
      </c>
      <c r="Y85" s="99">
        <v>450</v>
      </c>
      <c r="Z85" s="99">
        <v>3</v>
      </c>
      <c r="AA85" s="99">
        <v>450</v>
      </c>
      <c r="AB85" s="99">
        <v>3</v>
      </c>
      <c r="AC85" s="99">
        <v>450</v>
      </c>
      <c r="AD85" s="99">
        <v>2</v>
      </c>
      <c r="AE85" s="99">
        <v>300</v>
      </c>
      <c r="AF85" s="99">
        <v>2</v>
      </c>
      <c r="AG85" s="99">
        <v>300</v>
      </c>
      <c r="AH85" s="99">
        <v>3</v>
      </c>
      <c r="AI85" s="99">
        <v>450</v>
      </c>
      <c r="AJ85" s="99">
        <v>2</v>
      </c>
      <c r="AK85" s="99">
        <v>300</v>
      </c>
      <c r="AL85" s="99">
        <v>2</v>
      </c>
      <c r="AM85" s="99">
        <v>300</v>
      </c>
      <c r="AN85" s="99">
        <v>2</v>
      </c>
      <c r="AO85" s="99">
        <v>300</v>
      </c>
      <c r="AP85" s="99">
        <v>4</v>
      </c>
      <c r="AQ85" s="99">
        <v>600</v>
      </c>
      <c r="AR85" s="99">
        <v>3</v>
      </c>
      <c r="AS85" s="99">
        <v>450</v>
      </c>
      <c r="AT85" s="99">
        <v>3</v>
      </c>
      <c r="AU85" s="99">
        <v>450</v>
      </c>
      <c r="AV85" s="99">
        <v>2</v>
      </c>
      <c r="AW85" s="99">
        <v>300</v>
      </c>
      <c r="AX85" s="99">
        <v>3</v>
      </c>
      <c r="AY85" s="99">
        <v>450</v>
      </c>
      <c r="AZ85" s="99">
        <v>3</v>
      </c>
      <c r="BA85" s="99">
        <v>450</v>
      </c>
      <c r="BB85" s="99">
        <v>3</v>
      </c>
      <c r="BC85" s="99">
        <v>450</v>
      </c>
      <c r="BD85" s="99">
        <v>2</v>
      </c>
      <c r="BE85" s="99">
        <v>300</v>
      </c>
      <c r="BF85" s="99">
        <v>3</v>
      </c>
      <c r="BG85" s="99">
        <v>450</v>
      </c>
      <c r="BH85" s="99">
        <v>2</v>
      </c>
      <c r="BI85" s="99">
        <v>300</v>
      </c>
      <c r="BJ85" s="99">
        <v>3</v>
      </c>
      <c r="BK85" s="99">
        <v>450</v>
      </c>
      <c r="BL85" s="99">
        <v>2</v>
      </c>
      <c r="BM85" s="99">
        <v>300</v>
      </c>
      <c r="BN85" s="99">
        <v>3</v>
      </c>
      <c r="BO85" s="99">
        <v>450</v>
      </c>
      <c r="BP85" s="99">
        <v>4</v>
      </c>
      <c r="BQ85" s="99">
        <v>600</v>
      </c>
      <c r="BR85" s="99">
        <v>3</v>
      </c>
      <c r="BS85" s="99">
        <v>450</v>
      </c>
      <c r="BT85" s="99">
        <v>2</v>
      </c>
      <c r="BU85" s="99">
        <v>300</v>
      </c>
      <c r="BV85" s="99">
        <v>3</v>
      </c>
      <c r="BW85" s="99">
        <v>450</v>
      </c>
      <c r="BX85" s="99">
        <v>2</v>
      </c>
      <c r="BY85" s="99">
        <v>300</v>
      </c>
      <c r="BZ85" s="99">
        <v>3</v>
      </c>
      <c r="CA85" s="99">
        <v>450</v>
      </c>
      <c r="CB85" s="99">
        <v>3</v>
      </c>
      <c r="CC85" s="99">
        <v>450</v>
      </c>
      <c r="CD85" s="99">
        <v>3</v>
      </c>
      <c r="CE85" s="99">
        <v>450</v>
      </c>
      <c r="CF85" s="99">
        <v>2</v>
      </c>
      <c r="CG85" s="99">
        <v>300</v>
      </c>
      <c r="CH85" s="99">
        <v>3</v>
      </c>
      <c r="CI85" s="99">
        <v>450</v>
      </c>
      <c r="CJ85" s="99">
        <v>2</v>
      </c>
      <c r="CK85" s="99">
        <v>300</v>
      </c>
      <c r="CL85" s="99">
        <v>2.4674592726048421</v>
      </c>
      <c r="CM85" s="99">
        <v>370.11889089072633</v>
      </c>
      <c r="CN85" s="99">
        <v>3</v>
      </c>
      <c r="CO85" s="99">
        <v>450</v>
      </c>
      <c r="CP85" s="99">
        <v>3</v>
      </c>
      <c r="CQ85" s="99">
        <v>450</v>
      </c>
      <c r="CR85" s="99">
        <v>3</v>
      </c>
      <c r="CS85" s="99">
        <v>450</v>
      </c>
      <c r="CT85" s="99">
        <v>3</v>
      </c>
      <c r="CU85" s="99">
        <v>450</v>
      </c>
    </row>
    <row r="86" spans="2:99">
      <c r="C86" s="98" t="s">
        <v>251</v>
      </c>
      <c r="D86" s="99">
        <v>0</v>
      </c>
      <c r="E86" s="99">
        <v>0</v>
      </c>
      <c r="F86" s="99">
        <v>0</v>
      </c>
      <c r="G86" s="99">
        <v>0</v>
      </c>
      <c r="H86" s="99">
        <v>1.8000985156859384</v>
      </c>
      <c r="I86" s="99">
        <v>972.05319847040676</v>
      </c>
      <c r="J86" s="99">
        <v>2</v>
      </c>
      <c r="K86" s="99">
        <v>1080</v>
      </c>
      <c r="L86" s="99">
        <v>3</v>
      </c>
      <c r="M86" s="99">
        <v>1620</v>
      </c>
      <c r="N86" s="99">
        <v>2</v>
      </c>
      <c r="O86" s="99">
        <v>1080</v>
      </c>
      <c r="P86" s="99">
        <v>3</v>
      </c>
      <c r="Q86" s="99">
        <v>1620</v>
      </c>
      <c r="R86" s="99">
        <v>2</v>
      </c>
      <c r="S86" s="99">
        <v>1080</v>
      </c>
      <c r="T86" s="99">
        <v>2</v>
      </c>
      <c r="U86" s="99">
        <v>1080</v>
      </c>
      <c r="V86" s="99">
        <v>2</v>
      </c>
      <c r="W86" s="99">
        <v>1080</v>
      </c>
      <c r="X86" s="99">
        <v>3</v>
      </c>
      <c r="Y86" s="99">
        <v>1620</v>
      </c>
      <c r="Z86" s="99">
        <v>3</v>
      </c>
      <c r="AA86" s="99">
        <v>1620</v>
      </c>
      <c r="AB86" s="99">
        <v>2</v>
      </c>
      <c r="AC86" s="99">
        <v>1080</v>
      </c>
      <c r="AD86" s="99">
        <v>2</v>
      </c>
      <c r="AE86" s="99">
        <v>1080</v>
      </c>
      <c r="AF86" s="99">
        <v>2</v>
      </c>
      <c r="AG86" s="99">
        <v>1080</v>
      </c>
      <c r="AH86" s="99">
        <v>2</v>
      </c>
      <c r="AI86" s="99">
        <v>1080</v>
      </c>
      <c r="AJ86" s="99">
        <v>2</v>
      </c>
      <c r="AK86" s="99">
        <v>1080</v>
      </c>
      <c r="AL86" s="99">
        <v>2</v>
      </c>
      <c r="AM86" s="99">
        <v>1080</v>
      </c>
      <c r="AN86" s="99">
        <v>2</v>
      </c>
      <c r="AO86" s="99">
        <v>1080</v>
      </c>
      <c r="AP86" s="99">
        <v>3</v>
      </c>
      <c r="AQ86" s="99">
        <v>1620</v>
      </c>
      <c r="AR86" s="99">
        <v>3</v>
      </c>
      <c r="AS86" s="99">
        <v>1620</v>
      </c>
      <c r="AT86" s="99">
        <v>3</v>
      </c>
      <c r="AU86" s="99">
        <v>1620</v>
      </c>
      <c r="AV86" s="99">
        <v>3</v>
      </c>
      <c r="AW86" s="99">
        <v>1620</v>
      </c>
      <c r="AX86" s="99">
        <v>2</v>
      </c>
      <c r="AY86" s="99">
        <v>1080</v>
      </c>
      <c r="AZ86" s="99">
        <v>3</v>
      </c>
      <c r="BA86" s="99">
        <v>1620</v>
      </c>
      <c r="BB86" s="99">
        <v>3</v>
      </c>
      <c r="BC86" s="99">
        <v>1620</v>
      </c>
      <c r="BD86" s="99">
        <v>2</v>
      </c>
      <c r="BE86" s="99">
        <v>1080</v>
      </c>
      <c r="BF86" s="99">
        <v>3</v>
      </c>
      <c r="BG86" s="99">
        <v>1620</v>
      </c>
      <c r="BH86" s="99">
        <v>2</v>
      </c>
      <c r="BI86" s="99">
        <v>1080</v>
      </c>
      <c r="BJ86" s="99">
        <v>3</v>
      </c>
      <c r="BK86" s="99">
        <v>1620</v>
      </c>
      <c r="BL86" s="99">
        <v>2</v>
      </c>
      <c r="BM86" s="99">
        <v>1080</v>
      </c>
      <c r="BN86" s="99">
        <v>3</v>
      </c>
      <c r="BO86" s="99">
        <v>1620</v>
      </c>
      <c r="BP86" s="99">
        <v>4</v>
      </c>
      <c r="BQ86" s="99">
        <v>2160</v>
      </c>
      <c r="BR86" s="99">
        <v>3</v>
      </c>
      <c r="BS86" s="99">
        <v>1620</v>
      </c>
      <c r="BT86" s="99">
        <v>2</v>
      </c>
      <c r="BU86" s="99">
        <v>1080</v>
      </c>
      <c r="BV86" s="99">
        <v>4</v>
      </c>
      <c r="BW86" s="99">
        <v>2160</v>
      </c>
      <c r="BX86" s="99">
        <v>2</v>
      </c>
      <c r="BY86" s="99">
        <v>1080</v>
      </c>
      <c r="BZ86" s="99">
        <v>3</v>
      </c>
      <c r="CA86" s="99">
        <v>1620</v>
      </c>
      <c r="CB86" s="99">
        <v>3</v>
      </c>
      <c r="CC86" s="99">
        <v>1620</v>
      </c>
      <c r="CD86" s="99">
        <v>3</v>
      </c>
      <c r="CE86" s="99">
        <v>1620</v>
      </c>
      <c r="CF86" s="99">
        <v>2</v>
      </c>
      <c r="CG86" s="99">
        <v>1080</v>
      </c>
      <c r="CH86" s="99">
        <v>3</v>
      </c>
      <c r="CI86" s="99">
        <v>1620</v>
      </c>
      <c r="CJ86" s="99">
        <v>2</v>
      </c>
      <c r="CK86" s="99">
        <v>1080</v>
      </c>
      <c r="CL86" s="99">
        <v>2.4674592726048421</v>
      </c>
      <c r="CM86" s="99">
        <v>1332.4280072066147</v>
      </c>
      <c r="CN86" s="99">
        <v>2</v>
      </c>
      <c r="CO86" s="99">
        <v>1080</v>
      </c>
      <c r="CP86" s="99">
        <v>3</v>
      </c>
      <c r="CQ86" s="99">
        <v>1620</v>
      </c>
      <c r="CR86" s="99">
        <v>3</v>
      </c>
      <c r="CS86" s="99">
        <v>1620</v>
      </c>
      <c r="CT86" s="99">
        <v>4</v>
      </c>
      <c r="CU86" s="99">
        <v>2160</v>
      </c>
    </row>
    <row r="87" spans="2:99">
      <c r="B87" s="98" t="s">
        <v>131</v>
      </c>
      <c r="C87" s="98" t="s">
        <v>252</v>
      </c>
      <c r="D87" s="99">
        <v>0</v>
      </c>
      <c r="E87" s="99">
        <v>0</v>
      </c>
      <c r="F87" s="99">
        <v>0</v>
      </c>
      <c r="G87" s="99">
        <v>0</v>
      </c>
      <c r="H87" s="99">
        <v>1.8000985156859384</v>
      </c>
      <c r="I87" s="99">
        <v>3518.8325784628723</v>
      </c>
      <c r="J87" s="99">
        <v>3</v>
      </c>
      <c r="K87" s="99">
        <v>5864.4</v>
      </c>
      <c r="L87" s="99">
        <v>2</v>
      </c>
      <c r="M87" s="99">
        <v>3909.6</v>
      </c>
      <c r="N87" s="99">
        <v>4</v>
      </c>
      <c r="O87" s="99">
        <v>7819.2</v>
      </c>
      <c r="P87" s="99">
        <v>3</v>
      </c>
      <c r="Q87" s="99">
        <v>5864.4</v>
      </c>
      <c r="R87" s="99">
        <v>3</v>
      </c>
      <c r="S87" s="99">
        <v>5864.4</v>
      </c>
      <c r="T87" s="99">
        <v>2</v>
      </c>
      <c r="U87" s="99">
        <v>3909.6</v>
      </c>
      <c r="V87" s="99">
        <v>2</v>
      </c>
      <c r="W87" s="99">
        <v>3909.6</v>
      </c>
      <c r="X87" s="99">
        <v>2</v>
      </c>
      <c r="Y87" s="99">
        <v>3909.6</v>
      </c>
      <c r="Z87" s="99">
        <v>3</v>
      </c>
      <c r="AA87" s="99">
        <v>5864.4</v>
      </c>
      <c r="AB87" s="99">
        <v>3</v>
      </c>
      <c r="AC87" s="99">
        <v>5864.4</v>
      </c>
      <c r="AD87" s="99">
        <v>2</v>
      </c>
      <c r="AE87" s="99">
        <v>3909.6</v>
      </c>
      <c r="AF87" s="99">
        <v>3</v>
      </c>
      <c r="AG87" s="99">
        <v>5864.4</v>
      </c>
      <c r="AH87" s="99">
        <v>2</v>
      </c>
      <c r="AI87" s="99">
        <v>3909.6</v>
      </c>
      <c r="AJ87" s="99">
        <v>2</v>
      </c>
      <c r="AK87" s="99">
        <v>3909.6</v>
      </c>
      <c r="AL87" s="99">
        <v>4</v>
      </c>
      <c r="AM87" s="99">
        <v>7819.2</v>
      </c>
      <c r="AN87" s="99">
        <v>2</v>
      </c>
      <c r="AO87" s="99">
        <v>3909.6</v>
      </c>
      <c r="AP87" s="99">
        <v>3</v>
      </c>
      <c r="AQ87" s="99">
        <v>5864.4</v>
      </c>
      <c r="AR87" s="99">
        <v>3</v>
      </c>
      <c r="AS87" s="99">
        <v>5864.4</v>
      </c>
      <c r="AT87" s="99">
        <v>3</v>
      </c>
      <c r="AU87" s="99">
        <v>5864.4</v>
      </c>
      <c r="AV87" s="99">
        <v>2</v>
      </c>
      <c r="AW87" s="99">
        <v>3909.6</v>
      </c>
      <c r="AX87" s="99">
        <v>2</v>
      </c>
      <c r="AY87" s="99">
        <v>3909.6</v>
      </c>
      <c r="AZ87" s="99">
        <v>3</v>
      </c>
      <c r="BA87" s="99">
        <v>5864.4</v>
      </c>
      <c r="BB87" s="99">
        <v>3</v>
      </c>
      <c r="BC87" s="99">
        <v>5864.4</v>
      </c>
      <c r="BD87" s="99">
        <v>2</v>
      </c>
      <c r="BE87" s="99">
        <v>3909.6</v>
      </c>
      <c r="BF87" s="99">
        <v>4</v>
      </c>
      <c r="BG87" s="99">
        <v>7819.2</v>
      </c>
      <c r="BH87" s="99">
        <v>3</v>
      </c>
      <c r="BI87" s="99">
        <v>5864.4</v>
      </c>
      <c r="BJ87" s="99">
        <v>3</v>
      </c>
      <c r="BK87" s="99">
        <v>5864.4</v>
      </c>
      <c r="BL87" s="99">
        <v>3</v>
      </c>
      <c r="BM87" s="99">
        <v>5864.4</v>
      </c>
      <c r="BN87" s="99">
        <v>3</v>
      </c>
      <c r="BO87" s="99">
        <v>5864.4</v>
      </c>
      <c r="BP87" s="99">
        <v>4</v>
      </c>
      <c r="BQ87" s="99">
        <v>7819.2</v>
      </c>
      <c r="BR87" s="99">
        <v>3</v>
      </c>
      <c r="BS87" s="99">
        <v>5864.4</v>
      </c>
      <c r="BT87" s="99">
        <v>3</v>
      </c>
      <c r="BU87" s="99">
        <v>5864.4</v>
      </c>
      <c r="BV87" s="99">
        <v>3</v>
      </c>
      <c r="BW87" s="99">
        <v>5864.4</v>
      </c>
      <c r="BX87" s="99">
        <v>2</v>
      </c>
      <c r="BY87" s="99">
        <v>3909.6</v>
      </c>
      <c r="BZ87" s="99">
        <v>2</v>
      </c>
      <c r="CA87" s="99">
        <v>3909.6</v>
      </c>
      <c r="CB87" s="99">
        <v>2</v>
      </c>
      <c r="CC87" s="99">
        <v>3909.6</v>
      </c>
      <c r="CD87" s="99">
        <v>4</v>
      </c>
      <c r="CE87" s="99">
        <v>7819.2</v>
      </c>
      <c r="CF87" s="99">
        <v>4</v>
      </c>
      <c r="CG87" s="99">
        <v>7819.2</v>
      </c>
      <c r="CH87" s="99">
        <v>3</v>
      </c>
      <c r="CI87" s="99">
        <v>5864.4</v>
      </c>
      <c r="CJ87" s="99">
        <v>2</v>
      </c>
      <c r="CK87" s="99">
        <v>3909.6</v>
      </c>
      <c r="CL87" s="99">
        <v>3.289945696806456</v>
      </c>
      <c r="CM87" s="99">
        <v>6431.1858481172603</v>
      </c>
      <c r="CN87" s="99">
        <v>2</v>
      </c>
      <c r="CO87" s="99">
        <v>3909.6</v>
      </c>
      <c r="CP87" s="99">
        <v>3</v>
      </c>
      <c r="CQ87" s="99">
        <v>5864.4</v>
      </c>
      <c r="CR87" s="99">
        <v>3</v>
      </c>
      <c r="CS87" s="99">
        <v>5864.4</v>
      </c>
      <c r="CT87" s="99">
        <v>3</v>
      </c>
      <c r="CU87" s="99">
        <v>5864.4</v>
      </c>
    </row>
    <row r="88" spans="2:99">
      <c r="C88" s="98" t="s">
        <v>253</v>
      </c>
      <c r="D88" s="99">
        <v>0</v>
      </c>
      <c r="E88" s="99">
        <v>0</v>
      </c>
      <c r="F88" s="99">
        <v>0</v>
      </c>
      <c r="G88" s="99">
        <v>0</v>
      </c>
      <c r="H88" s="99">
        <v>1.8000985156859384</v>
      </c>
      <c r="I88" s="99">
        <v>3406.5064310840694</v>
      </c>
      <c r="J88" s="99">
        <v>3</v>
      </c>
      <c r="K88" s="99">
        <v>5677.2</v>
      </c>
      <c r="L88" s="99">
        <v>2</v>
      </c>
      <c r="M88" s="99">
        <v>3784.7999999999997</v>
      </c>
      <c r="N88" s="99">
        <v>3</v>
      </c>
      <c r="O88" s="99">
        <v>5677.2</v>
      </c>
      <c r="P88" s="99">
        <v>3</v>
      </c>
      <c r="Q88" s="99">
        <v>5677.2</v>
      </c>
      <c r="R88" s="99">
        <v>3</v>
      </c>
      <c r="S88" s="99">
        <v>5677.2</v>
      </c>
      <c r="T88" s="99">
        <v>2</v>
      </c>
      <c r="U88" s="99">
        <v>3784.7999999999997</v>
      </c>
      <c r="V88" s="99">
        <v>2</v>
      </c>
      <c r="W88" s="99">
        <v>3784.7999999999997</v>
      </c>
      <c r="X88" s="99">
        <v>2</v>
      </c>
      <c r="Y88" s="99">
        <v>3784.7999999999997</v>
      </c>
      <c r="Z88" s="99">
        <v>3</v>
      </c>
      <c r="AA88" s="99">
        <v>5677.2</v>
      </c>
      <c r="AB88" s="99">
        <v>3</v>
      </c>
      <c r="AC88" s="99">
        <v>5677.2</v>
      </c>
      <c r="AD88" s="99">
        <v>2</v>
      </c>
      <c r="AE88" s="99">
        <v>3784.7999999999997</v>
      </c>
      <c r="AF88" s="99">
        <v>3</v>
      </c>
      <c r="AG88" s="99">
        <v>5677.2</v>
      </c>
      <c r="AH88" s="99">
        <v>2</v>
      </c>
      <c r="AI88" s="99">
        <v>3784.7999999999997</v>
      </c>
      <c r="AJ88" s="99">
        <v>2</v>
      </c>
      <c r="AK88" s="99">
        <v>3784.7999999999997</v>
      </c>
      <c r="AL88" s="99">
        <v>4</v>
      </c>
      <c r="AM88" s="99">
        <v>7569.5999999999995</v>
      </c>
      <c r="AN88" s="99">
        <v>2</v>
      </c>
      <c r="AO88" s="99">
        <v>3784.7999999999997</v>
      </c>
      <c r="AP88" s="99">
        <v>3</v>
      </c>
      <c r="AQ88" s="99">
        <v>5677.2</v>
      </c>
      <c r="AR88" s="99">
        <v>3</v>
      </c>
      <c r="AS88" s="99">
        <v>5677.2</v>
      </c>
      <c r="AT88" s="99">
        <v>3</v>
      </c>
      <c r="AU88" s="99">
        <v>5677.2</v>
      </c>
      <c r="AV88" s="99">
        <v>2</v>
      </c>
      <c r="AW88" s="99">
        <v>3784.7999999999997</v>
      </c>
      <c r="AX88" s="99">
        <v>3</v>
      </c>
      <c r="AY88" s="99">
        <v>5677.2</v>
      </c>
      <c r="AZ88" s="99">
        <v>3</v>
      </c>
      <c r="BA88" s="99">
        <v>5677.2</v>
      </c>
      <c r="BB88" s="99">
        <v>4</v>
      </c>
      <c r="BC88" s="99">
        <v>7569.5999999999995</v>
      </c>
      <c r="BD88" s="99">
        <v>3</v>
      </c>
      <c r="BE88" s="99">
        <v>5677.2</v>
      </c>
      <c r="BF88" s="99">
        <v>4</v>
      </c>
      <c r="BG88" s="99">
        <v>7569.5999999999995</v>
      </c>
      <c r="BH88" s="99">
        <v>3</v>
      </c>
      <c r="BI88" s="99">
        <v>5677.2</v>
      </c>
      <c r="BJ88" s="99">
        <v>3</v>
      </c>
      <c r="BK88" s="99">
        <v>5677.2</v>
      </c>
      <c r="BL88" s="99">
        <v>3</v>
      </c>
      <c r="BM88" s="99">
        <v>5677.2</v>
      </c>
      <c r="BN88" s="99">
        <v>3</v>
      </c>
      <c r="BO88" s="99">
        <v>5677.2</v>
      </c>
      <c r="BP88" s="99">
        <v>3</v>
      </c>
      <c r="BQ88" s="99">
        <v>5677.2</v>
      </c>
      <c r="BR88" s="99">
        <v>3</v>
      </c>
      <c r="BS88" s="99">
        <v>5677.2</v>
      </c>
      <c r="BT88" s="99">
        <v>3</v>
      </c>
      <c r="BU88" s="99">
        <v>5677.2</v>
      </c>
      <c r="BV88" s="99">
        <v>3</v>
      </c>
      <c r="BW88" s="99">
        <v>5677.2</v>
      </c>
      <c r="BX88" s="99">
        <v>2</v>
      </c>
      <c r="BY88" s="99">
        <v>3784.7999999999997</v>
      </c>
      <c r="BZ88" s="99">
        <v>2</v>
      </c>
      <c r="CA88" s="99">
        <v>3784.7999999999997</v>
      </c>
      <c r="CB88" s="99">
        <v>3</v>
      </c>
      <c r="CC88" s="99">
        <v>5677.2</v>
      </c>
      <c r="CD88" s="99">
        <v>3</v>
      </c>
      <c r="CE88" s="99">
        <v>5677.2</v>
      </c>
      <c r="CF88" s="99">
        <v>4</v>
      </c>
      <c r="CG88" s="99">
        <v>7569.5999999999995</v>
      </c>
      <c r="CH88" s="99">
        <v>3</v>
      </c>
      <c r="CI88" s="99">
        <v>5677.2</v>
      </c>
      <c r="CJ88" s="99">
        <v>2</v>
      </c>
      <c r="CK88" s="99">
        <v>3784.7999999999997</v>
      </c>
      <c r="CL88" s="99">
        <v>3.289945696806456</v>
      </c>
      <c r="CM88" s="99">
        <v>6225.893236636537</v>
      </c>
      <c r="CN88" s="99">
        <v>2</v>
      </c>
      <c r="CO88" s="99">
        <v>3784.7999999999997</v>
      </c>
      <c r="CP88" s="99">
        <v>3</v>
      </c>
      <c r="CQ88" s="99">
        <v>5677.2</v>
      </c>
      <c r="CR88" s="99">
        <v>3</v>
      </c>
      <c r="CS88" s="99">
        <v>5677.2</v>
      </c>
      <c r="CT88" s="99">
        <v>3</v>
      </c>
      <c r="CU88" s="99">
        <v>5677.2</v>
      </c>
    </row>
    <row r="89" spans="2:99">
      <c r="C89" s="98" t="s">
        <v>254</v>
      </c>
      <c r="D89" s="99">
        <v>0</v>
      </c>
      <c r="E89" s="99">
        <v>0</v>
      </c>
      <c r="F89" s="99">
        <v>0</v>
      </c>
      <c r="G89" s="99">
        <v>0</v>
      </c>
      <c r="H89" s="99">
        <v>1.8000985156859384</v>
      </c>
      <c r="I89" s="99">
        <v>4315.9162012086053</v>
      </c>
      <c r="J89" s="99">
        <v>3</v>
      </c>
      <c r="K89" s="99">
        <v>7192.7999999999993</v>
      </c>
      <c r="L89" s="99">
        <v>2</v>
      </c>
      <c r="M89" s="99">
        <v>4795.2</v>
      </c>
      <c r="N89" s="99">
        <v>3</v>
      </c>
      <c r="O89" s="99">
        <v>7192.7999999999993</v>
      </c>
      <c r="P89" s="99">
        <v>3</v>
      </c>
      <c r="Q89" s="99">
        <v>7192.7999999999993</v>
      </c>
      <c r="R89" s="99">
        <v>2</v>
      </c>
      <c r="S89" s="99">
        <v>4795.2</v>
      </c>
      <c r="T89" s="99">
        <v>2</v>
      </c>
      <c r="U89" s="99">
        <v>4795.2</v>
      </c>
      <c r="V89" s="99">
        <v>2</v>
      </c>
      <c r="W89" s="99">
        <v>4795.2</v>
      </c>
      <c r="X89" s="99">
        <v>2</v>
      </c>
      <c r="Y89" s="99">
        <v>4795.2</v>
      </c>
      <c r="Z89" s="99">
        <v>3</v>
      </c>
      <c r="AA89" s="99">
        <v>7192.7999999999993</v>
      </c>
      <c r="AB89" s="99">
        <v>3</v>
      </c>
      <c r="AC89" s="99">
        <v>7192.7999999999993</v>
      </c>
      <c r="AD89" s="99">
        <v>2</v>
      </c>
      <c r="AE89" s="99">
        <v>4795.2</v>
      </c>
      <c r="AF89" s="99">
        <v>3</v>
      </c>
      <c r="AG89" s="99">
        <v>7192.7999999999993</v>
      </c>
      <c r="AH89" s="99">
        <v>2</v>
      </c>
      <c r="AI89" s="99">
        <v>4795.2</v>
      </c>
      <c r="AJ89" s="99">
        <v>2</v>
      </c>
      <c r="AK89" s="99">
        <v>4795.2</v>
      </c>
      <c r="AL89" s="99">
        <v>4</v>
      </c>
      <c r="AM89" s="99">
        <v>9590.4</v>
      </c>
      <c r="AN89" s="99">
        <v>2</v>
      </c>
      <c r="AO89" s="99">
        <v>4795.2</v>
      </c>
      <c r="AP89" s="99">
        <v>3</v>
      </c>
      <c r="AQ89" s="99">
        <v>7192.7999999999993</v>
      </c>
      <c r="AR89" s="99">
        <v>3</v>
      </c>
      <c r="AS89" s="99">
        <v>7192.7999999999993</v>
      </c>
      <c r="AT89" s="99">
        <v>2</v>
      </c>
      <c r="AU89" s="99">
        <v>4795.2</v>
      </c>
      <c r="AV89" s="99">
        <v>2</v>
      </c>
      <c r="AW89" s="99">
        <v>4795.2</v>
      </c>
      <c r="AX89" s="99">
        <v>3</v>
      </c>
      <c r="AY89" s="99">
        <v>7192.7999999999993</v>
      </c>
      <c r="AZ89" s="99">
        <v>3</v>
      </c>
      <c r="BA89" s="99">
        <v>7192.7999999999993</v>
      </c>
      <c r="BB89" s="99">
        <v>3</v>
      </c>
      <c r="BC89" s="99">
        <v>7192.7999999999993</v>
      </c>
      <c r="BD89" s="99">
        <v>2</v>
      </c>
      <c r="BE89" s="99">
        <v>4795.2</v>
      </c>
      <c r="BF89" s="99">
        <v>4</v>
      </c>
      <c r="BG89" s="99">
        <v>9590.4</v>
      </c>
      <c r="BH89" s="99">
        <v>3</v>
      </c>
      <c r="BI89" s="99">
        <v>7192.7999999999993</v>
      </c>
      <c r="BJ89" s="99">
        <v>3</v>
      </c>
      <c r="BK89" s="99">
        <v>7192.7999999999993</v>
      </c>
      <c r="BL89" s="99">
        <v>3</v>
      </c>
      <c r="BM89" s="99">
        <v>7192.7999999999993</v>
      </c>
      <c r="BN89" s="99">
        <v>3</v>
      </c>
      <c r="BO89" s="99">
        <v>7192.7999999999993</v>
      </c>
      <c r="BP89" s="99">
        <v>3</v>
      </c>
      <c r="BQ89" s="99">
        <v>7192.7999999999993</v>
      </c>
      <c r="BR89" s="99">
        <v>3</v>
      </c>
      <c r="BS89" s="99">
        <v>7192.7999999999993</v>
      </c>
      <c r="BT89" s="99">
        <v>3</v>
      </c>
      <c r="BU89" s="99">
        <v>7192.7999999999993</v>
      </c>
      <c r="BV89" s="99">
        <v>3</v>
      </c>
      <c r="BW89" s="99">
        <v>7192.7999999999993</v>
      </c>
      <c r="BX89" s="99">
        <v>2</v>
      </c>
      <c r="BY89" s="99">
        <v>4795.2</v>
      </c>
      <c r="BZ89" s="99">
        <v>2</v>
      </c>
      <c r="CA89" s="99">
        <v>4795.2</v>
      </c>
      <c r="CB89" s="99">
        <v>3</v>
      </c>
      <c r="CC89" s="99">
        <v>7192.7999999999993</v>
      </c>
      <c r="CD89" s="99">
        <v>3</v>
      </c>
      <c r="CE89" s="99">
        <v>7192.7999999999993</v>
      </c>
      <c r="CF89" s="99">
        <v>3</v>
      </c>
      <c r="CG89" s="99">
        <v>7192.7999999999993</v>
      </c>
      <c r="CH89" s="99">
        <v>3</v>
      </c>
      <c r="CI89" s="99">
        <v>7192.7999999999993</v>
      </c>
      <c r="CJ89" s="99">
        <v>2</v>
      </c>
      <c r="CK89" s="99">
        <v>4795.2</v>
      </c>
      <c r="CL89" s="99">
        <v>3.289945696806456</v>
      </c>
      <c r="CM89" s="99">
        <v>7887.9738026631585</v>
      </c>
      <c r="CN89" s="99">
        <v>2</v>
      </c>
      <c r="CO89" s="99">
        <v>4795.2</v>
      </c>
      <c r="CP89" s="99">
        <v>3</v>
      </c>
      <c r="CQ89" s="99">
        <v>7192.7999999999993</v>
      </c>
      <c r="CR89" s="99">
        <v>3</v>
      </c>
      <c r="CS89" s="99">
        <v>7192.7999999999993</v>
      </c>
      <c r="CT89" s="99">
        <v>2</v>
      </c>
      <c r="CU89" s="99">
        <v>4795.2</v>
      </c>
    </row>
    <row r="90" spans="2:99">
      <c r="C90" s="98" t="s">
        <v>255</v>
      </c>
      <c r="D90" s="99">
        <v>0</v>
      </c>
      <c r="E90" s="99">
        <v>0</v>
      </c>
      <c r="F90" s="99">
        <v>0</v>
      </c>
      <c r="G90" s="99">
        <v>0</v>
      </c>
      <c r="H90" s="99">
        <v>1.8000985156859384</v>
      </c>
      <c r="I90" s="99">
        <v>3955.1764586651434</v>
      </c>
      <c r="J90" s="99">
        <v>3</v>
      </c>
      <c r="K90" s="99">
        <v>6591.5999999999995</v>
      </c>
      <c r="L90" s="99">
        <v>2</v>
      </c>
      <c r="M90" s="99">
        <v>4394.3999999999996</v>
      </c>
      <c r="N90" s="99">
        <v>3</v>
      </c>
      <c r="O90" s="99">
        <v>6591.5999999999995</v>
      </c>
      <c r="P90" s="99">
        <v>3</v>
      </c>
      <c r="Q90" s="99">
        <v>6591.5999999999995</v>
      </c>
      <c r="R90" s="99">
        <v>3</v>
      </c>
      <c r="S90" s="99">
        <v>6591.5999999999995</v>
      </c>
      <c r="T90" s="99">
        <v>2</v>
      </c>
      <c r="U90" s="99">
        <v>4394.3999999999996</v>
      </c>
      <c r="V90" s="99">
        <v>2</v>
      </c>
      <c r="W90" s="99">
        <v>4394.3999999999996</v>
      </c>
      <c r="X90" s="99">
        <v>2</v>
      </c>
      <c r="Y90" s="99">
        <v>4394.3999999999996</v>
      </c>
      <c r="Z90" s="99">
        <v>3</v>
      </c>
      <c r="AA90" s="99">
        <v>6591.5999999999995</v>
      </c>
      <c r="AB90" s="99">
        <v>3</v>
      </c>
      <c r="AC90" s="99">
        <v>6591.5999999999995</v>
      </c>
      <c r="AD90" s="99">
        <v>2</v>
      </c>
      <c r="AE90" s="99">
        <v>4394.3999999999996</v>
      </c>
      <c r="AF90" s="99">
        <v>3</v>
      </c>
      <c r="AG90" s="99">
        <v>6591.5999999999995</v>
      </c>
      <c r="AH90" s="99">
        <v>2</v>
      </c>
      <c r="AI90" s="99">
        <v>4394.3999999999996</v>
      </c>
      <c r="AJ90" s="99">
        <v>3</v>
      </c>
      <c r="AK90" s="99">
        <v>6591.5999999999995</v>
      </c>
      <c r="AL90" s="99">
        <v>3</v>
      </c>
      <c r="AM90" s="99">
        <v>6591.5999999999995</v>
      </c>
      <c r="AN90" s="99">
        <v>2</v>
      </c>
      <c r="AO90" s="99">
        <v>4394.3999999999996</v>
      </c>
      <c r="AP90" s="99">
        <v>3</v>
      </c>
      <c r="AQ90" s="99">
        <v>6591.5999999999995</v>
      </c>
      <c r="AR90" s="99">
        <v>3</v>
      </c>
      <c r="AS90" s="99">
        <v>6591.5999999999995</v>
      </c>
      <c r="AT90" s="99">
        <v>3</v>
      </c>
      <c r="AU90" s="99">
        <v>6591.5999999999995</v>
      </c>
      <c r="AV90" s="99">
        <v>2</v>
      </c>
      <c r="AW90" s="99">
        <v>4394.3999999999996</v>
      </c>
      <c r="AX90" s="99">
        <v>2</v>
      </c>
      <c r="AY90" s="99">
        <v>4394.3999999999996</v>
      </c>
      <c r="AZ90" s="99">
        <v>2</v>
      </c>
      <c r="BA90" s="99">
        <v>4394.3999999999996</v>
      </c>
      <c r="BB90" s="99">
        <v>3</v>
      </c>
      <c r="BC90" s="99">
        <v>6591.5999999999995</v>
      </c>
      <c r="BD90" s="99">
        <v>2</v>
      </c>
      <c r="BE90" s="99">
        <v>4394.3999999999996</v>
      </c>
      <c r="BF90" s="99">
        <v>4</v>
      </c>
      <c r="BG90" s="99">
        <v>8788.7999999999993</v>
      </c>
      <c r="BH90" s="99">
        <v>3</v>
      </c>
      <c r="BI90" s="99">
        <v>6591.5999999999995</v>
      </c>
      <c r="BJ90" s="99">
        <v>2</v>
      </c>
      <c r="BK90" s="99">
        <v>4394.3999999999996</v>
      </c>
      <c r="BL90" s="99">
        <v>3</v>
      </c>
      <c r="BM90" s="99">
        <v>6591.5999999999995</v>
      </c>
      <c r="BN90" s="99">
        <v>3</v>
      </c>
      <c r="BO90" s="99">
        <v>6591.5999999999995</v>
      </c>
      <c r="BP90" s="99">
        <v>4</v>
      </c>
      <c r="BQ90" s="99">
        <v>8788.7999999999993</v>
      </c>
      <c r="BR90" s="99">
        <v>3</v>
      </c>
      <c r="BS90" s="99">
        <v>6591.5999999999995</v>
      </c>
      <c r="BT90" s="99">
        <v>3</v>
      </c>
      <c r="BU90" s="99">
        <v>6591.5999999999995</v>
      </c>
      <c r="BV90" s="99">
        <v>3</v>
      </c>
      <c r="BW90" s="99">
        <v>6591.5999999999995</v>
      </c>
      <c r="BX90" s="99">
        <v>2</v>
      </c>
      <c r="BY90" s="99">
        <v>4394.3999999999996</v>
      </c>
      <c r="BZ90" s="99">
        <v>2</v>
      </c>
      <c r="CA90" s="99">
        <v>4394.3999999999996</v>
      </c>
      <c r="CB90" s="99">
        <v>2</v>
      </c>
      <c r="CC90" s="99">
        <v>4394.3999999999996</v>
      </c>
      <c r="CD90" s="99">
        <v>3</v>
      </c>
      <c r="CE90" s="99">
        <v>6591.5999999999995</v>
      </c>
      <c r="CF90" s="99">
        <v>3</v>
      </c>
      <c r="CG90" s="99">
        <v>6591.5999999999995</v>
      </c>
      <c r="CH90" s="99">
        <v>3</v>
      </c>
      <c r="CI90" s="99">
        <v>6591.5999999999995</v>
      </c>
      <c r="CJ90" s="99">
        <v>2</v>
      </c>
      <c r="CK90" s="99">
        <v>4394.3999999999996</v>
      </c>
      <c r="CL90" s="99">
        <v>3.289945696806456</v>
      </c>
      <c r="CM90" s="99">
        <v>7228.6686850231445</v>
      </c>
      <c r="CN90" s="99">
        <v>2</v>
      </c>
      <c r="CO90" s="99">
        <v>4394.3999999999996</v>
      </c>
      <c r="CP90" s="99">
        <v>3</v>
      </c>
      <c r="CQ90" s="99">
        <v>6591.5999999999995</v>
      </c>
      <c r="CR90" s="99">
        <v>3</v>
      </c>
      <c r="CS90" s="99">
        <v>6591.5999999999995</v>
      </c>
      <c r="CT90" s="99">
        <v>3</v>
      </c>
      <c r="CU90" s="99">
        <v>6591.5999999999995</v>
      </c>
    </row>
    <row r="91" spans="2:99">
      <c r="C91" s="98" t="s">
        <v>256</v>
      </c>
      <c r="D91" s="99">
        <v>0</v>
      </c>
      <c r="E91" s="99">
        <v>0</v>
      </c>
      <c r="F91" s="99">
        <v>0</v>
      </c>
      <c r="G91" s="99">
        <v>0</v>
      </c>
      <c r="H91" s="99">
        <v>1.8000985156859384</v>
      </c>
      <c r="I91" s="99">
        <v>4134.4662708274627</v>
      </c>
      <c r="J91" s="99">
        <v>3</v>
      </c>
      <c r="K91" s="99">
        <v>6890.4</v>
      </c>
      <c r="L91" s="99">
        <v>2</v>
      </c>
      <c r="M91" s="99">
        <v>4593.5999999999995</v>
      </c>
      <c r="N91" s="99">
        <v>4</v>
      </c>
      <c r="O91" s="99">
        <v>9187.1999999999989</v>
      </c>
      <c r="P91" s="99">
        <v>3</v>
      </c>
      <c r="Q91" s="99">
        <v>6890.4</v>
      </c>
      <c r="R91" s="99">
        <v>2</v>
      </c>
      <c r="S91" s="99">
        <v>4593.5999999999995</v>
      </c>
      <c r="T91" s="99">
        <v>2</v>
      </c>
      <c r="U91" s="99">
        <v>4593.5999999999995</v>
      </c>
      <c r="V91" s="99">
        <v>2</v>
      </c>
      <c r="W91" s="99">
        <v>4593.5999999999995</v>
      </c>
      <c r="X91" s="99">
        <v>2</v>
      </c>
      <c r="Y91" s="99">
        <v>4593.5999999999995</v>
      </c>
      <c r="Z91" s="99">
        <v>3</v>
      </c>
      <c r="AA91" s="99">
        <v>6890.4</v>
      </c>
      <c r="AB91" s="99">
        <v>3</v>
      </c>
      <c r="AC91" s="99">
        <v>6890.4</v>
      </c>
      <c r="AD91" s="99">
        <v>2</v>
      </c>
      <c r="AE91" s="99">
        <v>4593.5999999999995</v>
      </c>
      <c r="AF91" s="99">
        <v>3</v>
      </c>
      <c r="AG91" s="99">
        <v>6890.4</v>
      </c>
      <c r="AH91" s="99">
        <v>2</v>
      </c>
      <c r="AI91" s="99">
        <v>4593.5999999999995</v>
      </c>
      <c r="AJ91" s="99">
        <v>2</v>
      </c>
      <c r="AK91" s="99">
        <v>4593.5999999999995</v>
      </c>
      <c r="AL91" s="99">
        <v>3</v>
      </c>
      <c r="AM91" s="99">
        <v>6890.4</v>
      </c>
      <c r="AN91" s="99">
        <v>2</v>
      </c>
      <c r="AO91" s="99">
        <v>4593.5999999999995</v>
      </c>
      <c r="AP91" s="99">
        <v>3</v>
      </c>
      <c r="AQ91" s="99">
        <v>6890.4</v>
      </c>
      <c r="AR91" s="99">
        <v>3</v>
      </c>
      <c r="AS91" s="99">
        <v>6890.4</v>
      </c>
      <c r="AT91" s="99">
        <v>3</v>
      </c>
      <c r="AU91" s="99">
        <v>6890.4</v>
      </c>
      <c r="AV91" s="99">
        <v>2</v>
      </c>
      <c r="AW91" s="99">
        <v>4593.5999999999995</v>
      </c>
      <c r="AX91" s="99">
        <v>3</v>
      </c>
      <c r="AY91" s="99">
        <v>6890.4</v>
      </c>
      <c r="AZ91" s="99">
        <v>2</v>
      </c>
      <c r="BA91" s="99">
        <v>4593.5999999999995</v>
      </c>
      <c r="BB91" s="99">
        <v>3</v>
      </c>
      <c r="BC91" s="99">
        <v>6890.4</v>
      </c>
      <c r="BD91" s="99">
        <v>2</v>
      </c>
      <c r="BE91" s="99">
        <v>4593.5999999999995</v>
      </c>
      <c r="BF91" s="99">
        <v>4</v>
      </c>
      <c r="BG91" s="99">
        <v>9187.1999999999989</v>
      </c>
      <c r="BH91" s="99">
        <v>3</v>
      </c>
      <c r="BI91" s="99">
        <v>6890.4</v>
      </c>
      <c r="BJ91" s="99">
        <v>2</v>
      </c>
      <c r="BK91" s="99">
        <v>4593.5999999999995</v>
      </c>
      <c r="BL91" s="99">
        <v>3</v>
      </c>
      <c r="BM91" s="99">
        <v>6890.4</v>
      </c>
      <c r="BN91" s="99">
        <v>3</v>
      </c>
      <c r="BO91" s="99">
        <v>6890.4</v>
      </c>
      <c r="BP91" s="99">
        <v>4</v>
      </c>
      <c r="BQ91" s="99">
        <v>9187.1999999999989</v>
      </c>
      <c r="BR91" s="99">
        <v>3</v>
      </c>
      <c r="BS91" s="99">
        <v>6890.4</v>
      </c>
      <c r="BT91" s="99">
        <v>3</v>
      </c>
      <c r="BU91" s="99">
        <v>6890.4</v>
      </c>
      <c r="BV91" s="99">
        <v>3</v>
      </c>
      <c r="BW91" s="99">
        <v>6890.4</v>
      </c>
      <c r="BX91" s="99">
        <v>2</v>
      </c>
      <c r="BY91" s="99">
        <v>4593.5999999999995</v>
      </c>
      <c r="BZ91" s="99">
        <v>2</v>
      </c>
      <c r="CA91" s="99">
        <v>4593.5999999999995</v>
      </c>
      <c r="CB91" s="99">
        <v>2</v>
      </c>
      <c r="CC91" s="99">
        <v>4593.5999999999995</v>
      </c>
      <c r="CD91" s="99">
        <v>3</v>
      </c>
      <c r="CE91" s="99">
        <v>6890.4</v>
      </c>
      <c r="CF91" s="99">
        <v>4</v>
      </c>
      <c r="CG91" s="99">
        <v>9187.1999999999989</v>
      </c>
      <c r="CH91" s="99">
        <v>3</v>
      </c>
      <c r="CI91" s="99">
        <v>6890.4</v>
      </c>
      <c r="CJ91" s="99">
        <v>2</v>
      </c>
      <c r="CK91" s="99">
        <v>4593.5999999999995</v>
      </c>
      <c r="CL91" s="99">
        <v>3.289945696806456</v>
      </c>
      <c r="CM91" s="99">
        <v>7556.3472764250673</v>
      </c>
      <c r="CN91" s="99">
        <v>2</v>
      </c>
      <c r="CO91" s="99">
        <v>4593.5999999999995</v>
      </c>
      <c r="CP91" s="99">
        <v>3</v>
      </c>
      <c r="CQ91" s="99">
        <v>6890.4</v>
      </c>
      <c r="CR91" s="99">
        <v>3</v>
      </c>
      <c r="CS91" s="99">
        <v>6890.4</v>
      </c>
      <c r="CT91" s="99">
        <v>3</v>
      </c>
      <c r="CU91" s="99">
        <v>6890.4</v>
      </c>
    </row>
    <row r="92" spans="2:99">
      <c r="C92" s="98" t="s">
        <v>257</v>
      </c>
      <c r="D92" s="99">
        <v>0</v>
      </c>
      <c r="E92" s="99">
        <v>0</v>
      </c>
      <c r="F92" s="99">
        <v>0</v>
      </c>
      <c r="G92" s="99">
        <v>0</v>
      </c>
      <c r="H92" s="99">
        <v>1.8000985156859384</v>
      </c>
      <c r="I92" s="99">
        <v>2557.5799710865813</v>
      </c>
      <c r="J92" s="99">
        <v>3</v>
      </c>
      <c r="K92" s="99">
        <v>4262.3999999999996</v>
      </c>
      <c r="L92" s="99">
        <v>2</v>
      </c>
      <c r="M92" s="99">
        <v>2841.6</v>
      </c>
      <c r="N92" s="99">
        <v>3</v>
      </c>
      <c r="O92" s="99">
        <v>4262.3999999999996</v>
      </c>
      <c r="P92" s="99">
        <v>3</v>
      </c>
      <c r="Q92" s="99">
        <v>4262.3999999999996</v>
      </c>
      <c r="R92" s="99">
        <v>3</v>
      </c>
      <c r="S92" s="99">
        <v>4262.3999999999996</v>
      </c>
      <c r="T92" s="99">
        <v>2</v>
      </c>
      <c r="U92" s="99">
        <v>2841.6</v>
      </c>
      <c r="V92" s="99">
        <v>2</v>
      </c>
      <c r="W92" s="99">
        <v>2841.6</v>
      </c>
      <c r="X92" s="99">
        <v>2</v>
      </c>
      <c r="Y92" s="99">
        <v>2841.6</v>
      </c>
      <c r="Z92" s="99">
        <v>4</v>
      </c>
      <c r="AA92" s="99">
        <v>5683.2</v>
      </c>
      <c r="AB92" s="99">
        <v>3</v>
      </c>
      <c r="AC92" s="99">
        <v>4262.3999999999996</v>
      </c>
      <c r="AD92" s="99">
        <v>2</v>
      </c>
      <c r="AE92" s="99">
        <v>2841.6</v>
      </c>
      <c r="AF92" s="99">
        <v>3</v>
      </c>
      <c r="AG92" s="99">
        <v>4262.3999999999996</v>
      </c>
      <c r="AH92" s="99">
        <v>2</v>
      </c>
      <c r="AI92" s="99">
        <v>2841.6</v>
      </c>
      <c r="AJ92" s="99">
        <v>2</v>
      </c>
      <c r="AK92" s="99">
        <v>2841.6</v>
      </c>
      <c r="AL92" s="99">
        <v>4</v>
      </c>
      <c r="AM92" s="99">
        <v>5683.2</v>
      </c>
      <c r="AN92" s="99">
        <v>2</v>
      </c>
      <c r="AO92" s="99">
        <v>2841.6</v>
      </c>
      <c r="AP92" s="99">
        <v>3</v>
      </c>
      <c r="AQ92" s="99">
        <v>4262.3999999999996</v>
      </c>
      <c r="AR92" s="99">
        <v>3</v>
      </c>
      <c r="AS92" s="99">
        <v>4262.3999999999996</v>
      </c>
      <c r="AT92" s="99">
        <v>2</v>
      </c>
      <c r="AU92" s="99">
        <v>2841.6</v>
      </c>
      <c r="AV92" s="99">
        <v>2</v>
      </c>
      <c r="AW92" s="99">
        <v>2841.6</v>
      </c>
      <c r="AX92" s="99">
        <v>3</v>
      </c>
      <c r="AY92" s="99">
        <v>4262.3999999999996</v>
      </c>
      <c r="AZ92" s="99">
        <v>3</v>
      </c>
      <c r="BA92" s="99">
        <v>4262.3999999999996</v>
      </c>
      <c r="BB92" s="99">
        <v>4</v>
      </c>
      <c r="BC92" s="99">
        <v>5683.2</v>
      </c>
      <c r="BD92" s="99">
        <v>2</v>
      </c>
      <c r="BE92" s="99">
        <v>2841.6</v>
      </c>
      <c r="BF92" s="99">
        <v>4</v>
      </c>
      <c r="BG92" s="99">
        <v>5683.2</v>
      </c>
      <c r="BH92" s="99">
        <v>3</v>
      </c>
      <c r="BI92" s="99">
        <v>4262.3999999999996</v>
      </c>
      <c r="BJ92" s="99">
        <v>2</v>
      </c>
      <c r="BK92" s="99">
        <v>2841.6</v>
      </c>
      <c r="BL92" s="99">
        <v>3</v>
      </c>
      <c r="BM92" s="99">
        <v>4262.3999999999996</v>
      </c>
      <c r="BN92" s="99">
        <v>3</v>
      </c>
      <c r="BO92" s="99">
        <v>4262.3999999999996</v>
      </c>
      <c r="BP92" s="99">
        <v>3</v>
      </c>
      <c r="BQ92" s="99">
        <v>4262.3999999999996</v>
      </c>
      <c r="BR92" s="99">
        <v>3</v>
      </c>
      <c r="BS92" s="99">
        <v>4262.3999999999996</v>
      </c>
      <c r="BT92" s="99">
        <v>3</v>
      </c>
      <c r="BU92" s="99">
        <v>4262.3999999999996</v>
      </c>
      <c r="BV92" s="99">
        <v>3</v>
      </c>
      <c r="BW92" s="99">
        <v>4262.3999999999996</v>
      </c>
      <c r="BX92" s="99">
        <v>2</v>
      </c>
      <c r="BY92" s="99">
        <v>2841.6</v>
      </c>
      <c r="BZ92" s="99">
        <v>2</v>
      </c>
      <c r="CA92" s="99">
        <v>2841.6</v>
      </c>
      <c r="CB92" s="99">
        <v>2</v>
      </c>
      <c r="CC92" s="99">
        <v>2841.6</v>
      </c>
      <c r="CD92" s="99">
        <v>3</v>
      </c>
      <c r="CE92" s="99">
        <v>4262.3999999999996</v>
      </c>
      <c r="CF92" s="99">
        <v>3</v>
      </c>
      <c r="CG92" s="99">
        <v>4262.3999999999996</v>
      </c>
      <c r="CH92" s="99">
        <v>3</v>
      </c>
      <c r="CI92" s="99">
        <v>4262.3999999999996</v>
      </c>
      <c r="CJ92" s="99">
        <v>2</v>
      </c>
      <c r="CK92" s="99">
        <v>2841.6</v>
      </c>
      <c r="CL92" s="99">
        <v>3.289945696806456</v>
      </c>
      <c r="CM92" s="99">
        <v>4674.3548460226129</v>
      </c>
      <c r="CN92" s="99">
        <v>2</v>
      </c>
      <c r="CO92" s="99">
        <v>2841.6</v>
      </c>
      <c r="CP92" s="99">
        <v>3</v>
      </c>
      <c r="CQ92" s="99">
        <v>4262.3999999999996</v>
      </c>
      <c r="CR92" s="99">
        <v>3</v>
      </c>
      <c r="CS92" s="99">
        <v>4262.3999999999996</v>
      </c>
      <c r="CT92" s="99">
        <v>3</v>
      </c>
      <c r="CU92" s="99">
        <v>4262.3999999999996</v>
      </c>
    </row>
    <row r="93" spans="2:99">
      <c r="C93" s="98" t="s">
        <v>258</v>
      </c>
      <c r="D93" s="99">
        <v>0</v>
      </c>
      <c r="E93" s="99">
        <v>0</v>
      </c>
      <c r="F93" s="99">
        <v>0</v>
      </c>
      <c r="G93" s="99">
        <v>0</v>
      </c>
      <c r="H93" s="99">
        <v>1.8000985156859384</v>
      </c>
      <c r="I93" s="99">
        <v>3190.4946092017567</v>
      </c>
      <c r="J93" s="99">
        <v>3</v>
      </c>
      <c r="K93" s="99">
        <v>5317.2</v>
      </c>
      <c r="L93" s="99">
        <v>2</v>
      </c>
      <c r="M93" s="99">
        <v>3544.7999999999997</v>
      </c>
      <c r="N93" s="99">
        <v>4</v>
      </c>
      <c r="O93" s="99">
        <v>7089.5999999999995</v>
      </c>
      <c r="P93" s="99">
        <v>3</v>
      </c>
      <c r="Q93" s="99">
        <v>5317.2</v>
      </c>
      <c r="R93" s="99">
        <v>3</v>
      </c>
      <c r="S93" s="99">
        <v>5317.2</v>
      </c>
      <c r="T93" s="99">
        <v>2</v>
      </c>
      <c r="U93" s="99">
        <v>3544.7999999999997</v>
      </c>
      <c r="V93" s="99">
        <v>2</v>
      </c>
      <c r="W93" s="99">
        <v>3544.7999999999997</v>
      </c>
      <c r="X93" s="99">
        <v>2</v>
      </c>
      <c r="Y93" s="99">
        <v>3544.7999999999997</v>
      </c>
      <c r="Z93" s="99">
        <v>3</v>
      </c>
      <c r="AA93" s="99">
        <v>5317.2</v>
      </c>
      <c r="AB93" s="99">
        <v>3</v>
      </c>
      <c r="AC93" s="99">
        <v>5317.2</v>
      </c>
      <c r="AD93" s="99">
        <v>2</v>
      </c>
      <c r="AE93" s="99">
        <v>3544.7999999999997</v>
      </c>
      <c r="AF93" s="99">
        <v>3</v>
      </c>
      <c r="AG93" s="99">
        <v>5317.2</v>
      </c>
      <c r="AH93" s="99">
        <v>3</v>
      </c>
      <c r="AI93" s="99">
        <v>5317.2</v>
      </c>
      <c r="AJ93" s="99">
        <v>3</v>
      </c>
      <c r="AK93" s="99">
        <v>5317.2</v>
      </c>
      <c r="AL93" s="99">
        <v>4</v>
      </c>
      <c r="AM93" s="99">
        <v>7089.5999999999995</v>
      </c>
      <c r="AN93" s="99">
        <v>2</v>
      </c>
      <c r="AO93" s="99">
        <v>3544.7999999999997</v>
      </c>
      <c r="AP93" s="99">
        <v>3</v>
      </c>
      <c r="AQ93" s="99">
        <v>5317.2</v>
      </c>
      <c r="AR93" s="99">
        <v>3</v>
      </c>
      <c r="AS93" s="99">
        <v>5317.2</v>
      </c>
      <c r="AT93" s="99">
        <v>3</v>
      </c>
      <c r="AU93" s="99">
        <v>5317.2</v>
      </c>
      <c r="AV93" s="99">
        <v>2</v>
      </c>
      <c r="AW93" s="99">
        <v>3544.7999999999997</v>
      </c>
      <c r="AX93" s="99">
        <v>3</v>
      </c>
      <c r="AY93" s="99">
        <v>5317.2</v>
      </c>
      <c r="AZ93" s="99">
        <v>3</v>
      </c>
      <c r="BA93" s="99">
        <v>5317.2</v>
      </c>
      <c r="BB93" s="99">
        <v>3</v>
      </c>
      <c r="BC93" s="99">
        <v>5317.2</v>
      </c>
      <c r="BD93" s="99">
        <v>2</v>
      </c>
      <c r="BE93" s="99">
        <v>3544.7999999999997</v>
      </c>
      <c r="BF93" s="99">
        <v>4</v>
      </c>
      <c r="BG93" s="99">
        <v>7089.5999999999995</v>
      </c>
      <c r="BH93" s="99">
        <v>3</v>
      </c>
      <c r="BI93" s="99">
        <v>5317.2</v>
      </c>
      <c r="BJ93" s="99">
        <v>3</v>
      </c>
      <c r="BK93" s="99">
        <v>5317.2</v>
      </c>
      <c r="BL93" s="99">
        <v>3</v>
      </c>
      <c r="BM93" s="99">
        <v>5317.2</v>
      </c>
      <c r="BN93" s="99">
        <v>3</v>
      </c>
      <c r="BO93" s="99">
        <v>5317.2</v>
      </c>
      <c r="BP93" s="99">
        <v>4</v>
      </c>
      <c r="BQ93" s="99">
        <v>7089.5999999999995</v>
      </c>
      <c r="BR93" s="99">
        <v>3</v>
      </c>
      <c r="BS93" s="99">
        <v>5317.2</v>
      </c>
      <c r="BT93" s="99">
        <v>3</v>
      </c>
      <c r="BU93" s="99">
        <v>5317.2</v>
      </c>
      <c r="BV93" s="99">
        <v>3</v>
      </c>
      <c r="BW93" s="99">
        <v>5317.2</v>
      </c>
      <c r="BX93" s="99">
        <v>2</v>
      </c>
      <c r="BY93" s="99">
        <v>3544.7999999999997</v>
      </c>
      <c r="BZ93" s="99">
        <v>2</v>
      </c>
      <c r="CA93" s="99">
        <v>3544.7999999999997</v>
      </c>
      <c r="CB93" s="99">
        <v>2</v>
      </c>
      <c r="CC93" s="99">
        <v>3544.7999999999997</v>
      </c>
      <c r="CD93" s="99">
        <v>3</v>
      </c>
      <c r="CE93" s="99">
        <v>5317.2</v>
      </c>
      <c r="CF93" s="99">
        <v>4</v>
      </c>
      <c r="CG93" s="99">
        <v>7089.5999999999995</v>
      </c>
      <c r="CH93" s="99">
        <v>3</v>
      </c>
      <c r="CI93" s="99">
        <v>5317.2</v>
      </c>
      <c r="CJ93" s="99">
        <v>3</v>
      </c>
      <c r="CK93" s="99">
        <v>5317.2</v>
      </c>
      <c r="CL93" s="99">
        <v>3.289945696806456</v>
      </c>
      <c r="CM93" s="99">
        <v>5831.0997530197619</v>
      </c>
      <c r="CN93" s="99">
        <v>2</v>
      </c>
      <c r="CO93" s="99">
        <v>3544.7999999999997</v>
      </c>
      <c r="CP93" s="99">
        <v>3</v>
      </c>
      <c r="CQ93" s="99">
        <v>5317.2</v>
      </c>
      <c r="CR93" s="99">
        <v>3</v>
      </c>
      <c r="CS93" s="99">
        <v>5317.2</v>
      </c>
      <c r="CT93" s="99">
        <v>3</v>
      </c>
      <c r="CU93" s="99">
        <v>5317.2</v>
      </c>
    </row>
    <row r="94" spans="2:99">
      <c r="C94" s="98" t="s">
        <v>259</v>
      </c>
      <c r="D94" s="99">
        <v>0</v>
      </c>
      <c r="E94" s="99">
        <v>0</v>
      </c>
      <c r="F94" s="99">
        <v>0</v>
      </c>
      <c r="G94" s="99">
        <v>0</v>
      </c>
      <c r="H94" s="99">
        <v>1.8000985156859384</v>
      </c>
      <c r="I94" s="99">
        <v>4311.5959647709597</v>
      </c>
      <c r="J94" s="99">
        <v>3</v>
      </c>
      <c r="K94" s="99">
        <v>7185.5999999999995</v>
      </c>
      <c r="L94" s="99">
        <v>2</v>
      </c>
      <c r="M94" s="99">
        <v>4790.3999999999996</v>
      </c>
      <c r="N94" s="99">
        <v>3</v>
      </c>
      <c r="O94" s="99">
        <v>7185.5999999999995</v>
      </c>
      <c r="P94" s="99">
        <v>3</v>
      </c>
      <c r="Q94" s="99">
        <v>7185.5999999999995</v>
      </c>
      <c r="R94" s="99">
        <v>3</v>
      </c>
      <c r="S94" s="99">
        <v>7185.5999999999995</v>
      </c>
      <c r="T94" s="99">
        <v>2</v>
      </c>
      <c r="U94" s="99">
        <v>4790.3999999999996</v>
      </c>
      <c r="V94" s="99">
        <v>2</v>
      </c>
      <c r="W94" s="99">
        <v>4790.3999999999996</v>
      </c>
      <c r="X94" s="99">
        <v>2</v>
      </c>
      <c r="Y94" s="99">
        <v>4790.3999999999996</v>
      </c>
      <c r="Z94" s="99">
        <v>3</v>
      </c>
      <c r="AA94" s="99">
        <v>7185.5999999999995</v>
      </c>
      <c r="AB94" s="99">
        <v>3</v>
      </c>
      <c r="AC94" s="99">
        <v>7185.5999999999995</v>
      </c>
      <c r="AD94" s="99">
        <v>2</v>
      </c>
      <c r="AE94" s="99">
        <v>4790.3999999999996</v>
      </c>
      <c r="AF94" s="99">
        <v>3</v>
      </c>
      <c r="AG94" s="99">
        <v>7185.5999999999995</v>
      </c>
      <c r="AH94" s="99">
        <v>2</v>
      </c>
      <c r="AI94" s="99">
        <v>4790.3999999999996</v>
      </c>
      <c r="AJ94" s="99">
        <v>3</v>
      </c>
      <c r="AK94" s="99">
        <v>7185.5999999999995</v>
      </c>
      <c r="AL94" s="99">
        <v>3</v>
      </c>
      <c r="AM94" s="99">
        <v>7185.5999999999995</v>
      </c>
      <c r="AN94" s="99">
        <v>2</v>
      </c>
      <c r="AO94" s="99">
        <v>4790.3999999999996</v>
      </c>
      <c r="AP94" s="99">
        <v>3</v>
      </c>
      <c r="AQ94" s="99">
        <v>7185.5999999999995</v>
      </c>
      <c r="AR94" s="99">
        <v>3</v>
      </c>
      <c r="AS94" s="99">
        <v>7185.5999999999995</v>
      </c>
      <c r="AT94" s="99">
        <v>2</v>
      </c>
      <c r="AU94" s="99">
        <v>4790.3999999999996</v>
      </c>
      <c r="AV94" s="99">
        <v>2</v>
      </c>
      <c r="AW94" s="99">
        <v>4790.3999999999996</v>
      </c>
      <c r="AX94" s="99">
        <v>2</v>
      </c>
      <c r="AY94" s="99">
        <v>4790.3999999999996</v>
      </c>
      <c r="AZ94" s="99">
        <v>3</v>
      </c>
      <c r="BA94" s="99">
        <v>7185.5999999999995</v>
      </c>
      <c r="BB94" s="99">
        <v>3</v>
      </c>
      <c r="BC94" s="99">
        <v>7185.5999999999995</v>
      </c>
      <c r="BD94" s="99">
        <v>2</v>
      </c>
      <c r="BE94" s="99">
        <v>4790.3999999999996</v>
      </c>
      <c r="BF94" s="99">
        <v>4</v>
      </c>
      <c r="BG94" s="99">
        <v>9580.7999999999993</v>
      </c>
      <c r="BH94" s="99">
        <v>3</v>
      </c>
      <c r="BI94" s="99">
        <v>7185.5999999999995</v>
      </c>
      <c r="BJ94" s="99">
        <v>3</v>
      </c>
      <c r="BK94" s="99">
        <v>7185.5999999999995</v>
      </c>
      <c r="BL94" s="99">
        <v>3</v>
      </c>
      <c r="BM94" s="99">
        <v>7185.5999999999995</v>
      </c>
      <c r="BN94" s="99">
        <v>3</v>
      </c>
      <c r="BO94" s="99">
        <v>7185.5999999999995</v>
      </c>
      <c r="BP94" s="99">
        <v>3</v>
      </c>
      <c r="BQ94" s="99">
        <v>7185.5999999999995</v>
      </c>
      <c r="BR94" s="99">
        <v>3</v>
      </c>
      <c r="BS94" s="99">
        <v>7185.5999999999995</v>
      </c>
      <c r="BT94" s="99">
        <v>3</v>
      </c>
      <c r="BU94" s="99">
        <v>7185.5999999999995</v>
      </c>
      <c r="BV94" s="99">
        <v>3</v>
      </c>
      <c r="BW94" s="99">
        <v>7185.5999999999995</v>
      </c>
      <c r="BX94" s="99">
        <v>2</v>
      </c>
      <c r="BY94" s="99">
        <v>4790.3999999999996</v>
      </c>
      <c r="BZ94" s="99">
        <v>2</v>
      </c>
      <c r="CA94" s="99">
        <v>4790.3999999999996</v>
      </c>
      <c r="CB94" s="99">
        <v>2</v>
      </c>
      <c r="CC94" s="99">
        <v>4790.3999999999996</v>
      </c>
      <c r="CD94" s="99">
        <v>3</v>
      </c>
      <c r="CE94" s="99">
        <v>7185.5999999999995</v>
      </c>
      <c r="CF94" s="99">
        <v>3</v>
      </c>
      <c r="CG94" s="99">
        <v>7185.5999999999995</v>
      </c>
      <c r="CH94" s="99">
        <v>3</v>
      </c>
      <c r="CI94" s="99">
        <v>7185.5999999999995</v>
      </c>
      <c r="CJ94" s="99">
        <v>2</v>
      </c>
      <c r="CK94" s="99">
        <v>4790.3999999999996</v>
      </c>
      <c r="CL94" s="99">
        <v>2.4674592726048421</v>
      </c>
      <c r="CM94" s="99">
        <v>5910.0584497431173</v>
      </c>
      <c r="CN94" s="99">
        <v>2</v>
      </c>
      <c r="CO94" s="99">
        <v>4790.3999999999996</v>
      </c>
      <c r="CP94" s="99">
        <v>3</v>
      </c>
      <c r="CQ94" s="99">
        <v>7185.5999999999995</v>
      </c>
      <c r="CR94" s="99">
        <v>3</v>
      </c>
      <c r="CS94" s="99">
        <v>7185.5999999999995</v>
      </c>
      <c r="CT94" s="99">
        <v>3</v>
      </c>
      <c r="CU94" s="99">
        <v>7185.5999999999995</v>
      </c>
    </row>
    <row r="95" spans="2:99">
      <c r="B95" s="98" t="s">
        <v>132</v>
      </c>
      <c r="C95" s="98" t="s">
        <v>260</v>
      </c>
      <c r="D95" s="99">
        <v>0</v>
      </c>
      <c r="E95" s="99">
        <v>0</v>
      </c>
      <c r="F95" s="99">
        <v>0</v>
      </c>
      <c r="G95" s="99">
        <v>0</v>
      </c>
      <c r="H95" s="99">
        <v>3.6001970313718767</v>
      </c>
      <c r="I95" s="99">
        <v>6238.4214159611874</v>
      </c>
      <c r="J95" s="99">
        <v>2</v>
      </c>
      <c r="K95" s="99">
        <v>3465.6</v>
      </c>
      <c r="L95" s="99">
        <v>4</v>
      </c>
      <c r="M95" s="99">
        <v>6931.2</v>
      </c>
      <c r="N95" s="99">
        <v>4</v>
      </c>
      <c r="O95" s="99">
        <v>6931.2</v>
      </c>
      <c r="P95" s="99">
        <v>4</v>
      </c>
      <c r="Q95" s="99">
        <v>6931.2</v>
      </c>
      <c r="R95" s="99">
        <v>4</v>
      </c>
      <c r="S95" s="99">
        <v>6931.2</v>
      </c>
      <c r="T95" s="99">
        <v>4</v>
      </c>
      <c r="U95" s="99">
        <v>6931.2</v>
      </c>
      <c r="V95" s="99">
        <v>4</v>
      </c>
      <c r="W95" s="99">
        <v>6931.2</v>
      </c>
      <c r="X95" s="99">
        <v>4</v>
      </c>
      <c r="Y95" s="99">
        <v>6931.2</v>
      </c>
      <c r="Z95" s="99">
        <v>3</v>
      </c>
      <c r="AA95" s="99">
        <v>5198.3999999999996</v>
      </c>
      <c r="AB95" s="99">
        <v>4</v>
      </c>
      <c r="AC95" s="99">
        <v>6931.2</v>
      </c>
      <c r="AD95" s="99">
        <v>4</v>
      </c>
      <c r="AE95" s="99">
        <v>6931.2</v>
      </c>
      <c r="AF95" s="99">
        <v>2</v>
      </c>
      <c r="AG95" s="99">
        <v>3465.6</v>
      </c>
      <c r="AH95" s="99">
        <v>4</v>
      </c>
      <c r="AI95" s="99">
        <v>6931.2</v>
      </c>
      <c r="AJ95" s="99">
        <v>4</v>
      </c>
      <c r="AK95" s="99">
        <v>6931.2</v>
      </c>
      <c r="AL95" s="99">
        <v>3</v>
      </c>
      <c r="AM95" s="99">
        <v>5198.3999999999996</v>
      </c>
      <c r="AN95" s="99">
        <v>3</v>
      </c>
      <c r="AO95" s="99">
        <v>5198.3999999999996</v>
      </c>
      <c r="AP95" s="99">
        <v>2</v>
      </c>
      <c r="AQ95" s="99">
        <v>3465.6</v>
      </c>
      <c r="AR95" s="99">
        <v>3</v>
      </c>
      <c r="AS95" s="99">
        <v>5198.3999999999996</v>
      </c>
      <c r="AT95" s="99">
        <v>2</v>
      </c>
      <c r="AU95" s="99">
        <v>3465.6</v>
      </c>
      <c r="AV95" s="99">
        <v>5</v>
      </c>
      <c r="AW95" s="99">
        <v>8664</v>
      </c>
      <c r="AX95" s="99">
        <v>3</v>
      </c>
      <c r="AY95" s="99">
        <v>5198.3999999999996</v>
      </c>
      <c r="AZ95" s="99">
        <v>3</v>
      </c>
      <c r="BA95" s="99">
        <v>5198.3999999999996</v>
      </c>
      <c r="BB95" s="99">
        <v>5</v>
      </c>
      <c r="BC95" s="99">
        <v>8664</v>
      </c>
      <c r="BD95" s="99">
        <v>3</v>
      </c>
      <c r="BE95" s="99">
        <v>5198.3999999999996</v>
      </c>
      <c r="BF95" s="99">
        <v>3</v>
      </c>
      <c r="BG95" s="99">
        <v>5198.3999999999996</v>
      </c>
      <c r="BH95" s="99">
        <v>2</v>
      </c>
      <c r="BI95" s="99">
        <v>3465.6</v>
      </c>
      <c r="BJ95" s="99">
        <v>3</v>
      </c>
      <c r="BK95" s="99">
        <v>5198.3999999999996</v>
      </c>
      <c r="BL95" s="99">
        <v>5</v>
      </c>
      <c r="BM95" s="99">
        <v>8664</v>
      </c>
      <c r="BN95" s="99">
        <v>2</v>
      </c>
      <c r="BO95" s="99">
        <v>3465.6</v>
      </c>
      <c r="BP95" s="99">
        <v>3</v>
      </c>
      <c r="BQ95" s="99">
        <v>5198.3999999999996</v>
      </c>
      <c r="BR95" s="99">
        <v>3</v>
      </c>
      <c r="BS95" s="99">
        <v>5198.3999999999996</v>
      </c>
      <c r="BT95" s="99">
        <v>3</v>
      </c>
      <c r="BU95" s="99">
        <v>5198.3999999999996</v>
      </c>
      <c r="BV95" s="99">
        <v>3</v>
      </c>
      <c r="BW95" s="99">
        <v>5198.3999999999996</v>
      </c>
      <c r="BX95" s="99">
        <v>5</v>
      </c>
      <c r="BY95" s="99">
        <v>8664</v>
      </c>
      <c r="BZ95" s="99">
        <v>3</v>
      </c>
      <c r="CA95" s="99">
        <v>5198.3999999999996</v>
      </c>
      <c r="CB95" s="99">
        <v>5</v>
      </c>
      <c r="CC95" s="99">
        <v>8664</v>
      </c>
      <c r="CD95" s="99">
        <v>4</v>
      </c>
      <c r="CE95" s="99">
        <v>6931.2</v>
      </c>
      <c r="CF95" s="99">
        <v>4</v>
      </c>
      <c r="CG95" s="99">
        <v>6931.2</v>
      </c>
      <c r="CH95" s="99">
        <v>4</v>
      </c>
      <c r="CI95" s="99">
        <v>6931.2</v>
      </c>
      <c r="CJ95" s="99">
        <v>4</v>
      </c>
      <c r="CK95" s="99">
        <v>6931.2</v>
      </c>
      <c r="CL95" s="99">
        <v>2.4674592726048421</v>
      </c>
      <c r="CM95" s="99">
        <v>4275.6134275696704</v>
      </c>
      <c r="CN95" s="99">
        <v>4</v>
      </c>
      <c r="CO95" s="99">
        <v>6931.2</v>
      </c>
      <c r="CP95" s="99">
        <v>3</v>
      </c>
      <c r="CQ95" s="99">
        <v>5198.3999999999996</v>
      </c>
      <c r="CR95" s="99">
        <v>3</v>
      </c>
      <c r="CS95" s="99">
        <v>5198.3999999999996</v>
      </c>
      <c r="CT95" s="99">
        <v>4</v>
      </c>
      <c r="CU95" s="99">
        <v>6931.2</v>
      </c>
    </row>
    <row r="96" spans="2:99">
      <c r="C96" s="98" t="s">
        <v>261</v>
      </c>
      <c r="D96" s="99">
        <v>0</v>
      </c>
      <c r="E96" s="99">
        <v>0</v>
      </c>
      <c r="F96" s="99">
        <v>0</v>
      </c>
      <c r="G96" s="99">
        <v>0</v>
      </c>
      <c r="H96" s="99">
        <v>3.6001970313718767</v>
      </c>
      <c r="I96" s="99">
        <v>2963.6821962253289</v>
      </c>
      <c r="J96" s="99">
        <v>3</v>
      </c>
      <c r="K96" s="99">
        <v>2469.6</v>
      </c>
      <c r="L96" s="99">
        <v>4</v>
      </c>
      <c r="M96" s="99">
        <v>3292.7999999999997</v>
      </c>
      <c r="N96" s="99">
        <v>4</v>
      </c>
      <c r="O96" s="99">
        <v>3292.7999999999997</v>
      </c>
      <c r="P96" s="99">
        <v>4</v>
      </c>
      <c r="Q96" s="99">
        <v>3292.7999999999997</v>
      </c>
      <c r="R96" s="99">
        <v>4</v>
      </c>
      <c r="S96" s="99">
        <v>3292.7999999999997</v>
      </c>
      <c r="T96" s="99">
        <v>4</v>
      </c>
      <c r="U96" s="99">
        <v>3292.7999999999997</v>
      </c>
      <c r="V96" s="99">
        <v>4</v>
      </c>
      <c r="W96" s="99">
        <v>3292.7999999999997</v>
      </c>
      <c r="X96" s="99">
        <v>5</v>
      </c>
      <c r="Y96" s="99">
        <v>4116</v>
      </c>
      <c r="Z96" s="99">
        <v>3</v>
      </c>
      <c r="AA96" s="99">
        <v>2469.6</v>
      </c>
      <c r="AB96" s="99">
        <v>5</v>
      </c>
      <c r="AC96" s="99">
        <v>4116</v>
      </c>
      <c r="AD96" s="99">
        <v>4</v>
      </c>
      <c r="AE96" s="99">
        <v>3292.7999999999997</v>
      </c>
      <c r="AF96" s="99">
        <v>3</v>
      </c>
      <c r="AG96" s="99">
        <v>2469.6</v>
      </c>
      <c r="AH96" s="99">
        <v>5</v>
      </c>
      <c r="AI96" s="99">
        <v>4116</v>
      </c>
      <c r="AJ96" s="99">
        <v>3</v>
      </c>
      <c r="AK96" s="99">
        <v>2469.6</v>
      </c>
      <c r="AL96" s="99">
        <v>3</v>
      </c>
      <c r="AM96" s="99">
        <v>2469.6</v>
      </c>
      <c r="AN96" s="99">
        <v>3</v>
      </c>
      <c r="AO96" s="99">
        <v>2469.6</v>
      </c>
      <c r="AP96" s="99">
        <v>2</v>
      </c>
      <c r="AQ96" s="99">
        <v>1646.3999999999999</v>
      </c>
      <c r="AR96" s="99">
        <v>3</v>
      </c>
      <c r="AS96" s="99">
        <v>2469.6</v>
      </c>
      <c r="AT96" s="99">
        <v>2</v>
      </c>
      <c r="AU96" s="99">
        <v>1646.3999999999999</v>
      </c>
      <c r="AV96" s="99">
        <v>5</v>
      </c>
      <c r="AW96" s="99">
        <v>4116</v>
      </c>
      <c r="AX96" s="99">
        <v>3</v>
      </c>
      <c r="AY96" s="99">
        <v>2469.6</v>
      </c>
      <c r="AZ96" s="99">
        <v>3</v>
      </c>
      <c r="BA96" s="99">
        <v>2469.6</v>
      </c>
      <c r="BB96" s="99">
        <v>4</v>
      </c>
      <c r="BC96" s="99">
        <v>3292.7999999999997</v>
      </c>
      <c r="BD96" s="99">
        <v>3</v>
      </c>
      <c r="BE96" s="99">
        <v>2469.6</v>
      </c>
      <c r="BF96" s="99">
        <v>3</v>
      </c>
      <c r="BG96" s="99">
        <v>2469.6</v>
      </c>
      <c r="BH96" s="99">
        <v>3</v>
      </c>
      <c r="BI96" s="99">
        <v>2469.6</v>
      </c>
      <c r="BJ96" s="99">
        <v>4</v>
      </c>
      <c r="BK96" s="99">
        <v>3292.7999999999997</v>
      </c>
      <c r="BL96" s="99">
        <v>4</v>
      </c>
      <c r="BM96" s="99">
        <v>3292.7999999999997</v>
      </c>
      <c r="BN96" s="99">
        <v>3</v>
      </c>
      <c r="BO96" s="99">
        <v>2469.6</v>
      </c>
      <c r="BP96" s="99">
        <v>3</v>
      </c>
      <c r="BQ96" s="99">
        <v>2469.6</v>
      </c>
      <c r="BR96" s="99">
        <v>3</v>
      </c>
      <c r="BS96" s="99">
        <v>2469.6</v>
      </c>
      <c r="BT96" s="99">
        <v>4</v>
      </c>
      <c r="BU96" s="99">
        <v>3292.7999999999997</v>
      </c>
      <c r="BV96" s="99">
        <v>3</v>
      </c>
      <c r="BW96" s="99">
        <v>2469.6</v>
      </c>
      <c r="BX96" s="99">
        <v>4</v>
      </c>
      <c r="BY96" s="99">
        <v>3292.7999999999997</v>
      </c>
      <c r="BZ96" s="99">
        <v>4</v>
      </c>
      <c r="CA96" s="99">
        <v>3292.7999999999997</v>
      </c>
      <c r="CB96" s="99">
        <v>4</v>
      </c>
      <c r="CC96" s="99">
        <v>3292.7999999999997</v>
      </c>
      <c r="CD96" s="99">
        <v>4</v>
      </c>
      <c r="CE96" s="99">
        <v>3292.7999999999997</v>
      </c>
      <c r="CF96" s="99">
        <v>4</v>
      </c>
      <c r="CG96" s="99">
        <v>3292.7999999999997</v>
      </c>
      <c r="CH96" s="99">
        <v>4</v>
      </c>
      <c r="CI96" s="99">
        <v>3292.7999999999997</v>
      </c>
      <c r="CJ96" s="99">
        <v>5</v>
      </c>
      <c r="CK96" s="99">
        <v>4116</v>
      </c>
      <c r="CL96" s="99">
        <v>2.4674592726048421</v>
      </c>
      <c r="CM96" s="99">
        <v>2031.2124732083059</v>
      </c>
      <c r="CN96" s="99">
        <v>3</v>
      </c>
      <c r="CO96" s="99">
        <v>2469.6</v>
      </c>
      <c r="CP96" s="99">
        <v>3</v>
      </c>
      <c r="CQ96" s="99">
        <v>2469.6</v>
      </c>
      <c r="CR96" s="99">
        <v>3</v>
      </c>
      <c r="CS96" s="99">
        <v>2469.6</v>
      </c>
      <c r="CT96" s="99">
        <v>4</v>
      </c>
      <c r="CU96" s="99">
        <v>3292.7999999999997</v>
      </c>
    </row>
    <row r="97" spans="2:99">
      <c r="C97" s="98" t="s">
        <v>262</v>
      </c>
      <c r="D97" s="99">
        <v>0</v>
      </c>
      <c r="E97" s="99">
        <v>0</v>
      </c>
      <c r="F97" s="99">
        <v>0</v>
      </c>
      <c r="G97" s="99">
        <v>0</v>
      </c>
      <c r="H97" s="99">
        <v>3.6001970313718767</v>
      </c>
      <c r="I97" s="99">
        <v>6584.0403309728881</v>
      </c>
      <c r="J97" s="99">
        <v>3</v>
      </c>
      <c r="K97" s="99">
        <v>5486.4</v>
      </c>
      <c r="L97" s="99">
        <v>4</v>
      </c>
      <c r="M97" s="99">
        <v>7315.2</v>
      </c>
      <c r="N97" s="99">
        <v>4</v>
      </c>
      <c r="O97" s="99">
        <v>7315.2</v>
      </c>
      <c r="P97" s="99">
        <v>4</v>
      </c>
      <c r="Q97" s="99">
        <v>7315.2</v>
      </c>
      <c r="R97" s="99">
        <v>4</v>
      </c>
      <c r="S97" s="99">
        <v>7315.2</v>
      </c>
      <c r="T97" s="99">
        <v>4</v>
      </c>
      <c r="U97" s="99">
        <v>7315.2</v>
      </c>
      <c r="V97" s="99">
        <v>4</v>
      </c>
      <c r="W97" s="99">
        <v>7315.2</v>
      </c>
      <c r="X97" s="99">
        <v>4</v>
      </c>
      <c r="Y97" s="99">
        <v>7315.2</v>
      </c>
      <c r="Z97" s="99">
        <v>3</v>
      </c>
      <c r="AA97" s="99">
        <v>5486.4</v>
      </c>
      <c r="AB97" s="99">
        <v>4</v>
      </c>
      <c r="AC97" s="99">
        <v>7315.2</v>
      </c>
      <c r="AD97" s="99">
        <v>4</v>
      </c>
      <c r="AE97" s="99">
        <v>7315.2</v>
      </c>
      <c r="AF97" s="99">
        <v>2</v>
      </c>
      <c r="AG97" s="99">
        <v>3657.6</v>
      </c>
      <c r="AH97" s="99">
        <v>4</v>
      </c>
      <c r="AI97" s="99">
        <v>7315.2</v>
      </c>
      <c r="AJ97" s="99">
        <v>4</v>
      </c>
      <c r="AK97" s="99">
        <v>7315.2</v>
      </c>
      <c r="AL97" s="99">
        <v>3</v>
      </c>
      <c r="AM97" s="99">
        <v>5486.4</v>
      </c>
      <c r="AN97" s="99">
        <v>3</v>
      </c>
      <c r="AO97" s="99">
        <v>5486.4</v>
      </c>
      <c r="AP97" s="99">
        <v>3</v>
      </c>
      <c r="AQ97" s="99">
        <v>5486.4</v>
      </c>
      <c r="AR97" s="99">
        <v>3</v>
      </c>
      <c r="AS97" s="99">
        <v>5486.4</v>
      </c>
      <c r="AT97" s="99">
        <v>2</v>
      </c>
      <c r="AU97" s="99">
        <v>3657.6</v>
      </c>
      <c r="AV97" s="99">
        <v>4</v>
      </c>
      <c r="AW97" s="99">
        <v>7315.2</v>
      </c>
      <c r="AX97" s="99">
        <v>3</v>
      </c>
      <c r="AY97" s="99">
        <v>5486.4</v>
      </c>
      <c r="AZ97" s="99">
        <v>3</v>
      </c>
      <c r="BA97" s="99">
        <v>5486.4</v>
      </c>
      <c r="BB97" s="99">
        <v>4</v>
      </c>
      <c r="BC97" s="99">
        <v>7315.2</v>
      </c>
      <c r="BD97" s="99">
        <v>3</v>
      </c>
      <c r="BE97" s="99">
        <v>5486.4</v>
      </c>
      <c r="BF97" s="99">
        <v>3</v>
      </c>
      <c r="BG97" s="99">
        <v>5486.4</v>
      </c>
      <c r="BH97" s="99">
        <v>2</v>
      </c>
      <c r="BI97" s="99">
        <v>3657.6</v>
      </c>
      <c r="BJ97" s="99">
        <v>3</v>
      </c>
      <c r="BK97" s="99">
        <v>5486.4</v>
      </c>
      <c r="BL97" s="99">
        <v>4</v>
      </c>
      <c r="BM97" s="99">
        <v>7315.2</v>
      </c>
      <c r="BN97" s="99">
        <v>3</v>
      </c>
      <c r="BO97" s="99">
        <v>5486.4</v>
      </c>
      <c r="BP97" s="99">
        <v>3</v>
      </c>
      <c r="BQ97" s="99">
        <v>5486.4</v>
      </c>
      <c r="BR97" s="99">
        <v>3</v>
      </c>
      <c r="BS97" s="99">
        <v>5486.4</v>
      </c>
      <c r="BT97" s="99">
        <v>4</v>
      </c>
      <c r="BU97" s="99">
        <v>7315.2</v>
      </c>
      <c r="BV97" s="99">
        <v>3</v>
      </c>
      <c r="BW97" s="99">
        <v>5486.4</v>
      </c>
      <c r="BX97" s="99">
        <v>4</v>
      </c>
      <c r="BY97" s="99">
        <v>7315.2</v>
      </c>
      <c r="BZ97" s="99">
        <v>3</v>
      </c>
      <c r="CA97" s="99">
        <v>5486.4</v>
      </c>
      <c r="CB97" s="99">
        <v>5</v>
      </c>
      <c r="CC97" s="99">
        <v>9144</v>
      </c>
      <c r="CD97" s="99">
        <v>4</v>
      </c>
      <c r="CE97" s="99">
        <v>7315.2</v>
      </c>
      <c r="CF97" s="99">
        <v>4</v>
      </c>
      <c r="CG97" s="99">
        <v>7315.2</v>
      </c>
      <c r="CH97" s="99">
        <v>3</v>
      </c>
      <c r="CI97" s="99">
        <v>5486.4</v>
      </c>
      <c r="CJ97" s="99">
        <v>5</v>
      </c>
      <c r="CK97" s="99">
        <v>9144</v>
      </c>
      <c r="CL97" s="99">
        <v>2.4674592726048421</v>
      </c>
      <c r="CM97" s="99">
        <v>4512.4895177397348</v>
      </c>
      <c r="CN97" s="99">
        <v>4</v>
      </c>
      <c r="CO97" s="99">
        <v>7315.2</v>
      </c>
      <c r="CP97" s="99">
        <v>3</v>
      </c>
      <c r="CQ97" s="99">
        <v>5486.4</v>
      </c>
      <c r="CR97" s="99">
        <v>3</v>
      </c>
      <c r="CS97" s="99">
        <v>5486.4</v>
      </c>
      <c r="CT97" s="99">
        <v>4</v>
      </c>
      <c r="CU97" s="99">
        <v>7315.2</v>
      </c>
    </row>
    <row r="98" spans="2:99">
      <c r="C98" s="98" t="s">
        <v>263</v>
      </c>
      <c r="D98" s="99">
        <v>0</v>
      </c>
      <c r="E98" s="99">
        <v>0</v>
      </c>
      <c r="F98" s="99">
        <v>0</v>
      </c>
      <c r="G98" s="99">
        <v>0</v>
      </c>
      <c r="H98" s="99">
        <v>4.5002462892148456</v>
      </c>
      <c r="I98" s="99">
        <v>5686.5112110518785</v>
      </c>
      <c r="J98" s="99">
        <v>2</v>
      </c>
      <c r="K98" s="99">
        <v>2527.1999999999998</v>
      </c>
      <c r="L98" s="99">
        <v>4</v>
      </c>
      <c r="M98" s="99">
        <v>5054.3999999999996</v>
      </c>
      <c r="N98" s="99">
        <v>5</v>
      </c>
      <c r="O98" s="99">
        <v>6318</v>
      </c>
      <c r="P98" s="99">
        <v>4</v>
      </c>
      <c r="Q98" s="99">
        <v>5054.3999999999996</v>
      </c>
      <c r="R98" s="99">
        <v>4</v>
      </c>
      <c r="S98" s="99">
        <v>5054.3999999999996</v>
      </c>
      <c r="T98" s="99">
        <v>4</v>
      </c>
      <c r="U98" s="99">
        <v>5054.3999999999996</v>
      </c>
      <c r="V98" s="99">
        <v>4</v>
      </c>
      <c r="W98" s="99">
        <v>5054.3999999999996</v>
      </c>
      <c r="X98" s="99">
        <v>4</v>
      </c>
      <c r="Y98" s="99">
        <v>5054.3999999999996</v>
      </c>
      <c r="Z98" s="99">
        <v>3</v>
      </c>
      <c r="AA98" s="99">
        <v>3790.7999999999997</v>
      </c>
      <c r="AB98" s="99">
        <v>4</v>
      </c>
      <c r="AC98" s="99">
        <v>5054.3999999999996</v>
      </c>
      <c r="AD98" s="99">
        <v>4</v>
      </c>
      <c r="AE98" s="99">
        <v>5054.3999999999996</v>
      </c>
      <c r="AF98" s="99">
        <v>2</v>
      </c>
      <c r="AG98" s="99">
        <v>2527.1999999999998</v>
      </c>
      <c r="AH98" s="99">
        <v>5</v>
      </c>
      <c r="AI98" s="99">
        <v>6318</v>
      </c>
      <c r="AJ98" s="99">
        <v>4</v>
      </c>
      <c r="AK98" s="99">
        <v>5054.3999999999996</v>
      </c>
      <c r="AL98" s="99">
        <v>3</v>
      </c>
      <c r="AM98" s="99">
        <v>3790.7999999999997</v>
      </c>
      <c r="AN98" s="99">
        <v>3</v>
      </c>
      <c r="AO98" s="99">
        <v>3790.7999999999997</v>
      </c>
      <c r="AP98" s="99">
        <v>3</v>
      </c>
      <c r="AQ98" s="99">
        <v>3790.7999999999997</v>
      </c>
      <c r="AR98" s="99">
        <v>3</v>
      </c>
      <c r="AS98" s="99">
        <v>3790.7999999999997</v>
      </c>
      <c r="AT98" s="99">
        <v>3</v>
      </c>
      <c r="AU98" s="99">
        <v>3790.7999999999997</v>
      </c>
      <c r="AV98" s="99">
        <v>5</v>
      </c>
      <c r="AW98" s="99">
        <v>6318</v>
      </c>
      <c r="AX98" s="99">
        <v>3</v>
      </c>
      <c r="AY98" s="99">
        <v>3790.7999999999997</v>
      </c>
      <c r="AZ98" s="99">
        <v>3</v>
      </c>
      <c r="BA98" s="99">
        <v>3790.7999999999997</v>
      </c>
      <c r="BB98" s="99">
        <v>4</v>
      </c>
      <c r="BC98" s="99">
        <v>5054.3999999999996</v>
      </c>
      <c r="BD98" s="99">
        <v>3</v>
      </c>
      <c r="BE98" s="99">
        <v>3790.7999999999997</v>
      </c>
      <c r="BF98" s="99">
        <v>3</v>
      </c>
      <c r="BG98" s="99">
        <v>3790.7999999999997</v>
      </c>
      <c r="BH98" s="99">
        <v>3</v>
      </c>
      <c r="BI98" s="99">
        <v>3790.7999999999997</v>
      </c>
      <c r="BJ98" s="99">
        <v>3</v>
      </c>
      <c r="BK98" s="99">
        <v>3790.7999999999997</v>
      </c>
      <c r="BL98" s="99">
        <v>4</v>
      </c>
      <c r="BM98" s="99">
        <v>5054.3999999999996</v>
      </c>
      <c r="BN98" s="99">
        <v>3</v>
      </c>
      <c r="BO98" s="99">
        <v>3790.7999999999997</v>
      </c>
      <c r="BP98" s="99">
        <v>3</v>
      </c>
      <c r="BQ98" s="99">
        <v>3790.7999999999997</v>
      </c>
      <c r="BR98" s="99">
        <v>3</v>
      </c>
      <c r="BS98" s="99">
        <v>3790.7999999999997</v>
      </c>
      <c r="BT98" s="99">
        <v>4</v>
      </c>
      <c r="BU98" s="99">
        <v>5054.3999999999996</v>
      </c>
      <c r="BV98" s="99">
        <v>3</v>
      </c>
      <c r="BW98" s="99">
        <v>3790.7999999999997</v>
      </c>
      <c r="BX98" s="99">
        <v>4</v>
      </c>
      <c r="BY98" s="99">
        <v>5054.3999999999996</v>
      </c>
      <c r="BZ98" s="99">
        <v>4</v>
      </c>
      <c r="CA98" s="99">
        <v>5054.3999999999996</v>
      </c>
      <c r="CB98" s="99">
        <v>4</v>
      </c>
      <c r="CC98" s="99">
        <v>5054.3999999999996</v>
      </c>
      <c r="CD98" s="99">
        <v>4</v>
      </c>
      <c r="CE98" s="99">
        <v>5054.3999999999996</v>
      </c>
      <c r="CF98" s="99">
        <v>5</v>
      </c>
      <c r="CG98" s="99">
        <v>6318</v>
      </c>
      <c r="CH98" s="99">
        <v>4</v>
      </c>
      <c r="CI98" s="99">
        <v>5054.3999999999996</v>
      </c>
      <c r="CJ98" s="99">
        <v>4</v>
      </c>
      <c r="CK98" s="99">
        <v>5054.3999999999996</v>
      </c>
      <c r="CL98" s="99">
        <v>2.4674592726048421</v>
      </c>
      <c r="CM98" s="99">
        <v>3117.8815368634782</v>
      </c>
      <c r="CN98" s="99">
        <v>4</v>
      </c>
      <c r="CO98" s="99">
        <v>5054.3999999999996</v>
      </c>
      <c r="CP98" s="99">
        <v>3</v>
      </c>
      <c r="CQ98" s="99">
        <v>3790.7999999999997</v>
      </c>
      <c r="CR98" s="99">
        <v>3</v>
      </c>
      <c r="CS98" s="99">
        <v>3790.7999999999997</v>
      </c>
      <c r="CT98" s="99">
        <v>4</v>
      </c>
      <c r="CU98" s="99">
        <v>5054.3999999999996</v>
      </c>
    </row>
    <row r="99" spans="2:99">
      <c r="C99" s="98" t="s">
        <v>264</v>
      </c>
      <c r="D99" s="99">
        <v>0</v>
      </c>
      <c r="E99" s="99">
        <v>0</v>
      </c>
      <c r="F99" s="99">
        <v>0</v>
      </c>
      <c r="G99" s="99">
        <v>0</v>
      </c>
      <c r="H99" s="99">
        <v>2.7001477735289074</v>
      </c>
      <c r="I99" s="99">
        <v>14801.130035376058</v>
      </c>
      <c r="J99" s="99">
        <v>2</v>
      </c>
      <c r="K99" s="99">
        <v>10963.199999999999</v>
      </c>
      <c r="L99" s="99">
        <v>3</v>
      </c>
      <c r="M99" s="99">
        <v>16444.8</v>
      </c>
      <c r="N99" s="99">
        <v>3</v>
      </c>
      <c r="O99" s="99">
        <v>16444.8</v>
      </c>
      <c r="P99" s="99">
        <v>3</v>
      </c>
      <c r="Q99" s="99">
        <v>16444.8</v>
      </c>
      <c r="R99" s="99">
        <v>3</v>
      </c>
      <c r="S99" s="99">
        <v>16444.8</v>
      </c>
      <c r="T99" s="99">
        <v>3</v>
      </c>
      <c r="U99" s="99">
        <v>16444.8</v>
      </c>
      <c r="V99" s="99">
        <v>3</v>
      </c>
      <c r="W99" s="99">
        <v>16444.8</v>
      </c>
      <c r="X99" s="99">
        <v>3</v>
      </c>
      <c r="Y99" s="99">
        <v>16444.8</v>
      </c>
      <c r="Z99" s="99">
        <v>2</v>
      </c>
      <c r="AA99" s="99">
        <v>10963.199999999999</v>
      </c>
      <c r="AB99" s="99">
        <v>4</v>
      </c>
      <c r="AC99" s="99">
        <v>21926.399999999998</v>
      </c>
      <c r="AD99" s="99">
        <v>3</v>
      </c>
      <c r="AE99" s="99">
        <v>16444.8</v>
      </c>
      <c r="AF99" s="99">
        <v>2</v>
      </c>
      <c r="AG99" s="99">
        <v>10963.199999999999</v>
      </c>
      <c r="AH99" s="99">
        <v>3</v>
      </c>
      <c r="AI99" s="99">
        <v>16444.8</v>
      </c>
      <c r="AJ99" s="99">
        <v>3</v>
      </c>
      <c r="AK99" s="99">
        <v>16444.8</v>
      </c>
      <c r="AL99" s="99">
        <v>3</v>
      </c>
      <c r="AM99" s="99">
        <v>16444.8</v>
      </c>
      <c r="AN99" s="99">
        <v>2</v>
      </c>
      <c r="AO99" s="99">
        <v>10963.199999999999</v>
      </c>
      <c r="AP99" s="99">
        <v>2</v>
      </c>
      <c r="AQ99" s="99">
        <v>10963.199999999999</v>
      </c>
      <c r="AR99" s="99">
        <v>2</v>
      </c>
      <c r="AS99" s="99">
        <v>10963.199999999999</v>
      </c>
      <c r="AT99" s="99">
        <v>2</v>
      </c>
      <c r="AU99" s="99">
        <v>10963.199999999999</v>
      </c>
      <c r="AV99" s="99">
        <v>4</v>
      </c>
      <c r="AW99" s="99">
        <v>21926.399999999998</v>
      </c>
      <c r="AX99" s="99">
        <v>2</v>
      </c>
      <c r="AY99" s="99">
        <v>10963.199999999999</v>
      </c>
      <c r="AZ99" s="99">
        <v>2</v>
      </c>
      <c r="BA99" s="99">
        <v>10963.199999999999</v>
      </c>
      <c r="BB99" s="99">
        <v>3</v>
      </c>
      <c r="BC99" s="99">
        <v>16444.8</v>
      </c>
      <c r="BD99" s="99">
        <v>3</v>
      </c>
      <c r="BE99" s="99">
        <v>16444.8</v>
      </c>
      <c r="BF99" s="99">
        <v>2</v>
      </c>
      <c r="BG99" s="99">
        <v>10963.199999999999</v>
      </c>
      <c r="BH99" s="99">
        <v>2</v>
      </c>
      <c r="BI99" s="99">
        <v>10963.199999999999</v>
      </c>
      <c r="BJ99" s="99">
        <v>3</v>
      </c>
      <c r="BK99" s="99">
        <v>16444.8</v>
      </c>
      <c r="BL99" s="99">
        <v>3</v>
      </c>
      <c r="BM99" s="99">
        <v>16444.8</v>
      </c>
      <c r="BN99" s="99">
        <v>2</v>
      </c>
      <c r="BO99" s="99">
        <v>10963.199999999999</v>
      </c>
      <c r="BP99" s="99">
        <v>3</v>
      </c>
      <c r="BQ99" s="99">
        <v>16444.8</v>
      </c>
      <c r="BR99" s="99">
        <v>2</v>
      </c>
      <c r="BS99" s="99">
        <v>10963.199999999999</v>
      </c>
      <c r="BT99" s="99">
        <v>3</v>
      </c>
      <c r="BU99" s="99">
        <v>16444.8</v>
      </c>
      <c r="BV99" s="99">
        <v>2</v>
      </c>
      <c r="BW99" s="99">
        <v>10963.199999999999</v>
      </c>
      <c r="BX99" s="99">
        <v>4</v>
      </c>
      <c r="BY99" s="99">
        <v>21926.399999999998</v>
      </c>
      <c r="BZ99" s="99">
        <v>3</v>
      </c>
      <c r="CA99" s="99">
        <v>16444.8</v>
      </c>
      <c r="CB99" s="99">
        <v>3</v>
      </c>
      <c r="CC99" s="99">
        <v>16444.8</v>
      </c>
      <c r="CD99" s="99">
        <v>3</v>
      </c>
      <c r="CE99" s="99">
        <v>16444.8</v>
      </c>
      <c r="CF99" s="99">
        <v>3</v>
      </c>
      <c r="CG99" s="99">
        <v>16444.8</v>
      </c>
      <c r="CH99" s="99">
        <v>3</v>
      </c>
      <c r="CI99" s="99">
        <v>16444.8</v>
      </c>
      <c r="CJ99" s="99">
        <v>4</v>
      </c>
      <c r="CK99" s="99">
        <v>21926.399999999998</v>
      </c>
      <c r="CL99" s="99">
        <v>1.644972848403228</v>
      </c>
      <c r="CM99" s="99">
        <v>9017.0831658071329</v>
      </c>
      <c r="CN99" s="99">
        <v>3</v>
      </c>
      <c r="CO99" s="99">
        <v>16444.8</v>
      </c>
      <c r="CP99" s="99">
        <v>3</v>
      </c>
      <c r="CQ99" s="99">
        <v>16444.8</v>
      </c>
      <c r="CR99" s="99">
        <v>2</v>
      </c>
      <c r="CS99" s="99">
        <v>10963.199999999999</v>
      </c>
      <c r="CT99" s="99">
        <v>3</v>
      </c>
      <c r="CU99" s="99">
        <v>16444.8</v>
      </c>
    </row>
    <row r="100" spans="2:99">
      <c r="C100" s="98" t="s">
        <v>265</v>
      </c>
      <c r="D100" s="99">
        <v>0</v>
      </c>
      <c r="E100" s="99">
        <v>0</v>
      </c>
      <c r="F100" s="99">
        <v>0</v>
      </c>
      <c r="G100" s="99">
        <v>0</v>
      </c>
      <c r="H100" s="99">
        <v>3.6001970313718767</v>
      </c>
      <c r="I100" s="99">
        <v>5840.9596636977321</v>
      </c>
      <c r="J100" s="99">
        <v>2</v>
      </c>
      <c r="K100" s="99">
        <v>3244.7999999999997</v>
      </c>
      <c r="L100" s="99">
        <v>4</v>
      </c>
      <c r="M100" s="99">
        <v>6489.5999999999995</v>
      </c>
      <c r="N100" s="99">
        <v>4</v>
      </c>
      <c r="O100" s="99">
        <v>6489.5999999999995</v>
      </c>
      <c r="P100" s="99">
        <v>3</v>
      </c>
      <c r="Q100" s="99">
        <v>4867.2</v>
      </c>
      <c r="R100" s="99">
        <v>4</v>
      </c>
      <c r="S100" s="99">
        <v>6489.5999999999995</v>
      </c>
      <c r="T100" s="99">
        <v>4</v>
      </c>
      <c r="U100" s="99">
        <v>6489.5999999999995</v>
      </c>
      <c r="V100" s="99">
        <v>4</v>
      </c>
      <c r="W100" s="99">
        <v>6489.5999999999995</v>
      </c>
      <c r="X100" s="99">
        <v>4</v>
      </c>
      <c r="Y100" s="99">
        <v>6489.5999999999995</v>
      </c>
      <c r="Z100" s="99">
        <v>3</v>
      </c>
      <c r="AA100" s="99">
        <v>4867.2</v>
      </c>
      <c r="AB100" s="99">
        <v>4</v>
      </c>
      <c r="AC100" s="99">
        <v>6489.5999999999995</v>
      </c>
      <c r="AD100" s="99">
        <v>4</v>
      </c>
      <c r="AE100" s="99">
        <v>6489.5999999999995</v>
      </c>
      <c r="AF100" s="99">
        <v>3</v>
      </c>
      <c r="AG100" s="99">
        <v>4867.2</v>
      </c>
      <c r="AH100" s="99">
        <v>4</v>
      </c>
      <c r="AI100" s="99">
        <v>6489.5999999999995</v>
      </c>
      <c r="AJ100" s="99">
        <v>4</v>
      </c>
      <c r="AK100" s="99">
        <v>6489.5999999999995</v>
      </c>
      <c r="AL100" s="99">
        <v>3</v>
      </c>
      <c r="AM100" s="99">
        <v>4867.2</v>
      </c>
      <c r="AN100" s="99">
        <v>3</v>
      </c>
      <c r="AO100" s="99">
        <v>4867.2</v>
      </c>
      <c r="AP100" s="99">
        <v>2</v>
      </c>
      <c r="AQ100" s="99">
        <v>3244.7999999999997</v>
      </c>
      <c r="AR100" s="99">
        <v>3</v>
      </c>
      <c r="AS100" s="99">
        <v>4867.2</v>
      </c>
      <c r="AT100" s="99">
        <v>2</v>
      </c>
      <c r="AU100" s="99">
        <v>3244.7999999999997</v>
      </c>
      <c r="AV100" s="99">
        <v>5</v>
      </c>
      <c r="AW100" s="99">
        <v>8111.9999999999991</v>
      </c>
      <c r="AX100" s="99">
        <v>2</v>
      </c>
      <c r="AY100" s="99">
        <v>3244.7999999999997</v>
      </c>
      <c r="AZ100" s="99">
        <v>3</v>
      </c>
      <c r="BA100" s="99">
        <v>4867.2</v>
      </c>
      <c r="BB100" s="99">
        <v>5</v>
      </c>
      <c r="BC100" s="99">
        <v>8111.9999999999991</v>
      </c>
      <c r="BD100" s="99">
        <v>3</v>
      </c>
      <c r="BE100" s="99">
        <v>4867.2</v>
      </c>
      <c r="BF100" s="99">
        <v>3</v>
      </c>
      <c r="BG100" s="99">
        <v>4867.2</v>
      </c>
      <c r="BH100" s="99">
        <v>3</v>
      </c>
      <c r="BI100" s="99">
        <v>4867.2</v>
      </c>
      <c r="BJ100" s="99">
        <v>4</v>
      </c>
      <c r="BK100" s="99">
        <v>6489.5999999999995</v>
      </c>
      <c r="BL100" s="99">
        <v>5</v>
      </c>
      <c r="BM100" s="99">
        <v>8111.9999999999991</v>
      </c>
      <c r="BN100" s="99">
        <v>2</v>
      </c>
      <c r="BO100" s="99">
        <v>3244.7999999999997</v>
      </c>
      <c r="BP100" s="99">
        <v>3</v>
      </c>
      <c r="BQ100" s="99">
        <v>4867.2</v>
      </c>
      <c r="BR100" s="99">
        <v>3</v>
      </c>
      <c r="BS100" s="99">
        <v>4867.2</v>
      </c>
      <c r="BT100" s="99">
        <v>3</v>
      </c>
      <c r="BU100" s="99">
        <v>4867.2</v>
      </c>
      <c r="BV100" s="99">
        <v>3</v>
      </c>
      <c r="BW100" s="99">
        <v>4867.2</v>
      </c>
      <c r="BX100" s="99">
        <v>4</v>
      </c>
      <c r="BY100" s="99">
        <v>6489.5999999999995</v>
      </c>
      <c r="BZ100" s="99">
        <v>3</v>
      </c>
      <c r="CA100" s="99">
        <v>4867.2</v>
      </c>
      <c r="CB100" s="99">
        <v>5</v>
      </c>
      <c r="CC100" s="99">
        <v>8111.9999999999991</v>
      </c>
      <c r="CD100" s="99">
        <v>4</v>
      </c>
      <c r="CE100" s="99">
        <v>6489.5999999999995</v>
      </c>
      <c r="CF100" s="99">
        <v>4</v>
      </c>
      <c r="CG100" s="99">
        <v>6489.5999999999995</v>
      </c>
      <c r="CH100" s="99">
        <v>3</v>
      </c>
      <c r="CI100" s="99">
        <v>4867.2</v>
      </c>
      <c r="CJ100" s="99">
        <v>4</v>
      </c>
      <c r="CK100" s="99">
        <v>6489.5999999999995</v>
      </c>
      <c r="CL100" s="99">
        <v>2.4674592726048421</v>
      </c>
      <c r="CM100" s="99">
        <v>4003.2059238740953</v>
      </c>
      <c r="CN100" s="99">
        <v>4</v>
      </c>
      <c r="CO100" s="99">
        <v>6489.5999999999995</v>
      </c>
      <c r="CP100" s="99">
        <v>3</v>
      </c>
      <c r="CQ100" s="99">
        <v>4867.2</v>
      </c>
      <c r="CR100" s="99">
        <v>3</v>
      </c>
      <c r="CS100" s="99">
        <v>4867.2</v>
      </c>
      <c r="CT100" s="99">
        <v>4</v>
      </c>
      <c r="CU100" s="99">
        <v>6489.5999999999995</v>
      </c>
    </row>
    <row r="101" spans="2:99">
      <c r="C101" s="98" t="s">
        <v>266</v>
      </c>
      <c r="D101" s="99">
        <v>0</v>
      </c>
      <c r="E101" s="99">
        <v>0</v>
      </c>
      <c r="F101" s="99">
        <v>0</v>
      </c>
      <c r="G101" s="99">
        <v>0</v>
      </c>
      <c r="H101" s="99">
        <v>3.6001970313718767</v>
      </c>
      <c r="I101" s="99">
        <v>4285.6745461450819</v>
      </c>
      <c r="J101" s="99">
        <v>3</v>
      </c>
      <c r="K101" s="99">
        <v>3571.2</v>
      </c>
      <c r="L101" s="99">
        <v>5</v>
      </c>
      <c r="M101" s="99">
        <v>5951.9999999999991</v>
      </c>
      <c r="N101" s="99">
        <v>4</v>
      </c>
      <c r="O101" s="99">
        <v>4761.5999999999995</v>
      </c>
      <c r="P101" s="99">
        <v>4</v>
      </c>
      <c r="Q101" s="99">
        <v>4761.5999999999995</v>
      </c>
      <c r="R101" s="99">
        <v>4</v>
      </c>
      <c r="S101" s="99">
        <v>4761.5999999999995</v>
      </c>
      <c r="T101" s="99">
        <v>4</v>
      </c>
      <c r="U101" s="99">
        <v>4761.5999999999995</v>
      </c>
      <c r="V101" s="99">
        <v>4</v>
      </c>
      <c r="W101" s="99">
        <v>4761.5999999999995</v>
      </c>
      <c r="X101" s="99">
        <v>4</v>
      </c>
      <c r="Y101" s="99">
        <v>4761.5999999999995</v>
      </c>
      <c r="Z101" s="99">
        <v>3</v>
      </c>
      <c r="AA101" s="99">
        <v>3571.2</v>
      </c>
      <c r="AB101" s="99">
        <v>4</v>
      </c>
      <c r="AC101" s="99">
        <v>4761.5999999999995</v>
      </c>
      <c r="AD101" s="99">
        <v>4</v>
      </c>
      <c r="AE101" s="99">
        <v>4761.5999999999995</v>
      </c>
      <c r="AF101" s="99">
        <v>2</v>
      </c>
      <c r="AG101" s="99">
        <v>2380.7999999999997</v>
      </c>
      <c r="AH101" s="99">
        <v>4</v>
      </c>
      <c r="AI101" s="99">
        <v>4761.5999999999995</v>
      </c>
      <c r="AJ101" s="99">
        <v>3</v>
      </c>
      <c r="AK101" s="99">
        <v>3571.2</v>
      </c>
      <c r="AL101" s="99">
        <v>3</v>
      </c>
      <c r="AM101" s="99">
        <v>3571.2</v>
      </c>
      <c r="AN101" s="99">
        <v>3</v>
      </c>
      <c r="AO101" s="99">
        <v>3571.2</v>
      </c>
      <c r="AP101" s="99">
        <v>2</v>
      </c>
      <c r="AQ101" s="99">
        <v>2380.7999999999997</v>
      </c>
      <c r="AR101" s="99">
        <v>3</v>
      </c>
      <c r="AS101" s="99">
        <v>3571.2</v>
      </c>
      <c r="AT101" s="99">
        <v>2</v>
      </c>
      <c r="AU101" s="99">
        <v>2380.7999999999997</v>
      </c>
      <c r="AV101" s="99">
        <v>4</v>
      </c>
      <c r="AW101" s="99">
        <v>4761.5999999999995</v>
      </c>
      <c r="AX101" s="99">
        <v>3</v>
      </c>
      <c r="AY101" s="99">
        <v>3571.2</v>
      </c>
      <c r="AZ101" s="99">
        <v>3</v>
      </c>
      <c r="BA101" s="99">
        <v>3571.2</v>
      </c>
      <c r="BB101" s="99">
        <v>4</v>
      </c>
      <c r="BC101" s="99">
        <v>4761.5999999999995</v>
      </c>
      <c r="BD101" s="99">
        <v>3</v>
      </c>
      <c r="BE101" s="99">
        <v>3571.2</v>
      </c>
      <c r="BF101" s="99">
        <v>3</v>
      </c>
      <c r="BG101" s="99">
        <v>3571.2</v>
      </c>
      <c r="BH101" s="99">
        <v>2</v>
      </c>
      <c r="BI101" s="99">
        <v>2380.7999999999997</v>
      </c>
      <c r="BJ101" s="99">
        <v>3</v>
      </c>
      <c r="BK101" s="99">
        <v>3571.2</v>
      </c>
      <c r="BL101" s="99">
        <v>5</v>
      </c>
      <c r="BM101" s="99">
        <v>5951.9999999999991</v>
      </c>
      <c r="BN101" s="99">
        <v>3</v>
      </c>
      <c r="BO101" s="99">
        <v>3571.2</v>
      </c>
      <c r="BP101" s="99">
        <v>3</v>
      </c>
      <c r="BQ101" s="99">
        <v>3571.2</v>
      </c>
      <c r="BR101" s="99">
        <v>3</v>
      </c>
      <c r="BS101" s="99">
        <v>3571.2</v>
      </c>
      <c r="BT101" s="99">
        <v>4</v>
      </c>
      <c r="BU101" s="99">
        <v>4761.5999999999995</v>
      </c>
      <c r="BV101" s="99">
        <v>3</v>
      </c>
      <c r="BW101" s="99">
        <v>3571.2</v>
      </c>
      <c r="BX101" s="99">
        <v>4</v>
      </c>
      <c r="BY101" s="99">
        <v>4761.5999999999995</v>
      </c>
      <c r="BZ101" s="99">
        <v>3</v>
      </c>
      <c r="CA101" s="99">
        <v>3571.2</v>
      </c>
      <c r="CB101" s="99">
        <v>5</v>
      </c>
      <c r="CC101" s="99">
        <v>5951.9999999999991</v>
      </c>
      <c r="CD101" s="99">
        <v>4</v>
      </c>
      <c r="CE101" s="99">
        <v>4761.5999999999995</v>
      </c>
      <c r="CF101" s="99">
        <v>5</v>
      </c>
      <c r="CG101" s="99">
        <v>5951.9999999999991</v>
      </c>
      <c r="CH101" s="99">
        <v>4</v>
      </c>
      <c r="CI101" s="99">
        <v>4761.5999999999995</v>
      </c>
      <c r="CJ101" s="99">
        <v>5</v>
      </c>
      <c r="CK101" s="99">
        <v>5951.9999999999991</v>
      </c>
      <c r="CL101" s="99">
        <v>2.4674592726048421</v>
      </c>
      <c r="CM101" s="99">
        <v>2937.2635181088035</v>
      </c>
      <c r="CN101" s="99">
        <v>4</v>
      </c>
      <c r="CO101" s="99">
        <v>4761.5999999999995</v>
      </c>
      <c r="CP101" s="99">
        <v>4</v>
      </c>
      <c r="CQ101" s="99">
        <v>4761.5999999999995</v>
      </c>
      <c r="CR101" s="99">
        <v>3</v>
      </c>
      <c r="CS101" s="99">
        <v>3571.2</v>
      </c>
      <c r="CT101" s="99">
        <v>4</v>
      </c>
      <c r="CU101" s="99">
        <v>4761.5999999999995</v>
      </c>
    </row>
    <row r="102" spans="2:99">
      <c r="C102" s="98" t="s">
        <v>267</v>
      </c>
      <c r="D102" s="99">
        <v>0</v>
      </c>
      <c r="E102" s="99">
        <v>0</v>
      </c>
      <c r="F102" s="99">
        <v>0</v>
      </c>
      <c r="G102" s="99">
        <v>0</v>
      </c>
      <c r="H102" s="99">
        <v>3.6001970313718767</v>
      </c>
      <c r="I102" s="99">
        <v>6981.5020832363425</v>
      </c>
      <c r="J102" s="99">
        <v>3</v>
      </c>
      <c r="K102" s="99">
        <v>5817.5999999999995</v>
      </c>
      <c r="L102" s="99">
        <v>4</v>
      </c>
      <c r="M102" s="99">
        <v>7756.7999999999993</v>
      </c>
      <c r="N102" s="99">
        <v>4</v>
      </c>
      <c r="O102" s="99">
        <v>7756.7999999999993</v>
      </c>
      <c r="P102" s="99">
        <v>3</v>
      </c>
      <c r="Q102" s="99">
        <v>5817.5999999999995</v>
      </c>
      <c r="R102" s="99">
        <v>4</v>
      </c>
      <c r="S102" s="99">
        <v>7756.7999999999993</v>
      </c>
      <c r="T102" s="99">
        <v>4</v>
      </c>
      <c r="U102" s="99">
        <v>7756.7999999999993</v>
      </c>
      <c r="V102" s="99">
        <v>4</v>
      </c>
      <c r="W102" s="99">
        <v>7756.7999999999993</v>
      </c>
      <c r="X102" s="99">
        <v>4</v>
      </c>
      <c r="Y102" s="99">
        <v>7756.7999999999993</v>
      </c>
      <c r="Z102" s="99">
        <v>3</v>
      </c>
      <c r="AA102" s="99">
        <v>5817.5999999999995</v>
      </c>
      <c r="AB102" s="99">
        <v>4</v>
      </c>
      <c r="AC102" s="99">
        <v>7756.7999999999993</v>
      </c>
      <c r="AD102" s="99">
        <v>4</v>
      </c>
      <c r="AE102" s="99">
        <v>7756.7999999999993</v>
      </c>
      <c r="AF102" s="99">
        <v>2</v>
      </c>
      <c r="AG102" s="99">
        <v>3878.3999999999996</v>
      </c>
      <c r="AH102" s="99">
        <v>4</v>
      </c>
      <c r="AI102" s="99">
        <v>7756.7999999999993</v>
      </c>
      <c r="AJ102" s="99">
        <v>4</v>
      </c>
      <c r="AK102" s="99">
        <v>7756.7999999999993</v>
      </c>
      <c r="AL102" s="99">
        <v>3</v>
      </c>
      <c r="AM102" s="99">
        <v>5817.5999999999995</v>
      </c>
      <c r="AN102" s="99">
        <v>3</v>
      </c>
      <c r="AO102" s="99">
        <v>5817.5999999999995</v>
      </c>
      <c r="AP102" s="99">
        <v>2</v>
      </c>
      <c r="AQ102" s="99">
        <v>3878.3999999999996</v>
      </c>
      <c r="AR102" s="99">
        <v>3</v>
      </c>
      <c r="AS102" s="99">
        <v>5817.5999999999995</v>
      </c>
      <c r="AT102" s="99">
        <v>3</v>
      </c>
      <c r="AU102" s="99">
        <v>5817.5999999999995</v>
      </c>
      <c r="AV102" s="99">
        <v>5</v>
      </c>
      <c r="AW102" s="99">
        <v>9696</v>
      </c>
      <c r="AX102" s="99">
        <v>2</v>
      </c>
      <c r="AY102" s="99">
        <v>3878.3999999999996</v>
      </c>
      <c r="AZ102" s="99">
        <v>3</v>
      </c>
      <c r="BA102" s="99">
        <v>5817.5999999999995</v>
      </c>
      <c r="BB102" s="99">
        <v>4</v>
      </c>
      <c r="BC102" s="99">
        <v>7756.7999999999993</v>
      </c>
      <c r="BD102" s="99">
        <v>3</v>
      </c>
      <c r="BE102" s="99">
        <v>5817.5999999999995</v>
      </c>
      <c r="BF102" s="99">
        <v>3</v>
      </c>
      <c r="BG102" s="99">
        <v>5817.5999999999995</v>
      </c>
      <c r="BH102" s="99">
        <v>2</v>
      </c>
      <c r="BI102" s="99">
        <v>3878.3999999999996</v>
      </c>
      <c r="BJ102" s="99">
        <v>3</v>
      </c>
      <c r="BK102" s="99">
        <v>5817.5999999999995</v>
      </c>
      <c r="BL102" s="99">
        <v>4</v>
      </c>
      <c r="BM102" s="99">
        <v>7756.7999999999993</v>
      </c>
      <c r="BN102" s="99">
        <v>2</v>
      </c>
      <c r="BO102" s="99">
        <v>3878.3999999999996</v>
      </c>
      <c r="BP102" s="99">
        <v>3</v>
      </c>
      <c r="BQ102" s="99">
        <v>5817.5999999999995</v>
      </c>
      <c r="BR102" s="99">
        <v>3</v>
      </c>
      <c r="BS102" s="99">
        <v>5817.5999999999995</v>
      </c>
      <c r="BT102" s="99">
        <v>4</v>
      </c>
      <c r="BU102" s="99">
        <v>7756.7999999999993</v>
      </c>
      <c r="BV102" s="99">
        <v>3</v>
      </c>
      <c r="BW102" s="99">
        <v>5817.5999999999995</v>
      </c>
      <c r="BX102" s="99">
        <v>4</v>
      </c>
      <c r="BY102" s="99">
        <v>7756.7999999999993</v>
      </c>
      <c r="BZ102" s="99">
        <v>3</v>
      </c>
      <c r="CA102" s="99">
        <v>5817.5999999999995</v>
      </c>
      <c r="CB102" s="99">
        <v>4</v>
      </c>
      <c r="CC102" s="99">
        <v>7756.7999999999993</v>
      </c>
      <c r="CD102" s="99">
        <v>4</v>
      </c>
      <c r="CE102" s="99">
        <v>7756.7999999999993</v>
      </c>
      <c r="CF102" s="99">
        <v>4</v>
      </c>
      <c r="CG102" s="99">
        <v>7756.7999999999993</v>
      </c>
      <c r="CH102" s="99">
        <v>3</v>
      </c>
      <c r="CI102" s="99">
        <v>5817.5999999999995</v>
      </c>
      <c r="CJ102" s="99">
        <v>4</v>
      </c>
      <c r="CK102" s="99">
        <v>7756.7999999999993</v>
      </c>
      <c r="CL102" s="99">
        <v>2.4674592726048421</v>
      </c>
      <c r="CM102" s="99">
        <v>4784.8970214353094</v>
      </c>
      <c r="CN102" s="99">
        <v>4</v>
      </c>
      <c r="CO102" s="99">
        <v>7756.7999999999993</v>
      </c>
      <c r="CP102" s="99">
        <v>3</v>
      </c>
      <c r="CQ102" s="99">
        <v>5817.5999999999995</v>
      </c>
      <c r="CR102" s="99">
        <v>3</v>
      </c>
      <c r="CS102" s="99">
        <v>5817.5999999999995</v>
      </c>
      <c r="CT102" s="99">
        <v>4</v>
      </c>
      <c r="CU102" s="99">
        <v>7756.7999999999993</v>
      </c>
    </row>
    <row r="103" spans="2:99">
      <c r="C103" s="98" t="s">
        <v>268</v>
      </c>
      <c r="D103" s="99">
        <v>0</v>
      </c>
      <c r="E103" s="99">
        <v>0</v>
      </c>
      <c r="F103" s="99">
        <v>0</v>
      </c>
      <c r="G103" s="99">
        <v>0</v>
      </c>
      <c r="H103" s="99">
        <v>3.6001970313718767</v>
      </c>
      <c r="I103" s="99">
        <v>7301.1995796221663</v>
      </c>
      <c r="J103" s="99">
        <v>3</v>
      </c>
      <c r="K103" s="99">
        <v>6084</v>
      </c>
      <c r="L103" s="99">
        <v>4</v>
      </c>
      <c r="M103" s="99">
        <v>8112</v>
      </c>
      <c r="N103" s="99">
        <v>4</v>
      </c>
      <c r="O103" s="99">
        <v>8112</v>
      </c>
      <c r="P103" s="99">
        <v>3</v>
      </c>
      <c r="Q103" s="99">
        <v>6084</v>
      </c>
      <c r="R103" s="99">
        <v>4</v>
      </c>
      <c r="S103" s="99">
        <v>8112</v>
      </c>
      <c r="T103" s="99">
        <v>4</v>
      </c>
      <c r="U103" s="99">
        <v>8112</v>
      </c>
      <c r="V103" s="99">
        <v>4</v>
      </c>
      <c r="W103" s="99">
        <v>8112</v>
      </c>
      <c r="X103" s="99">
        <v>4</v>
      </c>
      <c r="Y103" s="99">
        <v>8112</v>
      </c>
      <c r="Z103" s="99">
        <v>3</v>
      </c>
      <c r="AA103" s="99">
        <v>6084</v>
      </c>
      <c r="AB103" s="99">
        <v>4</v>
      </c>
      <c r="AC103" s="99">
        <v>8112</v>
      </c>
      <c r="AD103" s="99">
        <v>5</v>
      </c>
      <c r="AE103" s="99">
        <v>10140</v>
      </c>
      <c r="AF103" s="99">
        <v>2</v>
      </c>
      <c r="AG103" s="99">
        <v>4056</v>
      </c>
      <c r="AH103" s="99">
        <v>4</v>
      </c>
      <c r="AI103" s="99">
        <v>8112</v>
      </c>
      <c r="AJ103" s="99">
        <v>3</v>
      </c>
      <c r="AK103" s="99">
        <v>6084</v>
      </c>
      <c r="AL103" s="99">
        <v>3</v>
      </c>
      <c r="AM103" s="99">
        <v>6084</v>
      </c>
      <c r="AN103" s="99">
        <v>3</v>
      </c>
      <c r="AO103" s="99">
        <v>6084</v>
      </c>
      <c r="AP103" s="99">
        <v>3</v>
      </c>
      <c r="AQ103" s="99">
        <v>6084</v>
      </c>
      <c r="AR103" s="99">
        <v>3</v>
      </c>
      <c r="AS103" s="99">
        <v>6084</v>
      </c>
      <c r="AT103" s="99">
        <v>2</v>
      </c>
      <c r="AU103" s="99">
        <v>4056</v>
      </c>
      <c r="AV103" s="99">
        <v>4</v>
      </c>
      <c r="AW103" s="99">
        <v>8112</v>
      </c>
      <c r="AX103" s="99">
        <v>3</v>
      </c>
      <c r="AY103" s="99">
        <v>6084</v>
      </c>
      <c r="AZ103" s="99">
        <v>3</v>
      </c>
      <c r="BA103" s="99">
        <v>6084</v>
      </c>
      <c r="BB103" s="99">
        <v>5</v>
      </c>
      <c r="BC103" s="99">
        <v>10140</v>
      </c>
      <c r="BD103" s="99">
        <v>3</v>
      </c>
      <c r="BE103" s="99">
        <v>6084</v>
      </c>
      <c r="BF103" s="99">
        <v>3</v>
      </c>
      <c r="BG103" s="99">
        <v>6084</v>
      </c>
      <c r="BH103" s="99">
        <v>3</v>
      </c>
      <c r="BI103" s="99">
        <v>6084</v>
      </c>
      <c r="BJ103" s="99">
        <v>3</v>
      </c>
      <c r="BK103" s="99">
        <v>6084</v>
      </c>
      <c r="BL103" s="99">
        <v>4</v>
      </c>
      <c r="BM103" s="99">
        <v>8112</v>
      </c>
      <c r="BN103" s="99">
        <v>3</v>
      </c>
      <c r="BO103" s="99">
        <v>6084</v>
      </c>
      <c r="BP103" s="99">
        <v>3</v>
      </c>
      <c r="BQ103" s="99">
        <v>6084</v>
      </c>
      <c r="BR103" s="99">
        <v>3</v>
      </c>
      <c r="BS103" s="99">
        <v>6084</v>
      </c>
      <c r="BT103" s="99">
        <v>3</v>
      </c>
      <c r="BU103" s="99">
        <v>6084</v>
      </c>
      <c r="BV103" s="99">
        <v>3</v>
      </c>
      <c r="BW103" s="99">
        <v>6084</v>
      </c>
      <c r="BX103" s="99">
        <v>4</v>
      </c>
      <c r="BY103" s="99">
        <v>8112</v>
      </c>
      <c r="BZ103" s="99">
        <v>3</v>
      </c>
      <c r="CA103" s="99">
        <v>6084</v>
      </c>
      <c r="CB103" s="99">
        <v>4</v>
      </c>
      <c r="CC103" s="99">
        <v>8112</v>
      </c>
      <c r="CD103" s="99">
        <v>4</v>
      </c>
      <c r="CE103" s="99">
        <v>8112</v>
      </c>
      <c r="CF103" s="99">
        <v>4</v>
      </c>
      <c r="CG103" s="99">
        <v>8112</v>
      </c>
      <c r="CH103" s="99">
        <v>4</v>
      </c>
      <c r="CI103" s="99">
        <v>8112</v>
      </c>
      <c r="CJ103" s="99">
        <v>5</v>
      </c>
      <c r="CK103" s="99">
        <v>10140</v>
      </c>
      <c r="CL103" s="99">
        <v>2.4674592726048421</v>
      </c>
      <c r="CM103" s="99">
        <v>5004.0074048426195</v>
      </c>
      <c r="CN103" s="99">
        <v>4</v>
      </c>
      <c r="CO103" s="99">
        <v>8112</v>
      </c>
      <c r="CP103" s="99">
        <v>3</v>
      </c>
      <c r="CQ103" s="99">
        <v>6084</v>
      </c>
      <c r="CR103" s="99">
        <v>3</v>
      </c>
      <c r="CS103" s="99">
        <v>6084</v>
      </c>
      <c r="CT103" s="99">
        <v>4</v>
      </c>
      <c r="CU103" s="99">
        <v>8112</v>
      </c>
    </row>
    <row r="104" spans="2:99">
      <c r="C104" s="98" t="s">
        <v>269</v>
      </c>
      <c r="D104" s="99">
        <v>0</v>
      </c>
      <c r="E104" s="99">
        <v>0</v>
      </c>
      <c r="F104" s="99">
        <v>0</v>
      </c>
      <c r="G104" s="99">
        <v>0</v>
      </c>
      <c r="H104" s="99">
        <v>3.6001970313718767</v>
      </c>
      <c r="I104" s="99">
        <v>7461.0483278150778</v>
      </c>
      <c r="J104" s="99">
        <v>2</v>
      </c>
      <c r="K104" s="99">
        <v>4144.8</v>
      </c>
      <c r="L104" s="99">
        <v>4</v>
      </c>
      <c r="M104" s="99">
        <v>8289.6</v>
      </c>
      <c r="N104" s="99">
        <v>4</v>
      </c>
      <c r="O104" s="99">
        <v>8289.6</v>
      </c>
      <c r="P104" s="99">
        <v>3</v>
      </c>
      <c r="Q104" s="99">
        <v>6217.2000000000007</v>
      </c>
      <c r="R104" s="99">
        <v>4</v>
      </c>
      <c r="S104" s="99">
        <v>8289.6</v>
      </c>
      <c r="T104" s="99">
        <v>4</v>
      </c>
      <c r="U104" s="99">
        <v>8289.6</v>
      </c>
      <c r="V104" s="99">
        <v>4</v>
      </c>
      <c r="W104" s="99">
        <v>8289.6</v>
      </c>
      <c r="X104" s="99">
        <v>4</v>
      </c>
      <c r="Y104" s="99">
        <v>8289.6</v>
      </c>
      <c r="Z104" s="99">
        <v>3</v>
      </c>
      <c r="AA104" s="99">
        <v>6217.2000000000007</v>
      </c>
      <c r="AB104" s="99">
        <v>4</v>
      </c>
      <c r="AC104" s="99">
        <v>8289.6</v>
      </c>
      <c r="AD104" s="99">
        <v>4</v>
      </c>
      <c r="AE104" s="99">
        <v>8289.6</v>
      </c>
      <c r="AF104" s="99">
        <v>2</v>
      </c>
      <c r="AG104" s="99">
        <v>4144.8</v>
      </c>
      <c r="AH104" s="99">
        <v>4</v>
      </c>
      <c r="AI104" s="99">
        <v>8289.6</v>
      </c>
      <c r="AJ104" s="99">
        <v>4</v>
      </c>
      <c r="AK104" s="99">
        <v>8289.6</v>
      </c>
      <c r="AL104" s="99">
        <v>3</v>
      </c>
      <c r="AM104" s="99">
        <v>6217.2000000000007</v>
      </c>
      <c r="AN104" s="99">
        <v>3</v>
      </c>
      <c r="AO104" s="99">
        <v>6217.2000000000007</v>
      </c>
      <c r="AP104" s="99">
        <v>2</v>
      </c>
      <c r="AQ104" s="99">
        <v>4144.8</v>
      </c>
      <c r="AR104" s="99">
        <v>3</v>
      </c>
      <c r="AS104" s="99">
        <v>6217.2000000000007</v>
      </c>
      <c r="AT104" s="99">
        <v>2</v>
      </c>
      <c r="AU104" s="99">
        <v>4144.8</v>
      </c>
      <c r="AV104" s="99">
        <v>5</v>
      </c>
      <c r="AW104" s="99">
        <v>10362</v>
      </c>
      <c r="AX104" s="99">
        <v>2</v>
      </c>
      <c r="AY104" s="99">
        <v>4144.8</v>
      </c>
      <c r="AZ104" s="99">
        <v>3</v>
      </c>
      <c r="BA104" s="99">
        <v>6217.2000000000007</v>
      </c>
      <c r="BB104" s="99">
        <v>5</v>
      </c>
      <c r="BC104" s="99">
        <v>10362</v>
      </c>
      <c r="BD104" s="99">
        <v>3</v>
      </c>
      <c r="BE104" s="99">
        <v>6217.2000000000007</v>
      </c>
      <c r="BF104" s="99">
        <v>3</v>
      </c>
      <c r="BG104" s="99">
        <v>6217.2000000000007</v>
      </c>
      <c r="BH104" s="99">
        <v>3</v>
      </c>
      <c r="BI104" s="99">
        <v>6217.2000000000007</v>
      </c>
      <c r="BJ104" s="99">
        <v>3</v>
      </c>
      <c r="BK104" s="99">
        <v>6217.2000000000007</v>
      </c>
      <c r="BL104" s="99">
        <v>4</v>
      </c>
      <c r="BM104" s="99">
        <v>8289.6</v>
      </c>
      <c r="BN104" s="99">
        <v>3</v>
      </c>
      <c r="BO104" s="99">
        <v>6217.2000000000007</v>
      </c>
      <c r="BP104" s="99">
        <v>3</v>
      </c>
      <c r="BQ104" s="99">
        <v>6217.2000000000007</v>
      </c>
      <c r="BR104" s="99">
        <v>3</v>
      </c>
      <c r="BS104" s="99">
        <v>6217.2000000000007</v>
      </c>
      <c r="BT104" s="99">
        <v>4</v>
      </c>
      <c r="BU104" s="99">
        <v>8289.6</v>
      </c>
      <c r="BV104" s="99">
        <v>3</v>
      </c>
      <c r="BW104" s="99">
        <v>6217.2000000000007</v>
      </c>
      <c r="BX104" s="99">
        <v>4</v>
      </c>
      <c r="BY104" s="99">
        <v>8289.6</v>
      </c>
      <c r="BZ104" s="99">
        <v>3</v>
      </c>
      <c r="CA104" s="99">
        <v>6217.2000000000007</v>
      </c>
      <c r="CB104" s="99">
        <v>4</v>
      </c>
      <c r="CC104" s="99">
        <v>8289.6</v>
      </c>
      <c r="CD104" s="99">
        <v>4</v>
      </c>
      <c r="CE104" s="99">
        <v>8289.6</v>
      </c>
      <c r="CF104" s="99">
        <v>4</v>
      </c>
      <c r="CG104" s="99">
        <v>8289.6</v>
      </c>
      <c r="CH104" s="99">
        <v>4</v>
      </c>
      <c r="CI104" s="99">
        <v>8289.6</v>
      </c>
      <c r="CJ104" s="99">
        <v>4</v>
      </c>
      <c r="CK104" s="99">
        <v>8289.6</v>
      </c>
      <c r="CL104" s="99">
        <v>2.4674592726048421</v>
      </c>
      <c r="CM104" s="99">
        <v>5113.562596546275</v>
      </c>
      <c r="CN104" s="99">
        <v>3</v>
      </c>
      <c r="CO104" s="99">
        <v>6217.2000000000007</v>
      </c>
      <c r="CP104" s="99">
        <v>3</v>
      </c>
      <c r="CQ104" s="99">
        <v>6217.2000000000007</v>
      </c>
      <c r="CR104" s="99">
        <v>3</v>
      </c>
      <c r="CS104" s="99">
        <v>6217.2000000000007</v>
      </c>
      <c r="CT104" s="99">
        <v>4</v>
      </c>
      <c r="CU104" s="99">
        <v>8289.6</v>
      </c>
    </row>
    <row r="105" spans="2:99">
      <c r="C105" s="98" t="s">
        <v>270</v>
      </c>
      <c r="D105" s="99">
        <v>0</v>
      </c>
      <c r="E105" s="99">
        <v>0</v>
      </c>
      <c r="F105" s="99">
        <v>0</v>
      </c>
      <c r="G105" s="99">
        <v>0</v>
      </c>
      <c r="H105" s="99">
        <v>3.6001970313718767</v>
      </c>
      <c r="I105" s="99">
        <v>7193.1936686810095</v>
      </c>
      <c r="J105" s="99">
        <v>2</v>
      </c>
      <c r="K105" s="99">
        <v>3996</v>
      </c>
      <c r="L105" s="99">
        <v>4</v>
      </c>
      <c r="M105" s="99">
        <v>7992</v>
      </c>
      <c r="N105" s="99">
        <v>4</v>
      </c>
      <c r="O105" s="99">
        <v>7992</v>
      </c>
      <c r="P105" s="99">
        <v>4</v>
      </c>
      <c r="Q105" s="99">
        <v>7992</v>
      </c>
      <c r="R105" s="99">
        <v>4</v>
      </c>
      <c r="S105" s="99">
        <v>7992</v>
      </c>
      <c r="T105" s="99">
        <v>3</v>
      </c>
      <c r="U105" s="99">
        <v>5994</v>
      </c>
      <c r="V105" s="99">
        <v>4</v>
      </c>
      <c r="W105" s="99">
        <v>7992</v>
      </c>
      <c r="X105" s="99">
        <v>4</v>
      </c>
      <c r="Y105" s="99">
        <v>7992</v>
      </c>
      <c r="Z105" s="99">
        <v>3</v>
      </c>
      <c r="AA105" s="99">
        <v>5994</v>
      </c>
      <c r="AB105" s="99">
        <v>4</v>
      </c>
      <c r="AC105" s="99">
        <v>7992</v>
      </c>
      <c r="AD105" s="99">
        <v>4</v>
      </c>
      <c r="AE105" s="99">
        <v>7992</v>
      </c>
      <c r="AF105" s="99">
        <v>2</v>
      </c>
      <c r="AG105" s="99">
        <v>3996</v>
      </c>
      <c r="AH105" s="99">
        <v>4</v>
      </c>
      <c r="AI105" s="99">
        <v>7992</v>
      </c>
      <c r="AJ105" s="99">
        <v>4</v>
      </c>
      <c r="AK105" s="99">
        <v>7992</v>
      </c>
      <c r="AL105" s="99">
        <v>3</v>
      </c>
      <c r="AM105" s="99">
        <v>5994</v>
      </c>
      <c r="AN105" s="99">
        <v>3</v>
      </c>
      <c r="AO105" s="99">
        <v>5994</v>
      </c>
      <c r="AP105" s="99">
        <v>2</v>
      </c>
      <c r="AQ105" s="99">
        <v>3996</v>
      </c>
      <c r="AR105" s="99">
        <v>3</v>
      </c>
      <c r="AS105" s="99">
        <v>5994</v>
      </c>
      <c r="AT105" s="99">
        <v>3</v>
      </c>
      <c r="AU105" s="99">
        <v>5994</v>
      </c>
      <c r="AV105" s="99">
        <v>4</v>
      </c>
      <c r="AW105" s="99">
        <v>7992</v>
      </c>
      <c r="AX105" s="99">
        <v>2</v>
      </c>
      <c r="AY105" s="99">
        <v>3996</v>
      </c>
      <c r="AZ105" s="99">
        <v>3</v>
      </c>
      <c r="BA105" s="99">
        <v>5994</v>
      </c>
      <c r="BB105" s="99">
        <v>4</v>
      </c>
      <c r="BC105" s="99">
        <v>7992</v>
      </c>
      <c r="BD105" s="99">
        <v>3</v>
      </c>
      <c r="BE105" s="99">
        <v>5994</v>
      </c>
      <c r="BF105" s="99">
        <v>3</v>
      </c>
      <c r="BG105" s="99">
        <v>5994</v>
      </c>
      <c r="BH105" s="99">
        <v>2</v>
      </c>
      <c r="BI105" s="99">
        <v>3996</v>
      </c>
      <c r="BJ105" s="99">
        <v>3</v>
      </c>
      <c r="BK105" s="99">
        <v>5994</v>
      </c>
      <c r="BL105" s="99">
        <v>4</v>
      </c>
      <c r="BM105" s="99">
        <v>7992</v>
      </c>
      <c r="BN105" s="99">
        <v>3</v>
      </c>
      <c r="BO105" s="99">
        <v>5994</v>
      </c>
      <c r="BP105" s="99">
        <v>3</v>
      </c>
      <c r="BQ105" s="99">
        <v>5994</v>
      </c>
      <c r="BR105" s="99">
        <v>3</v>
      </c>
      <c r="BS105" s="99">
        <v>5994</v>
      </c>
      <c r="BT105" s="99">
        <v>3</v>
      </c>
      <c r="BU105" s="99">
        <v>5994</v>
      </c>
      <c r="BV105" s="99">
        <v>3</v>
      </c>
      <c r="BW105" s="99">
        <v>5994</v>
      </c>
      <c r="BX105" s="99">
        <v>4</v>
      </c>
      <c r="BY105" s="99">
        <v>7992</v>
      </c>
      <c r="BZ105" s="99">
        <v>3</v>
      </c>
      <c r="CA105" s="99">
        <v>5994</v>
      </c>
      <c r="CB105" s="99">
        <v>5</v>
      </c>
      <c r="CC105" s="99">
        <v>9990</v>
      </c>
      <c r="CD105" s="99">
        <v>4</v>
      </c>
      <c r="CE105" s="99">
        <v>7992</v>
      </c>
      <c r="CF105" s="99">
        <v>4</v>
      </c>
      <c r="CG105" s="99">
        <v>7992</v>
      </c>
      <c r="CH105" s="99">
        <v>3</v>
      </c>
      <c r="CI105" s="99">
        <v>5994</v>
      </c>
      <c r="CJ105" s="99">
        <v>5</v>
      </c>
      <c r="CK105" s="99">
        <v>9990</v>
      </c>
      <c r="CL105" s="99">
        <v>2.4674592726048421</v>
      </c>
      <c r="CM105" s="99">
        <v>4929.9836266644743</v>
      </c>
      <c r="CN105" s="99">
        <v>4</v>
      </c>
      <c r="CO105" s="99">
        <v>7992</v>
      </c>
      <c r="CP105" s="99">
        <v>3</v>
      </c>
      <c r="CQ105" s="99">
        <v>5994</v>
      </c>
      <c r="CR105" s="99">
        <v>3</v>
      </c>
      <c r="CS105" s="99">
        <v>5994</v>
      </c>
      <c r="CT105" s="99">
        <v>4</v>
      </c>
      <c r="CU105" s="99">
        <v>7992</v>
      </c>
    </row>
    <row r="107" spans="2:99">
      <c r="B107" s="103" t="s">
        <v>275</v>
      </c>
    </row>
    <row r="108" spans="2:99">
      <c r="C108" s="98" t="s">
        <v>276</v>
      </c>
      <c r="D108" s="98" t="s">
        <v>92</v>
      </c>
      <c r="E108" s="98" t="s">
        <v>93</v>
      </c>
      <c r="F108" s="98" t="s">
        <v>94</v>
      </c>
      <c r="G108" s="98" t="s">
        <v>95</v>
      </c>
      <c r="H108" s="98" t="s">
        <v>96</v>
      </c>
      <c r="I108" s="98" t="s">
        <v>97</v>
      </c>
      <c r="J108" s="98" t="s">
        <v>98</v>
      </c>
      <c r="K108" s="98" t="s">
        <v>99</v>
      </c>
      <c r="L108" s="98" t="s">
        <v>100</v>
      </c>
      <c r="M108" s="98" t="s">
        <v>101</v>
      </c>
      <c r="N108" s="98" t="s">
        <v>102</v>
      </c>
      <c r="O108" s="98" t="s">
        <v>103</v>
      </c>
    </row>
    <row r="109" spans="2:99">
      <c r="C109" s="98" t="s">
        <v>126</v>
      </c>
      <c r="D109" s="99">
        <f>SUM(D$6:D$19)+SUM(F$6:F$19)+SUM(H$6:H$19)+SUM(J$6:J$19)</f>
        <v>62.271233091122497</v>
      </c>
      <c r="E109" s="99">
        <f>SUM(L$6:L$19)+SUM(N$6:N$19)+SUM(P$6:P$19)+SUM(R$6:R$19)</f>
        <v>153.66732790831466</v>
      </c>
      <c r="F109" s="99">
        <f>SUM(T$6:T$19)+SUM(V$6:V$19)+SUM(X$6:X$19)+SUM(Z$6:Z$19)</f>
        <v>169</v>
      </c>
      <c r="G109" s="99">
        <f>SUM(AB$6:AB$19)+SUM(AD$6:AD$19)+SUM(AF$6:AF$19)+SUM(AH$6:AH$19)</f>
        <v>129.76968472670274</v>
      </c>
      <c r="H109" s="99">
        <f>SUM(AJ$6:AJ$19)+SUM(AL$6:AL$19)+SUM(AN$6:AN$19)+SUM(AP$6:AP$19)</f>
        <v>173</v>
      </c>
      <c r="I109" s="99">
        <f>SUM(AR$6:AR$19)+SUM(AT$6:AT$19)+SUM(AV$6:AV$19)+SUM(AX$6:AX$19)</f>
        <v>161.01881354824746</v>
      </c>
      <c r="J109" s="99">
        <f>SUM(AZ$6:AZ$19)+SUM(BB$6:BB$19)+SUM(BD$6:BD$19)+SUM(BF$6:BF$19)</f>
        <v>201</v>
      </c>
      <c r="K109" s="99">
        <f>SUM(BH$6:BH$19)+SUM(BJ$6:BJ$19)+SUM(BL$6:BL$19)+SUM(BN$6:BN$19)</f>
        <v>179.69573124004557</v>
      </c>
      <c r="L109" s="99">
        <f>SUM(BP$6:BP$19)+SUM(BR$6:BR$19)+SUM(BT$6:BT$19)+SUM(BV$6:BV$19)</f>
        <v>162.0651384335502</v>
      </c>
      <c r="M109" s="99">
        <f>SUM(BX$6:BX$19)+SUM(BZ$6:BZ$19)+SUM(CB$6:CB$19)+SUM(CD$6:CD$19)</f>
        <v>125.97636893732536</v>
      </c>
      <c r="N109" s="99">
        <f>SUM(CF$6:CF$19)+SUM(CH$6:CH$19)+SUM(CJ$6:CJ$19)+SUM(CL$6:CL$19)</f>
        <v>66.343330623104492</v>
      </c>
      <c r="O109" s="99">
        <f>SUM(CN$6:CN$19)+SUM(CP$6:CP$19)+SUM(CR$6:CR$19)+SUM(CT$6:CT$19)</f>
        <v>150.82725024253671</v>
      </c>
    </row>
    <row r="110" spans="2:99">
      <c r="C110" s="98" t="s">
        <v>127</v>
      </c>
      <c r="D110" s="99">
        <f>SUM(D$20:D$36)+SUM(F$20:F$36)+SUM(H$20:H$36)+SUM(J$20:J$36)</f>
        <v>56.31237312009231</v>
      </c>
      <c r="E110" s="99">
        <f>SUM(L$20:L$36)+SUM(N$20:N$36)+SUM(P$20:P$36)+SUM(R$20:R$36)</f>
        <v>162.84640528435523</v>
      </c>
      <c r="F110" s="99">
        <f>SUM(T$20:T$36)+SUM(V$20:V$36)+SUM(X$20:X$36)+SUM(Z$20:Z$36)</f>
        <v>195</v>
      </c>
      <c r="G110" s="99">
        <f>SUM(AB$20:AB$36)+SUM(AD$20:AD$36)+SUM(AF$20:AF$36)+SUM(AH$20:AH$36)</f>
        <v>135.22851588037653</v>
      </c>
      <c r="H110" s="99">
        <f>SUM(AJ$20:AJ$36)+SUM(AL$20:AL$36)+SUM(AN$20:AN$36)+SUM(AP$20:AP$36)</f>
        <v>209</v>
      </c>
      <c r="I110" s="99">
        <f>SUM(AR$20:AR$36)+SUM(AT$20:AT$36)+SUM(AV$20:AV$36)+SUM(AX$20:AX$36)</f>
        <v>136.63453491720398</v>
      </c>
      <c r="J110" s="99">
        <f>SUM(AZ$20:AZ$36)+SUM(BB$20:BB$36)+SUM(BD$20:BD$36)+SUM(BF$20:BF$36)</f>
        <v>193</v>
      </c>
      <c r="K110" s="99">
        <f>SUM(BH$20:BH$36)+SUM(BJ$20:BJ$36)+SUM(BL$20:BL$36)+SUM(BN$20:BN$36)</f>
        <v>139.50974455118322</v>
      </c>
      <c r="L110" s="99">
        <f>SUM(BP$20:BP$36)+SUM(BR$20:BR$36)+SUM(BT$20:BT$36)+SUM(BV$20:BV$36)</f>
        <v>169.28662164114391</v>
      </c>
      <c r="M110" s="99">
        <f>SUM(BX$20:BX$36)+SUM(BZ$20:BZ$36)+SUM(CB$20:CB$36)+SUM(CD$20:CD$36)</f>
        <v>129.76522075146551</v>
      </c>
      <c r="N110" s="99">
        <f>SUM(CF$20:CF$36)+SUM(CH$20:CH$36)+SUM(CJ$20:CJ$36)+SUM(CL$20:CL$36)</f>
        <v>71.155318375909317</v>
      </c>
      <c r="O110" s="99">
        <f>SUM(CN$20:CN$36)+SUM(CP$20:CP$36)+SUM(CR$20:CR$36)+SUM(CT$20:CT$36)</f>
        <v>161.72816844173315</v>
      </c>
    </row>
    <row r="111" spans="2:99">
      <c r="C111" s="98" t="s">
        <v>128</v>
      </c>
      <c r="D111" s="99">
        <f>SUM(D$37:D$48)+SUM(F$37:F$48)+SUM(H$37:H$48)+SUM(J$37:J$48)</f>
        <v>65.687488802160999</v>
      </c>
      <c r="E111" s="99">
        <f>SUM(L$37:L$48)+SUM(N$37:N$48)+SUM(P$37:P$48)+SUM(R$37:R$48)</f>
        <v>184.21349844128471</v>
      </c>
      <c r="F111" s="99">
        <f>SUM(T$37:T$48)+SUM(V$37:V$48)+SUM(X$37:X$48)+SUM(Z$37:Z$48)</f>
        <v>208</v>
      </c>
      <c r="G111" s="99">
        <f>SUM(AB$37:AB$48)+SUM(AD$37:AD$48)+SUM(AF$37:AF$48)+SUM(AH$37:AH$48)</f>
        <v>143.56801494623673</v>
      </c>
      <c r="H111" s="99">
        <f>SUM(AJ$37:AJ$48)+SUM(AL$37:AL$48)+SUM(AN$37:AN$48)+SUM(AP$37:AP$48)</f>
        <v>167</v>
      </c>
      <c r="I111" s="99">
        <f>SUM(AR$37:AR$48)+SUM(AT$37:AT$48)+SUM(AV$37:AV$48)+SUM(AX$37:AX$48)</f>
        <v>154.36211243100331</v>
      </c>
      <c r="J111" s="99">
        <f>SUM(AZ$37:AZ$48)+SUM(BB$37:BB$48)+SUM(BD$37:BD$48)+SUM(BF$37:BF$48)</f>
        <v>202</v>
      </c>
      <c r="K111" s="99">
        <f>SUM(BH$37:BH$48)+SUM(BJ$37:BJ$48)+SUM(BL$37:BL$48)+SUM(BN$37:BN$48)</f>
        <v>191.51654513096352</v>
      </c>
      <c r="L111" s="99">
        <f>SUM(BP$37:BP$48)+SUM(BR$37:BR$48)+SUM(BT$37:BT$48)+SUM(BV$37:BV$48)</f>
        <v>193.3226919933</v>
      </c>
      <c r="M111" s="99">
        <f>SUM(BX$37:BX$48)+SUM(BZ$37:BZ$48)+SUM(CB$37:CB$48)+SUM(CD$37:CD$48)</f>
        <v>152.17570159184788</v>
      </c>
      <c r="N111" s="99">
        <f>SUM(CF$37:CF$48)+SUM(CH$37:CH$48)+SUM(CJ$37:CJ$48)+SUM(CL$37:CL$48)</f>
        <v>62.950959193071199</v>
      </c>
      <c r="O111" s="99">
        <f>SUM(CN$37:CN$48)+SUM(CP$37:CP$48)+SUM(CR$37:CR$48)+SUM(CT$37:CT$48)</f>
        <v>176.85903532582981</v>
      </c>
    </row>
    <row r="112" spans="2:99">
      <c r="C112" s="98" t="s">
        <v>129</v>
      </c>
      <c r="D112" s="99">
        <f>SUM(D$49:D$70)+SUM(F$49:F$70)+SUM(H$49:H$70)+SUM(J$49:J$70)</f>
        <v>92.57956712974962</v>
      </c>
      <c r="E112" s="99">
        <f>SUM(L$49:L$70)+SUM(N$49:N$70)+SUM(P$49:P$70)+SUM(R$49:R$70)</f>
        <v>247.76211138147653</v>
      </c>
      <c r="F112" s="99">
        <f>SUM(T$49:T$70)+SUM(V$49:V$70)+SUM(X$49:X$70)+SUM(Z$49:Z$70)</f>
        <v>273</v>
      </c>
      <c r="G112" s="99">
        <f>SUM(AB$49:AB$70)+SUM(AD$49:AD$70)+SUM(AF$49:AF$70)+SUM(AH$49:AH$70)</f>
        <v>190.54951774865614</v>
      </c>
      <c r="H112" s="99">
        <f>SUM(AJ$49:AJ$70)+SUM(AL$49:AL$70)+SUM(AN$49:AN$70)+SUM(AP$49:AP$70)</f>
        <v>254</v>
      </c>
      <c r="I112" s="99">
        <f>SUM(AR$49:AR$70)+SUM(AT$49:AT$70)+SUM(AV$49:AV$70)+SUM(AX$49:AX$70)</f>
        <v>225.26133938618057</v>
      </c>
      <c r="J112" s="99">
        <f>SUM(AZ$49:AZ$70)+SUM(BB$49:BB$70)+SUM(BD$49:BD$70)+SUM(BF$49:BF$70)</f>
        <v>244</v>
      </c>
      <c r="K112" s="99">
        <f>SUM(BH$49:BH$70)+SUM(BJ$49:BJ$70)+SUM(BL$49:BL$70)+SUM(BN$49:BN$70)</f>
        <v>186.64401618972076</v>
      </c>
      <c r="L112" s="99">
        <f>SUM(BP$49:BP$70)+SUM(BR$49:BR$70)+SUM(BT$49:BT$70)+SUM(BV$49:BV$70)</f>
        <v>206.63075285688473</v>
      </c>
      <c r="M112" s="99">
        <f>SUM(BX$49:BX$70)+SUM(BZ$49:BZ$70)+SUM(CB$49:CB$70)+SUM(CD$49:CD$70)</f>
        <v>158.3429243797458</v>
      </c>
      <c r="N112" s="99">
        <f>SUM(CF$49:CF$70)+SUM(CH$49:CH$70)+SUM(CJ$49:CJ$70)+SUM(CL$49:CL$70)</f>
        <v>84.960965580852431</v>
      </c>
      <c r="O112" s="99">
        <f>SUM(CN$49:CN$70)+SUM(CP$49:CP$70)+SUM(CR$49:CR$70)+SUM(CT$49:CT$70)</f>
        <v>219.37727238148096</v>
      </c>
    </row>
    <row r="113" spans="2:15">
      <c r="C113" s="98" t="s">
        <v>130</v>
      </c>
      <c r="D113" s="99">
        <f>SUM(D$71:D$86)+SUM(F$71:F$86)+SUM(H$71:H$86)+SUM(J$71:J$86)</f>
        <v>60.801576250975018</v>
      </c>
      <c r="E113" s="99">
        <f>SUM(L$71:L$86)+SUM(N$71:N$86)+SUM(P$71:P$86)+SUM(R$71:R$86)</f>
        <v>155</v>
      </c>
      <c r="F113" s="99">
        <f>SUM(T$71:T$86)+SUM(V$71:V$86)+SUM(X$71:X$86)+SUM(Z$71:Z$86)</f>
        <v>160</v>
      </c>
      <c r="G113" s="99">
        <f>SUM(AB$71:AB$86)+SUM(AD$71:AD$86)+SUM(AF$71:AF$86)+SUM(AH$71:AH$86)</f>
        <v>137</v>
      </c>
      <c r="H113" s="99">
        <f>SUM(AJ$71:AJ$86)+SUM(AL$71:AL$86)+SUM(AN$71:AN$86)+SUM(AP$71:AP$86)</f>
        <v>148</v>
      </c>
      <c r="I113" s="99">
        <f>SUM(AR$71:AR$86)+SUM(AT$71:AT$86)+SUM(AV$71:AV$86)+SUM(AX$71:AX$86)</f>
        <v>171</v>
      </c>
      <c r="J113" s="99">
        <f>SUM(AZ$71:AZ$86)+SUM(BB$71:BB$86)+SUM(BD$71:BD$86)+SUM(BF$71:BF$86)</f>
        <v>169</v>
      </c>
      <c r="K113" s="99">
        <f>SUM(BH$71:BH$86)+SUM(BJ$71:BJ$86)+SUM(BL$71:BL$86)+SUM(BN$71:BN$86)</f>
        <v>165</v>
      </c>
      <c r="L113" s="99">
        <f>SUM(BP$71:BP$86)+SUM(BR$71:BR$86)+SUM(BT$71:BT$86)+SUM(BV$71:BV$86)</f>
        <v>177</v>
      </c>
      <c r="M113" s="99">
        <f>SUM(BX$71:BX$86)+SUM(BZ$71:BZ$86)+SUM(CB$71:CB$86)+SUM(CD$71:CD$86)</f>
        <v>181</v>
      </c>
      <c r="N113" s="99">
        <f>SUM(CF$71:CF$86)+SUM(CH$71:CH$86)+SUM(CJ$71:CJ$86)+SUM(CL$71:CL$86)</f>
        <v>158.47934836167747</v>
      </c>
      <c r="O113" s="99">
        <f>SUM(CN$71:CN$86)+SUM(CP$71:CP$86)+SUM(CR$71:CR$86)+SUM(CT$71:CT$86)</f>
        <v>182</v>
      </c>
    </row>
    <row r="114" spans="2:15">
      <c r="C114" s="98" t="s">
        <v>131</v>
      </c>
      <c r="D114" s="99">
        <f>SUM(D$87:D$94)+SUM(F$87:F$94)+SUM(H$87:H$94)+SUM(J$87:J$94)</f>
        <v>38.400788125487509</v>
      </c>
      <c r="E114" s="99">
        <f>SUM(L$87:L$94)+SUM(N$87:N$94)+SUM(P$87:P$94)+SUM(R$87:R$94)</f>
        <v>89</v>
      </c>
      <c r="F114" s="99">
        <f>SUM(T$87:T$94)+SUM(V$87:V$94)+SUM(X$87:X$94)+SUM(Z$87:Z$94)</f>
        <v>73</v>
      </c>
      <c r="G114" s="99">
        <f>SUM(AB$87:AB$94)+SUM(AD$87:AD$94)+SUM(AF$87:AF$94)+SUM(AH$87:AH$94)</f>
        <v>81</v>
      </c>
      <c r="H114" s="99">
        <f>SUM(AJ$87:AJ$94)+SUM(AL$87:AL$94)+SUM(AN$87:AN$94)+SUM(AP$87:AP$94)</f>
        <v>88</v>
      </c>
      <c r="I114" s="99">
        <f>SUM(AR$87:AR$94)+SUM(AT$87:AT$94)+SUM(AV$87:AV$94)+SUM(AX$87:AX$94)</f>
        <v>82</v>
      </c>
      <c r="J114" s="99">
        <f>SUM(AZ$87:AZ$94)+SUM(BB$87:BB$94)+SUM(BD$87:BD$94)+SUM(BF$87:BF$94)</f>
        <v>97</v>
      </c>
      <c r="K114" s="99">
        <f>SUM(BH$87:BH$94)+SUM(BJ$87:BJ$94)+SUM(BL$87:BL$94)+SUM(BN$87:BN$94)</f>
        <v>93</v>
      </c>
      <c r="L114" s="99">
        <f>SUM(BP$87:BP$94)+SUM(BR$87:BR$94)+SUM(BT$87:BT$94)+SUM(BV$87:BV$94)</f>
        <v>100</v>
      </c>
      <c r="M114" s="99">
        <f>SUM(BX$87:BX$94)+SUM(BZ$87:BZ$94)+SUM(CB$87:CB$94)+SUM(CD$87:CD$94)</f>
        <v>75</v>
      </c>
      <c r="N114" s="99">
        <f>SUM(CF$87:CF$94)+SUM(CH$87:CH$94)+SUM(CJ$87:CJ$94)+SUM(CL$87:CL$94)</f>
        <v>94.49707915025003</v>
      </c>
      <c r="O114" s="99">
        <f>SUM(CN$87:CN$94)+SUM(CP$87:CP$94)+SUM(CR$87:CR$94)+SUM(CT$87:CT$94)</f>
        <v>87</v>
      </c>
    </row>
    <row r="115" spans="2:15">
      <c r="C115" s="98" t="s">
        <v>132</v>
      </c>
      <c r="D115" s="99">
        <f>SUM(D$95:D$105)+SUM(F$95:F$105)+SUM(H$95:H$105)+SUM(J$95:J$105)</f>
        <v>66.602167345090635</v>
      </c>
      <c r="E115" s="99">
        <f>SUM(L$95:L$105)+SUM(N$95:N$105)+SUM(P$95:P$105)+SUM(R$95:R$105)</f>
        <v>170</v>
      </c>
      <c r="F115" s="99">
        <f>SUM(T$95:T$105)+SUM(V$95:V$105)+SUM(X$95:X$105)+SUM(Z$95:Z$105)</f>
        <v>161</v>
      </c>
      <c r="G115" s="99">
        <f>SUM(AB$95:AB$105)+SUM(AD$95:AD$105)+SUM(AF$95:AF$105)+SUM(AH$95:AH$105)</f>
        <v>158</v>
      </c>
      <c r="H115" s="99">
        <f>SUM(AJ$95:AJ$105)+SUM(AL$95:AL$105)+SUM(AN$95:AN$105)+SUM(AP$95:AP$105)</f>
        <v>130</v>
      </c>
      <c r="I115" s="99">
        <f>SUM(AR$95:AR$105)+SUM(AT$95:AT$105)+SUM(AV$95:AV$105)+SUM(AX$95:AX$105)</f>
        <v>135</v>
      </c>
      <c r="J115" s="99">
        <f>SUM(AZ$95:AZ$105)+SUM(BB$95:BB$105)+SUM(BD$95:BD$105)+SUM(BF$95:BF$105)</f>
        <v>144</v>
      </c>
      <c r="K115" s="99">
        <f>SUM(BH$95:BH$105)+SUM(BJ$95:BJ$105)+SUM(BL$95:BL$105)+SUM(BN$95:BN$105)</f>
        <v>137</v>
      </c>
      <c r="L115" s="99">
        <f>SUM(BP$95:BP$105)+SUM(BR$95:BR$105)+SUM(BT$95:BT$105)+SUM(BV$95:BV$105)</f>
        <v>136</v>
      </c>
      <c r="M115" s="99">
        <f>SUM(BX$95:BX$105)+SUM(BZ$95:BZ$105)+SUM(CB$95:CB$105)+SUM(CD$95:CD$105)</f>
        <v>171</v>
      </c>
      <c r="N115" s="99">
        <f>SUM(CF$95:CF$105)+SUM(CH$95:CH$105)+SUM(CJ$95:CJ$105)+SUM(CL$95:CL$105)</f>
        <v>159.31956557445164</v>
      </c>
      <c r="O115" s="99">
        <f>SUM(CN$95:CN$105)+SUM(CP$95:CP$105)+SUM(CR$95:CR$105)+SUM(CT$95:CT$105)</f>
        <v>150</v>
      </c>
    </row>
    <row r="116" spans="2:15">
      <c r="C116" s="98" t="s">
        <v>277</v>
      </c>
      <c r="D116" s="99">
        <f t="shared" ref="D116:O116" si="0">SUM(D$109:D$115)</f>
        <v>442.65519386467861</v>
      </c>
      <c r="E116" s="99">
        <f t="shared" si="0"/>
        <v>1162.4893430154311</v>
      </c>
      <c r="F116" s="99">
        <f t="shared" si="0"/>
        <v>1239</v>
      </c>
      <c r="G116" s="99">
        <f t="shared" si="0"/>
        <v>975.11573330197223</v>
      </c>
      <c r="H116" s="99">
        <f t="shared" si="0"/>
        <v>1169</v>
      </c>
      <c r="I116" s="99">
        <f t="shared" si="0"/>
        <v>1065.2768002826353</v>
      </c>
      <c r="J116" s="99">
        <f t="shared" si="0"/>
        <v>1250</v>
      </c>
      <c r="K116" s="99">
        <f t="shared" si="0"/>
        <v>1092.3660371119131</v>
      </c>
      <c r="L116" s="99">
        <f t="shared" si="0"/>
        <v>1144.3052049248788</v>
      </c>
      <c r="M116" s="99">
        <f t="shared" si="0"/>
        <v>993.26021566038457</v>
      </c>
      <c r="N116" s="99">
        <f t="shared" si="0"/>
        <v>697.70656685931658</v>
      </c>
      <c r="O116" s="99">
        <f t="shared" si="0"/>
        <v>1127.7917263915806</v>
      </c>
    </row>
    <row r="118" spans="2:15">
      <c r="B118" s="102" t="s">
        <v>278</v>
      </c>
    </row>
    <row r="119" spans="2:15">
      <c r="C119" s="98" t="s">
        <v>276</v>
      </c>
      <c r="D119" s="98" t="s">
        <v>92</v>
      </c>
      <c r="E119" s="98" t="s">
        <v>93</v>
      </c>
      <c r="F119" s="98" t="s">
        <v>94</v>
      </c>
      <c r="G119" s="98" t="s">
        <v>95</v>
      </c>
      <c r="H119" s="98" t="s">
        <v>96</v>
      </c>
      <c r="I119" s="98" t="s">
        <v>97</v>
      </c>
      <c r="J119" s="98" t="s">
        <v>98</v>
      </c>
      <c r="K119" s="98" t="s">
        <v>99</v>
      </c>
      <c r="L119" s="98" t="s">
        <v>100</v>
      </c>
      <c r="M119" s="98" t="s">
        <v>101</v>
      </c>
      <c r="N119" s="98" t="s">
        <v>102</v>
      </c>
      <c r="O119" s="98" t="s">
        <v>103</v>
      </c>
    </row>
    <row r="120" spans="2:15">
      <c r="C120" s="98" t="s">
        <v>126</v>
      </c>
      <c r="D120" s="99">
        <f>D109*pricing!D33*2000</f>
        <v>473261.37149253092</v>
      </c>
      <c r="E120" s="99">
        <f>E109*pricing!E33*2000</f>
        <v>1167871.6921031915</v>
      </c>
      <c r="F120" s="99">
        <f>F109*pricing!F33*2000</f>
        <v>1284399.9999999998</v>
      </c>
      <c r="G120" s="99">
        <f>G109*pricing!G33*2000</f>
        <v>986249.60392294079</v>
      </c>
      <c r="H120" s="99">
        <f>H109*pricing!H33*2000</f>
        <v>1314800</v>
      </c>
      <c r="I120" s="99">
        <f>I109*pricing!I33*2000</f>
        <v>1223742.9829666808</v>
      </c>
      <c r="J120" s="99">
        <f>J109*pricing!J33*2000</f>
        <v>1527600</v>
      </c>
      <c r="K120" s="99">
        <f>K109*pricing!K33*2000</f>
        <v>1365687.5574243462</v>
      </c>
      <c r="L120" s="99">
        <f>L109*pricing!L33*2000</f>
        <v>1231695.0520949815</v>
      </c>
      <c r="M120" s="99">
        <f>M109*pricing!M33*2000</f>
        <v>957420.40392367262</v>
      </c>
      <c r="N120" s="99">
        <f>N109*pricing!N33*2000</f>
        <v>504209.31273559411</v>
      </c>
      <c r="O120" s="99">
        <f>O109*pricing!O33*2000</f>
        <v>1146287.1018432789</v>
      </c>
    </row>
    <row r="121" spans="2:15">
      <c r="C121" s="98" t="s">
        <v>127</v>
      </c>
      <c r="D121" s="99">
        <f>D110*pricing!D34*2000</f>
        <v>427974.03571270156</v>
      </c>
      <c r="E121" s="99">
        <f>E110*pricing!E34*2000</f>
        <v>1237632.6801610996</v>
      </c>
      <c r="F121" s="99">
        <f>F110*pricing!F34*2000</f>
        <v>1482000</v>
      </c>
      <c r="G121" s="99">
        <f>G110*pricing!G34*2000</f>
        <v>1027736.7206908616</v>
      </c>
      <c r="H121" s="99">
        <f>H110*pricing!H34*2000</f>
        <v>1588399.9999999998</v>
      </c>
      <c r="I121" s="99">
        <f>I110*pricing!I34*2000</f>
        <v>1038422.4653707502</v>
      </c>
      <c r="J121" s="99">
        <f>J110*pricing!J34*2000</f>
        <v>1466800</v>
      </c>
      <c r="K121" s="99">
        <f>K110*pricing!K34*2000</f>
        <v>1060274.0585889923</v>
      </c>
      <c r="L121" s="99">
        <f>L110*pricing!L34*2000</f>
        <v>1286578.3244726935</v>
      </c>
      <c r="M121" s="99">
        <f>M110*pricing!M34*2000</f>
        <v>986215.6777111378</v>
      </c>
      <c r="N121" s="99">
        <f>N110*pricing!N34*2000</f>
        <v>540780.41965691082</v>
      </c>
      <c r="O121" s="99">
        <f>O110*pricing!O34*2000</f>
        <v>1229134.0801571719</v>
      </c>
    </row>
    <row r="122" spans="2:15">
      <c r="C122" s="98" t="s">
        <v>128</v>
      </c>
      <c r="D122" s="99">
        <f>D111*pricing!D35*2000</f>
        <v>512362.41265685577</v>
      </c>
      <c r="E122" s="99">
        <f>E111*pricing!E35*2000</f>
        <v>1436865.2878420206</v>
      </c>
      <c r="F122" s="99">
        <f>F111*pricing!F35*2000</f>
        <v>1622399.9999999998</v>
      </c>
      <c r="G122" s="99">
        <f>G111*pricing!G35*2000</f>
        <v>1119830.5165806464</v>
      </c>
      <c r="H122" s="99">
        <f>H111*pricing!H35*2000</f>
        <v>1302600</v>
      </c>
      <c r="I122" s="99">
        <f>I111*pricing!I35*2000</f>
        <v>1204024.4769618257</v>
      </c>
      <c r="J122" s="99">
        <f>J111*pricing!J35*2000</f>
        <v>1575600</v>
      </c>
      <c r="K122" s="99">
        <f>K111*pricing!K35*2000</f>
        <v>1493829.0520215156</v>
      </c>
      <c r="L122" s="99">
        <f>L111*pricing!L35*2000</f>
        <v>1507916.9975477401</v>
      </c>
      <c r="M122" s="99">
        <f>M111*pricing!M35*2000</f>
        <v>1186970.4724164135</v>
      </c>
      <c r="N122" s="99">
        <f>N111*pricing!N35*2000</f>
        <v>491017.48170595535</v>
      </c>
      <c r="O122" s="99">
        <f>O111*pricing!O35*2000</f>
        <v>1379500.4755414724</v>
      </c>
    </row>
    <row r="123" spans="2:15">
      <c r="C123" s="98" t="s">
        <v>129</v>
      </c>
      <c r="D123" s="99">
        <f>D112*pricing!D36*2000</f>
        <v>722120.62361204694</v>
      </c>
      <c r="E123" s="99">
        <f>E112*pricing!E36*2000</f>
        <v>1932544.4687755168</v>
      </c>
      <c r="F123" s="99">
        <f>F112*pricing!F36*2000</f>
        <v>2129400</v>
      </c>
      <c r="G123" s="99">
        <f>G112*pricing!G36*2000</f>
        <v>1486286.2384395178</v>
      </c>
      <c r="H123" s="99">
        <f>H112*pricing!H36*2000</f>
        <v>1981200</v>
      </c>
      <c r="I123" s="99">
        <f>I112*pricing!I36*2000</f>
        <v>1757038.4472122085</v>
      </c>
      <c r="J123" s="99">
        <f>J112*pricing!J36*2000</f>
        <v>1903200</v>
      </c>
      <c r="K123" s="99">
        <f>K112*pricing!K36*2000</f>
        <v>1455823.3262798218</v>
      </c>
      <c r="L123" s="99">
        <f>L112*pricing!L36*2000</f>
        <v>1611719.8722837009</v>
      </c>
      <c r="M123" s="99">
        <f>M112*pricing!M36*2000</f>
        <v>1235074.8101620171</v>
      </c>
      <c r="N123" s="99">
        <f>N112*pricing!N36*2000</f>
        <v>662695.53153064894</v>
      </c>
      <c r="O123" s="99">
        <f>O112*pricing!O36*2000</f>
        <v>1711142.7245755515</v>
      </c>
    </row>
    <row r="124" spans="2:15">
      <c r="C124" s="98" t="s">
        <v>130</v>
      </c>
      <c r="D124" s="99">
        <f>D113*pricing!D37*2000</f>
        <v>462091.97950741008</v>
      </c>
      <c r="E124" s="99">
        <f>E113*pricing!E37*2000</f>
        <v>1178000</v>
      </c>
      <c r="F124" s="99">
        <f>F113*pricing!F37*2000</f>
        <v>1216000</v>
      </c>
      <c r="G124" s="99">
        <f>G113*pricing!G37*2000</f>
        <v>1041200</v>
      </c>
      <c r="H124" s="99">
        <f>H113*pricing!H37*2000</f>
        <v>1124800</v>
      </c>
      <c r="I124" s="99">
        <f>I113*pricing!I37*2000</f>
        <v>1299600</v>
      </c>
      <c r="J124" s="99">
        <f>J113*pricing!J37*2000</f>
        <v>1284399.9999999998</v>
      </c>
      <c r="K124" s="99">
        <f>K113*pricing!K37*2000</f>
        <v>1254000</v>
      </c>
      <c r="L124" s="99">
        <f>L113*pricing!L37*2000</f>
        <v>1345200</v>
      </c>
      <c r="M124" s="99">
        <f>M113*pricing!M37*2000</f>
        <v>1375600</v>
      </c>
      <c r="N124" s="99">
        <f>N113*pricing!N37*2000</f>
        <v>1204443.0475487486</v>
      </c>
      <c r="O124" s="99">
        <f>O113*pricing!O37*2000</f>
        <v>1383200</v>
      </c>
    </row>
    <row r="125" spans="2:15">
      <c r="C125" s="98" t="s">
        <v>131</v>
      </c>
      <c r="D125" s="99">
        <f>D114*pricing!D38*2000</f>
        <v>291845.98975370504</v>
      </c>
      <c r="E125" s="99">
        <f>E114*pricing!E38*2000</f>
        <v>676400</v>
      </c>
      <c r="F125" s="99">
        <f>F114*pricing!F38*2000</f>
        <v>554800</v>
      </c>
      <c r="G125" s="99">
        <f>G114*pricing!G38*2000</f>
        <v>615600</v>
      </c>
      <c r="H125" s="99">
        <f>H114*pricing!H38*2000</f>
        <v>668800</v>
      </c>
      <c r="I125" s="99">
        <f>I114*pricing!I38*2000</f>
        <v>623199.99999999988</v>
      </c>
      <c r="J125" s="99">
        <f>J114*pricing!J38*2000</f>
        <v>737199.99999999988</v>
      </c>
      <c r="K125" s="99">
        <f>K114*pricing!K38*2000</f>
        <v>706800</v>
      </c>
      <c r="L125" s="99">
        <f>L114*pricing!L38*2000</f>
        <v>760000</v>
      </c>
      <c r="M125" s="99">
        <f>M114*pricing!M38*2000</f>
        <v>570000</v>
      </c>
      <c r="N125" s="99">
        <f>N114*pricing!N38*2000</f>
        <v>718177.80154190015</v>
      </c>
      <c r="O125" s="99">
        <f>O114*pricing!O38*2000</f>
        <v>661199.99999999988</v>
      </c>
    </row>
    <row r="126" spans="2:15">
      <c r="C126" s="98" t="s">
        <v>132</v>
      </c>
      <c r="D126" s="99">
        <f>D115*pricing!D39*2000</f>
        <v>506176.47182268882</v>
      </c>
      <c r="E126" s="99">
        <f>E115*pricing!E39*2000</f>
        <v>1292000</v>
      </c>
      <c r="F126" s="99">
        <f>F115*pricing!F39*2000</f>
        <v>1223600</v>
      </c>
      <c r="G126" s="99">
        <f>G115*pricing!G39*2000</f>
        <v>1200800</v>
      </c>
      <c r="H126" s="99">
        <f>H115*pricing!H39*2000</f>
        <v>988000</v>
      </c>
      <c r="I126" s="99">
        <f>I115*pricing!I39*2000</f>
        <v>1026000</v>
      </c>
      <c r="J126" s="99">
        <f>J115*pricing!J39*2000</f>
        <v>1094399.9999999998</v>
      </c>
      <c r="K126" s="99">
        <f>K115*pricing!K39*2000</f>
        <v>1041200</v>
      </c>
      <c r="L126" s="99">
        <f>L115*pricing!L39*2000</f>
        <v>1033599.9999999999</v>
      </c>
      <c r="M126" s="99">
        <f>M115*pricing!M39*2000</f>
        <v>1299600</v>
      </c>
      <c r="N126" s="99">
        <f>N115*pricing!N39*2000</f>
        <v>1210828.6983658324</v>
      </c>
      <c r="O126" s="99">
        <f>O115*pricing!O39*2000</f>
        <v>1140000</v>
      </c>
    </row>
    <row r="127" spans="2:15">
      <c r="C127" s="98" t="s">
        <v>277</v>
      </c>
      <c r="D127" s="99">
        <f>SUM(D$120:D$126)</f>
        <v>3395832.8845579391</v>
      </c>
      <c r="E127" s="99">
        <f t="shared" ref="E127:O127" si="1">SUM(E$120:E$126)</f>
        <v>8921314.1288818289</v>
      </c>
      <c r="F127" s="99">
        <f t="shared" si="1"/>
        <v>9512600</v>
      </c>
      <c r="G127" s="99">
        <f t="shared" si="1"/>
        <v>7477703.079633967</v>
      </c>
      <c r="H127" s="99">
        <f t="shared" si="1"/>
        <v>8968600</v>
      </c>
      <c r="I127" s="99">
        <f t="shared" si="1"/>
        <v>8172028.3725114651</v>
      </c>
      <c r="J127" s="99">
        <f t="shared" si="1"/>
        <v>9589200</v>
      </c>
      <c r="K127" s="99">
        <f t="shared" si="1"/>
        <v>8377613.9943146762</v>
      </c>
      <c r="L127" s="99">
        <f t="shared" si="1"/>
        <v>8776710.2463991158</v>
      </c>
      <c r="M127" s="99">
        <f t="shared" si="1"/>
        <v>7610881.3642132413</v>
      </c>
      <c r="N127" s="99">
        <f t="shared" si="1"/>
        <v>5332152.2930855909</v>
      </c>
      <c r="O127" s="99">
        <f t="shared" si="1"/>
        <v>8650464.3821174745</v>
      </c>
    </row>
    <row r="129" spans="2:15">
      <c r="B129" s="102" t="s">
        <v>279</v>
      </c>
    </row>
    <row r="130" spans="2:15">
      <c r="C130" s="104" t="s">
        <v>276</v>
      </c>
      <c r="D130" s="104" t="s">
        <v>92</v>
      </c>
      <c r="E130" s="104" t="s">
        <v>93</v>
      </c>
      <c r="F130" s="104" t="s">
        <v>94</v>
      </c>
      <c r="G130" s="104" t="s">
        <v>95</v>
      </c>
      <c r="H130" s="104" t="s">
        <v>96</v>
      </c>
      <c r="I130" s="104" t="s">
        <v>97</v>
      </c>
      <c r="J130" s="104" t="s">
        <v>98</v>
      </c>
      <c r="K130" s="104" t="s">
        <v>99</v>
      </c>
      <c r="L130" s="104" t="s">
        <v>100</v>
      </c>
      <c r="M130" s="104" t="s">
        <v>101</v>
      </c>
      <c r="N130" s="104" t="s">
        <v>102</v>
      </c>
      <c r="O130" s="104" t="s">
        <v>103</v>
      </c>
    </row>
    <row r="131" spans="2:15">
      <c r="C131" s="104" t="s">
        <v>126</v>
      </c>
      <c r="D131" s="105">
        <f>SUM(E$6:E$19)+SUM(G$6:G$19)+SUM(I$6:I$19)+SUM(K$6:K$19)</f>
        <v>31352.678035959889</v>
      </c>
      <c r="E131" s="105">
        <f>SUM(M$6:M$19)+SUM(O$6:O$19)+SUM(Q$6:Q$19)+SUM(S$6:S$19)</f>
        <v>78168.493388053612</v>
      </c>
      <c r="F131" s="105">
        <f>SUM(U$6:U$19)+SUM(W$6:W$19)+SUM(Y$6:Y$19)+SUM(AA$6:AA$19)</f>
        <v>85257.599999999991</v>
      </c>
      <c r="G131" s="105">
        <f>SUM(AC$6:AC$19)+SUM(AE$6:AE$19)+SUM(AG$6:AG$19)+SUM(AI$6:AI$19)</f>
        <v>65084.570044341512</v>
      </c>
      <c r="H131" s="105">
        <f>SUM(AK$6:AK$19)+SUM(AM$6:AM$19)+SUM(AO$6:AO$19)+SUM(AQ$6:AQ$19)</f>
        <v>87856.8</v>
      </c>
      <c r="I131" s="105">
        <f>SUM(AS$6:AS$19)+SUM(AU$6:AU$19)+SUM(AW$6:AW$19)+SUM(AY$6:AY$19)</f>
        <v>80900.121201502858</v>
      </c>
      <c r="J131" s="105">
        <f>SUM(BA$6:BA$19)+SUM(BC$6:BC$19)+SUM(BE$6:BE$19)+SUM(BG$6:BG$19)</f>
        <v>101900.4</v>
      </c>
      <c r="K131" s="105">
        <f>SUM(BI$6:BI$19)+SUM(BK$6:BK$19)+SUM(BM$6:BM$19)+SUM(BO$6:BO$19)</f>
        <v>90700.180534480402</v>
      </c>
      <c r="L131" s="105">
        <f>SUM(BQ$6:BQ$19)+SUM(BS$6:BS$19)+SUM(BU$6:BU$19)+SUM(BW$6:BW$19)</f>
        <v>81343.97231465709</v>
      </c>
      <c r="M131" s="105">
        <f>SUM(BY$6:BY$19)+SUM(CA$6:CA$19)+SUM(CC$6:CC$19)+SUM(CE$6:CE$19)</f>
        <v>62386.853250225875</v>
      </c>
      <c r="N131" s="105">
        <f>SUM(CG$6:CG$19)+SUM(CI$6:CI$19)+SUM(CK$6:CK$19)+SUM(CM$6:CM$19)</f>
        <v>33646.41085774645</v>
      </c>
      <c r="O131" s="105">
        <f>SUM(CO$6:CO$19)+SUM(CQ$6:CQ$19)+SUM(CS$6:CS$19)+SUM(CU$6:CU$19)</f>
        <v>75906.764918024797</v>
      </c>
    </row>
    <row r="132" spans="2:15">
      <c r="C132" s="104" t="s">
        <v>127</v>
      </c>
      <c r="D132" s="105">
        <f>SUM(E$20:E$36)+SUM(G$20:G$36)+SUM(I$20:I$36)+SUM(K$20:K$36)</f>
        <v>24203.008039377142</v>
      </c>
      <c r="E132" s="105">
        <f>SUM(M$20:M$36)+SUM(O$20:O$36)+SUM(Q$20:Q$36)+SUM(S$20:S$36)</f>
        <v>69778.909363191648</v>
      </c>
      <c r="F132" s="105">
        <f>SUM(U$20:U$36)+SUM(W$20:W$36)+SUM(Y$20:Y$36)+SUM(AA$20:AA$36)</f>
        <v>83300.400000000009</v>
      </c>
      <c r="G132" s="105">
        <f>SUM(AC$20:AC$36)+SUM(AE$20:AE$36)+SUM(AG$20:AG$36)+SUM(AI$20:AI$36)</f>
        <v>57721.24464126621</v>
      </c>
      <c r="H132" s="105">
        <f>SUM(AK$20:AK$36)+SUM(AM$20:AM$36)+SUM(AO$20:AO$36)+SUM(AQ$20:AQ$36)</f>
        <v>89684.400000000009</v>
      </c>
      <c r="I132" s="105">
        <f>SUM(AS$20:AS$36)+SUM(AU$20:AU$36)+SUM(AW$20:AW$36)+SUM(AY$20:AY$36)</f>
        <v>58253.450851258778</v>
      </c>
      <c r="J132" s="105">
        <f>SUM(BA$20:BA$36)+SUM(BC$20:BC$36)+SUM(BE$20:BE$36)+SUM(BG$20:BG$36)</f>
        <v>82208.399999999994</v>
      </c>
      <c r="K132" s="105">
        <f>SUM(BI$20:BI$36)+SUM(BK$20:BK$36)+SUM(BM$20:BM$36)+SUM(BO$20:BO$36)</f>
        <v>59265.598609030865</v>
      </c>
      <c r="L132" s="105">
        <f>SUM(BQ$20:BQ$36)+SUM(BS$20:BS$36)+SUM(BU$20:BU$36)+SUM(BW$20:BW$36)</f>
        <v>71720.319233046815</v>
      </c>
      <c r="M132" s="105">
        <f>SUM(BY$20:BY$36)+SUM(CA$20:CA$36)+SUM(CC$20:CC$36)+SUM(CE$20:CE$36)</f>
        <v>54913.91898866299</v>
      </c>
      <c r="N132" s="105">
        <f>SUM(CG$20:CG$36)+SUM(CI$20:CI$36)+SUM(CK$20:CK$36)+SUM(CM$20:CM$36)</f>
        <v>30161.805941583701</v>
      </c>
      <c r="O132" s="105">
        <f>SUM(CO$20:CO$36)+SUM(CQ$20:CQ$36)+SUM(CS$20:CS$36)+SUM(CU$20:CU$36)</f>
        <v>69526.133116143814</v>
      </c>
    </row>
    <row r="133" spans="2:15">
      <c r="C133" s="104" t="s">
        <v>128</v>
      </c>
      <c r="D133" s="105">
        <f>SUM(E$37:E$48)+SUM(G$37:G$48)+SUM(I$37:I$48)+SUM(K$37:K$48)</f>
        <v>69019.413841626054</v>
      </c>
      <c r="E133" s="105">
        <f>SUM(M$37:M$48)+SUM(O$37:O$48)+SUM(Q$37:Q$48)+SUM(S$37:S$48)</f>
        <v>194311.5445346437</v>
      </c>
      <c r="F133" s="105">
        <f>SUM(U$37:U$48)+SUM(W$37:W$48)+SUM(Y$37:Y$48)+SUM(AA$37:AA$48)</f>
        <v>218709.6</v>
      </c>
      <c r="G133" s="105">
        <f>SUM(AC$37:AC$48)+SUM(AE$37:AE$48)+SUM(AG$37:AG$48)+SUM(AI$37:AI$48)</f>
        <v>150333.9421652905</v>
      </c>
      <c r="H133" s="105">
        <f>SUM(AK$37:AK$48)+SUM(AM$37:AM$48)+SUM(AO$37:AO$48)+SUM(AQ$37:AQ$48)</f>
        <v>175783.2</v>
      </c>
      <c r="I133" s="105">
        <f>SUM(AS$37:AS$48)+SUM(AU$37:AU$48)+SUM(AW$37:AW$48)+SUM(AY$37:AY$48)</f>
        <v>161766.26834753787</v>
      </c>
      <c r="J133" s="105">
        <f>SUM(BA$37:BA$48)+SUM(BC$37:BC$48)+SUM(BE$37:BE$48)+SUM(BG$37:BG$48)</f>
        <v>211640.4</v>
      </c>
      <c r="K133" s="105">
        <f>SUM(BI$37:BI$48)+SUM(BK$37:BK$48)+SUM(BM$37:BM$48)+SUM(BO$37:BO$48)</f>
        <v>200976.26435819035</v>
      </c>
      <c r="L133" s="105">
        <f>SUM(BQ$37:BQ$48)+SUM(BS$37:BS$48)+SUM(BU$37:BU$48)+SUM(BW$37:BW$48)</f>
        <v>203136.25959147653</v>
      </c>
      <c r="M133" s="105">
        <f>SUM(BY$37:BY$48)+SUM(CA$37:CA$48)+SUM(CC$37:CC$48)+SUM(CE$37:CE$48)</f>
        <v>158565.55389913579</v>
      </c>
      <c r="N133" s="105">
        <f>SUM(CG$37:CG$48)+SUM(CI$37:CI$48)+SUM(CK$37:CK$48)+SUM(CM$37:CM$48)</f>
        <v>65503.388860418207</v>
      </c>
      <c r="O133" s="105">
        <f>SUM(CO$37:CO$48)+SUM(CQ$37:CQ$48)+SUM(CS$37:CS$48)+SUM(CU$37:CU$48)</f>
        <v>184664.45701280393</v>
      </c>
    </row>
    <row r="134" spans="2:15">
      <c r="C134" s="104" t="s">
        <v>129</v>
      </c>
      <c r="D134" s="105">
        <f>SUM(E$49:E$70)+SUM(G$49:G$70)+SUM(I$49:I$70)+SUM(K$49:K$70)</f>
        <v>78715.359568157321</v>
      </c>
      <c r="E134" s="105">
        <f>SUM(M$49:M$70)+SUM(O$49:O$70)+SUM(Q$49:Q$70)+SUM(S$49:S$70)</f>
        <v>209778.03079460526</v>
      </c>
      <c r="F134" s="105">
        <f>SUM(U$49:U$70)+SUM(W$49:W$70)+SUM(Y$49:Y$70)+SUM(AA$49:AA$70)</f>
        <v>230956.80000000002</v>
      </c>
      <c r="G134" s="105">
        <f>SUM(AC$49:AC$70)+SUM(AE$49:AE$70)+SUM(AG$49:AG$70)+SUM(AI$49:AI$70)</f>
        <v>160350.36255016146</v>
      </c>
      <c r="H134" s="105">
        <f>SUM(AK$49:AK$70)+SUM(AM$49:AM$70)+SUM(AO$49:AO$70)+SUM(AQ$49:AQ$70)</f>
        <v>213877.19999999998</v>
      </c>
      <c r="I134" s="105">
        <f>SUM(AS$49:AS$70)+SUM(AU$49:AU$70)+SUM(AW$49:AW$70)+SUM(AY$49:AY$70)</f>
        <v>193173.6116989025</v>
      </c>
      <c r="J134" s="105">
        <f>SUM(BA$49:BA$70)+SUM(BC$49:BC$70)+SUM(BE$49:BE$70)+SUM(BG$49:BG$70)</f>
        <v>208084.80000000005</v>
      </c>
      <c r="K134" s="105">
        <f>SUM(BI$49:BI$70)+SUM(BK$49:BK$70)+SUM(BM$49:BM$70)+SUM(BO$49:BO$70)</f>
        <v>158512.11594014999</v>
      </c>
      <c r="L134" s="105">
        <f>SUM(BQ$49:BQ$70)+SUM(BS$49:BS$70)+SUM(BU$49:BU$70)+SUM(BW$49:BW$70)</f>
        <v>175723.80072524838</v>
      </c>
      <c r="M134" s="105">
        <f>SUM(BY$49:BY$70)+SUM(CA$49:CA$70)+SUM(CC$49:CC$70)+SUM(CE$49:CE$70)</f>
        <v>136172.44814207556</v>
      </c>
      <c r="N134" s="105">
        <f>SUM(CG$49:CG$70)+SUM(CI$49:CI$70)+SUM(CK$49:CK$70)+SUM(CM$49:CM$70)</f>
        <v>76483.636746051125</v>
      </c>
      <c r="O134" s="105">
        <f>SUM(CO$49:CO$70)+SUM(CQ$49:CQ$70)+SUM(CS$49:CS$70)+SUM(CU$49:CU$70)</f>
        <v>187832.77866389198</v>
      </c>
    </row>
    <row r="135" spans="2:15">
      <c r="C135" s="104" t="s">
        <v>130</v>
      </c>
      <c r="D135" s="105">
        <f>SUM(E$71:E$86)+SUM(G$71:G$86)+SUM(I$71:I$86)+SUM(K$71:K$86)</f>
        <v>34237.367586924025</v>
      </c>
      <c r="E135" s="105">
        <f>SUM(M$71:M$86)+SUM(O$71:O$86)+SUM(Q$71:Q$86)+SUM(S$71:S$86)</f>
        <v>88035.599999999991</v>
      </c>
      <c r="F135" s="105">
        <f>SUM(U$71:U$86)+SUM(W$71:W$86)+SUM(Y$71:Y$86)+SUM(AA$71:AA$86)</f>
        <v>90096</v>
      </c>
      <c r="G135" s="105">
        <f>SUM(AC$71:AC$86)+SUM(AE$71:AE$86)+SUM(AG$71:AG$86)+SUM(AI$71:AI$86)</f>
        <v>75898.8</v>
      </c>
      <c r="H135" s="105">
        <f>SUM(AK$71:AK$86)+SUM(AM$71:AM$86)+SUM(AO$71:AO$86)+SUM(AQ$71:AQ$86)</f>
        <v>82518</v>
      </c>
      <c r="I135" s="105">
        <f>SUM(AS$71:AS$86)+SUM(AU$71:AU$86)+SUM(AW$71:AW$86)+SUM(AY$71:AY$86)</f>
        <v>95995.199999999997</v>
      </c>
      <c r="J135" s="105">
        <f>SUM(BA$71:BA$86)+SUM(BC$71:BC$86)+SUM(BE$71:BE$86)+SUM(BG$71:BG$86)</f>
        <v>94496.4</v>
      </c>
      <c r="K135" s="105">
        <f>SUM(BI$71:BI$86)+SUM(BK$71:BK$86)+SUM(BM$71:BM$86)+SUM(BO$71:BO$86)</f>
        <v>93361.2</v>
      </c>
      <c r="L135" s="105">
        <f>SUM(BQ$71:BQ$86)+SUM(BS$71:BS$86)+SUM(BU$71:BU$86)+SUM(BW$71:BW$86)</f>
        <v>98305.2</v>
      </c>
      <c r="M135" s="105">
        <f>SUM(BY$71:BY$86)+SUM(CA$71:CA$86)+SUM(CC$71:CC$86)+SUM(CE$71:CE$86)</f>
        <v>101878.8</v>
      </c>
      <c r="N135" s="105">
        <f>SUM(CG$71:CG$86)+SUM(CI$71:CI$86)+SUM(CK$71:CK$86)+SUM(CM$71:CM$86)</f>
        <v>89396.021062460582</v>
      </c>
      <c r="O135" s="105">
        <f>SUM(CO$71:CO$86)+SUM(CQ$71:CQ$86)+SUM(CS$71:CS$86)+SUM(CU$71:CU$86)</f>
        <v>101361.60000000001</v>
      </c>
    </row>
    <row r="136" spans="2:15">
      <c r="C136" s="104" t="s">
        <v>131</v>
      </c>
      <c r="D136" s="105">
        <f>SUM(E$87:E$94)+SUM(G$87:G$94)+SUM(I$87:I$94)+SUM(K$87:K$94)</f>
        <v>78372.16848530744</v>
      </c>
      <c r="E136" s="105">
        <f>SUM(M$87:M$94)+SUM(O$87:O$94)+SUM(Q$87:Q$94)+SUM(S$87:S$94)</f>
        <v>180928.79999999996</v>
      </c>
      <c r="F136" s="105">
        <f>SUM(U$87:U$94)+SUM(W$87:W$94)+SUM(Y$87:Y$94)+SUM(AA$87:AA$94)</f>
        <v>148365.59999999998</v>
      </c>
      <c r="G136" s="105">
        <f>SUM(AC$87:AC$94)+SUM(AE$87:AE$94)+SUM(AG$87:AG$94)+SUM(AI$87:AI$94)</f>
        <v>165044.39999999997</v>
      </c>
      <c r="H136" s="105">
        <f>SUM(AK$87:AK$94)+SUM(AM$87:AM$94)+SUM(AO$87:AO$94)+SUM(AQ$87:AQ$94)</f>
        <v>179074.8</v>
      </c>
      <c r="I136" s="105">
        <f>SUM(AS$87:AS$94)+SUM(AU$87:AU$94)+SUM(AW$87:AW$94)+SUM(AY$87:AY$94)</f>
        <v>166838.39999999997</v>
      </c>
      <c r="J136" s="105">
        <f>SUM(BA$87:BA$94)+SUM(BC$87:BC$94)+SUM(BE$87:BE$94)+SUM(BG$87:BG$94)</f>
        <v>196637.99999999997</v>
      </c>
      <c r="K136" s="105">
        <f>SUM(BI$87:BI$94)+SUM(BK$87:BK$94)+SUM(BM$87:BM$94)+SUM(BO$87:BO$94)</f>
        <v>190011.59999999998</v>
      </c>
      <c r="L136" s="105">
        <f>SUM(BQ$87:BQ$94)+SUM(BS$87:BS$94)+SUM(BU$87:BU$94)+SUM(BW$87:BW$94)</f>
        <v>204147.59999999998</v>
      </c>
      <c r="M136" s="105">
        <f>SUM(BY$87:BY$94)+SUM(CA$87:CA$94)+SUM(CC$87:CC$94)+SUM(CE$87:CE$94)</f>
        <v>153189.59999999998</v>
      </c>
      <c r="N136" s="105">
        <f>SUM(CG$87:CG$94)+SUM(CI$87:CI$94)+SUM(CK$87:CK$94)+SUM(CM$87:CM$94)</f>
        <v>192051.98189765064</v>
      </c>
      <c r="O136" s="105">
        <f>SUM(CO$87:CO$94)+SUM(CQ$87:CQ$94)+SUM(CS$87:CS$94)+SUM(CU$87:CU$94)</f>
        <v>177201.59999999998</v>
      </c>
    </row>
    <row r="137" spans="2:15">
      <c r="C137" s="104" t="s">
        <v>132</v>
      </c>
      <c r="D137" s="105">
        <f>SUM(E$95:E$105)+SUM(G$95:G$105)+SUM(I$95:I$105)+SUM(K$95:K$105)</f>
        <v>127107.76305878474</v>
      </c>
      <c r="E137" s="105">
        <f>SUM(M$95:M$105)+SUM(O$95:O$105)+SUM(Q$95:Q$105)+SUM(S$95:S$105)</f>
        <v>324552</v>
      </c>
      <c r="F137" s="105">
        <f>SUM(U$95:U$105)+SUM(W$95:W$105)+SUM(Y$95:Y$105)+SUM(AA$95:AA$105)</f>
        <v>306604.79999999999</v>
      </c>
      <c r="G137" s="105">
        <f>SUM(AC$95:AC$105)+SUM(AE$95:AE$105)+SUM(AG$95:AG$105)+SUM(AI$95:AI$105)</f>
        <v>304146</v>
      </c>
      <c r="H137" s="105">
        <f>SUM(AK$95:AK$105)+SUM(AM$95:AM$105)+SUM(AO$95:AO$105)+SUM(AQ$95:AQ$105)</f>
        <v>253880.39999999997</v>
      </c>
      <c r="I137" s="105">
        <f>SUM(AS$95:AS$105)+SUM(AU$95:AU$105)+SUM(AW$95:AW$105)+SUM(AY$95:AY$105)</f>
        <v>259823.99999999997</v>
      </c>
      <c r="J137" s="105">
        <f>SUM(BA$95:BA$105)+SUM(BC$95:BC$105)+SUM(BE$95:BE$105)+SUM(BG$95:BG$105)</f>
        <v>276755.99999999994</v>
      </c>
      <c r="K137" s="105">
        <f>SUM(BI$95:BI$105)+SUM(BK$95:BK$105)+SUM(BM$95:BM$105)+SUM(BO$95:BO$105)</f>
        <v>262308</v>
      </c>
      <c r="L137" s="105">
        <f>SUM(BQ$95:BQ$105)+SUM(BS$95:BS$105)+SUM(BU$95:BU$105)+SUM(BW$95:BW$105)</f>
        <v>261919.19999999995</v>
      </c>
      <c r="M137" s="105">
        <f>SUM(BY$95:BY$105)+SUM(CA$95:CA$105)+SUM(CC$95:CC$105)+SUM(CE$95:CE$105)</f>
        <v>330934.80000000005</v>
      </c>
      <c r="N137" s="105">
        <f>SUM(CG$95:CG$105)+SUM(CI$95:CI$105)+SUM(CK$95:CK$105)+SUM(CM$95:CM$105)</f>
        <v>305462.80021265987</v>
      </c>
      <c r="O137" s="105">
        <f>SUM(CO$95:CO$105)+SUM(CQ$95:CQ$105)+SUM(CS$95:CS$105)+SUM(CU$95:CU$105)</f>
        <v>289575.59999999998</v>
      </c>
    </row>
    <row r="138" spans="2:15">
      <c r="C138" s="104" t="s">
        <v>277</v>
      </c>
      <c r="D138" s="99">
        <f t="shared" ref="D138:O138" si="2">SUM(D$131:D$137)</f>
        <v>443007.75861613662</v>
      </c>
      <c r="E138" s="99">
        <f t="shared" si="2"/>
        <v>1145553.3780804942</v>
      </c>
      <c r="F138" s="99">
        <f t="shared" si="2"/>
        <v>1163290.8</v>
      </c>
      <c r="G138" s="99">
        <f t="shared" si="2"/>
        <v>978579.31940105965</v>
      </c>
      <c r="H138" s="99">
        <f t="shared" si="2"/>
        <v>1082674.7999999998</v>
      </c>
      <c r="I138" s="99">
        <f t="shared" si="2"/>
        <v>1016751.0520992021</v>
      </c>
      <c r="J138" s="99">
        <f t="shared" si="2"/>
        <v>1171724.3999999999</v>
      </c>
      <c r="K138" s="99">
        <f t="shared" si="2"/>
        <v>1055134.9594418516</v>
      </c>
      <c r="L138" s="99">
        <f t="shared" si="2"/>
        <v>1096296.3518644287</v>
      </c>
      <c r="M138" s="99">
        <f t="shared" si="2"/>
        <v>998041.97428010032</v>
      </c>
      <c r="N138" s="99">
        <f t="shared" si="2"/>
        <v>792706.04557857057</v>
      </c>
      <c r="O138" s="99">
        <f t="shared" si="2"/>
        <v>1086068.9337108643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99"/>
    <col min="3" max="3" width="14.5" style="99" bestFit="1" customWidth="1"/>
    <col min="4" max="4" width="16.83203125" style="99" bestFit="1" customWidth="1"/>
    <col min="5" max="5" width="22.83203125" style="99" bestFit="1" customWidth="1"/>
    <col min="6" max="16384" width="8.83203125" style="99"/>
  </cols>
  <sheetData>
    <row r="1" spans="1:5">
      <c r="A1" s="98" t="s">
        <v>166</v>
      </c>
      <c r="B1" s="98" t="s">
        <v>167</v>
      </c>
      <c r="C1" s="98" t="s">
        <v>168</v>
      </c>
      <c r="D1" s="98" t="s">
        <v>169</v>
      </c>
      <c r="E1" s="98" t="s">
        <v>170</v>
      </c>
    </row>
    <row r="2" spans="1:5">
      <c r="A2" s="98" t="s">
        <v>126</v>
      </c>
      <c r="B2" s="98" t="s">
        <v>171</v>
      </c>
      <c r="C2" s="99" t="s">
        <v>59</v>
      </c>
      <c r="D2" s="99">
        <v>482</v>
      </c>
      <c r="E2" s="99">
        <v>578.4</v>
      </c>
    </row>
    <row r="3" spans="1:5">
      <c r="B3" s="98" t="s">
        <v>172</v>
      </c>
      <c r="C3" s="99" t="s">
        <v>59</v>
      </c>
      <c r="D3" s="99">
        <v>657</v>
      </c>
      <c r="E3" s="99">
        <v>788.4</v>
      </c>
    </row>
    <row r="4" spans="1:5">
      <c r="B4" s="98" t="s">
        <v>173</v>
      </c>
      <c r="C4" s="99" t="s">
        <v>59</v>
      </c>
      <c r="D4" s="99">
        <v>258</v>
      </c>
      <c r="E4" s="99">
        <v>309.59999999999997</v>
      </c>
    </row>
    <row r="5" spans="1:5">
      <c r="B5" s="98" t="s">
        <v>174</v>
      </c>
      <c r="C5" s="99" t="s">
        <v>59</v>
      </c>
      <c r="D5" s="99">
        <v>585</v>
      </c>
      <c r="E5" s="99">
        <v>702</v>
      </c>
    </row>
    <row r="6" spans="1:5">
      <c r="B6" s="98" t="s">
        <v>175</v>
      </c>
      <c r="C6" s="99" t="s">
        <v>59</v>
      </c>
      <c r="D6" s="99">
        <v>454</v>
      </c>
      <c r="E6" s="99">
        <v>544.79999999999995</v>
      </c>
    </row>
    <row r="7" spans="1:5">
      <c r="B7" s="98" t="s">
        <v>176</v>
      </c>
      <c r="C7" s="99" t="s">
        <v>59</v>
      </c>
      <c r="D7" s="99">
        <v>444</v>
      </c>
      <c r="E7" s="99">
        <v>532.79999999999995</v>
      </c>
    </row>
    <row r="8" spans="1:5">
      <c r="B8" s="98" t="s">
        <v>177</v>
      </c>
      <c r="C8" s="99" t="s">
        <v>59</v>
      </c>
      <c r="D8" s="99">
        <v>469</v>
      </c>
      <c r="E8" s="99">
        <v>562.79999999999995</v>
      </c>
    </row>
    <row r="9" spans="1:5">
      <c r="B9" s="98" t="s">
        <v>178</v>
      </c>
      <c r="C9" s="99" t="s">
        <v>59</v>
      </c>
      <c r="D9" s="99">
        <v>71</v>
      </c>
      <c r="E9" s="99">
        <v>85.2</v>
      </c>
    </row>
    <row r="10" spans="1:5">
      <c r="B10" s="98" t="s">
        <v>179</v>
      </c>
      <c r="C10" s="99" t="s">
        <v>59</v>
      </c>
      <c r="D10" s="99">
        <v>407</v>
      </c>
      <c r="E10" s="99">
        <v>488.4</v>
      </c>
    </row>
    <row r="11" spans="1:5">
      <c r="B11" s="98" t="s">
        <v>180</v>
      </c>
      <c r="C11" s="99" t="s">
        <v>59</v>
      </c>
      <c r="D11" s="99">
        <v>636</v>
      </c>
      <c r="E11" s="99">
        <v>763.19999999999993</v>
      </c>
    </row>
    <row r="12" spans="1:5">
      <c r="B12" s="98" t="s">
        <v>181</v>
      </c>
      <c r="C12" s="99" t="s">
        <v>59</v>
      </c>
      <c r="D12" s="99">
        <v>284</v>
      </c>
      <c r="E12" s="99">
        <v>340.8</v>
      </c>
    </row>
    <row r="13" spans="1:5">
      <c r="B13" s="98" t="s">
        <v>182</v>
      </c>
      <c r="C13" s="99" t="s">
        <v>59</v>
      </c>
      <c r="D13" s="99">
        <v>352</v>
      </c>
      <c r="E13" s="99">
        <v>422.4</v>
      </c>
    </row>
    <row r="14" spans="1:5">
      <c r="B14" s="98" t="s">
        <v>183</v>
      </c>
      <c r="C14" s="99" t="s">
        <v>59</v>
      </c>
      <c r="D14" s="99">
        <v>544</v>
      </c>
      <c r="E14" s="99">
        <v>652.79999999999995</v>
      </c>
    </row>
    <row r="15" spans="1:5">
      <c r="B15" s="98" t="s">
        <v>184</v>
      </c>
      <c r="C15" s="99" t="s">
        <v>59</v>
      </c>
      <c r="D15" s="99">
        <v>275</v>
      </c>
      <c r="E15" s="99">
        <v>330</v>
      </c>
    </row>
    <row r="16" spans="1:5">
      <c r="A16" s="98" t="s">
        <v>127</v>
      </c>
      <c r="B16" s="98" t="s">
        <v>185</v>
      </c>
      <c r="C16" s="99" t="s">
        <v>59</v>
      </c>
      <c r="D16" s="99">
        <v>239</v>
      </c>
      <c r="E16" s="99">
        <v>286.8</v>
      </c>
    </row>
    <row r="17" spans="2:5">
      <c r="B17" s="98" t="s">
        <v>186</v>
      </c>
      <c r="C17" s="99" t="s">
        <v>59</v>
      </c>
      <c r="D17" s="99">
        <v>52</v>
      </c>
      <c r="E17" s="99">
        <v>62.4</v>
      </c>
    </row>
    <row r="18" spans="2:5">
      <c r="B18" s="98" t="s">
        <v>187</v>
      </c>
      <c r="C18" s="99" t="s">
        <v>59</v>
      </c>
      <c r="D18" s="99">
        <v>156</v>
      </c>
      <c r="E18" s="99">
        <v>187.2</v>
      </c>
    </row>
    <row r="19" spans="2:5">
      <c r="B19" s="98" t="s">
        <v>188</v>
      </c>
      <c r="C19" s="99" t="s">
        <v>59</v>
      </c>
      <c r="D19" s="99">
        <v>245</v>
      </c>
      <c r="E19" s="99">
        <v>294</v>
      </c>
    </row>
    <row r="20" spans="2:5">
      <c r="B20" s="98" t="s">
        <v>189</v>
      </c>
      <c r="C20" s="99" t="s">
        <v>59</v>
      </c>
      <c r="D20" s="99">
        <v>306</v>
      </c>
      <c r="E20" s="99">
        <v>367.2</v>
      </c>
    </row>
    <row r="21" spans="2:5">
      <c r="B21" s="98" t="s">
        <v>190</v>
      </c>
      <c r="C21" s="99" t="s">
        <v>59</v>
      </c>
      <c r="D21" s="99">
        <v>442</v>
      </c>
      <c r="E21" s="99">
        <v>530.4</v>
      </c>
    </row>
    <row r="22" spans="2:5">
      <c r="B22" s="98" t="s">
        <v>191</v>
      </c>
      <c r="C22" s="99" t="s">
        <v>59</v>
      </c>
      <c r="D22" s="99">
        <v>405</v>
      </c>
      <c r="E22" s="99">
        <v>486</v>
      </c>
    </row>
    <row r="23" spans="2:5">
      <c r="B23" s="98" t="s">
        <v>192</v>
      </c>
      <c r="C23" s="99" t="s">
        <v>59</v>
      </c>
      <c r="D23" s="99">
        <v>356</v>
      </c>
      <c r="E23" s="99">
        <v>427.2</v>
      </c>
    </row>
    <row r="24" spans="2:5">
      <c r="B24" s="98" t="s">
        <v>193</v>
      </c>
      <c r="C24" s="99" t="s">
        <v>59</v>
      </c>
      <c r="D24" s="99">
        <v>615</v>
      </c>
      <c r="E24" s="99">
        <v>738</v>
      </c>
    </row>
    <row r="25" spans="2:5">
      <c r="B25" s="98" t="s">
        <v>194</v>
      </c>
      <c r="C25" s="99" t="s">
        <v>59</v>
      </c>
      <c r="D25" s="99">
        <v>282</v>
      </c>
      <c r="E25" s="99">
        <v>338.4</v>
      </c>
    </row>
    <row r="26" spans="2:5">
      <c r="B26" s="98" t="s">
        <v>195</v>
      </c>
      <c r="C26" s="99" t="s">
        <v>59</v>
      </c>
      <c r="D26" s="99">
        <v>116</v>
      </c>
      <c r="E26" s="99">
        <v>139.19999999999999</v>
      </c>
    </row>
    <row r="27" spans="2:5">
      <c r="B27" s="98" t="s">
        <v>196</v>
      </c>
      <c r="C27" s="99" t="s">
        <v>59</v>
      </c>
      <c r="D27" s="99">
        <v>284</v>
      </c>
      <c r="E27" s="99">
        <v>340.8</v>
      </c>
    </row>
    <row r="28" spans="2:5">
      <c r="B28" s="98" t="s">
        <v>197</v>
      </c>
      <c r="C28" s="99" t="s">
        <v>59</v>
      </c>
      <c r="D28" s="99">
        <v>700</v>
      </c>
      <c r="E28" s="99">
        <v>840</v>
      </c>
    </row>
    <row r="29" spans="2:5">
      <c r="B29" s="98" t="s">
        <v>198</v>
      </c>
      <c r="C29" s="99" t="s">
        <v>59</v>
      </c>
      <c r="D29" s="99">
        <v>395</v>
      </c>
      <c r="E29" s="99">
        <v>474</v>
      </c>
    </row>
    <row r="30" spans="2:5">
      <c r="B30" s="98" t="s">
        <v>199</v>
      </c>
      <c r="C30" s="99" t="s">
        <v>59</v>
      </c>
      <c r="D30" s="99">
        <v>457</v>
      </c>
      <c r="E30" s="99">
        <v>548.4</v>
      </c>
    </row>
    <row r="31" spans="2:5">
      <c r="B31" s="98" t="s">
        <v>200</v>
      </c>
      <c r="C31" s="99" t="s">
        <v>59</v>
      </c>
      <c r="D31" s="99">
        <v>419</v>
      </c>
      <c r="E31" s="99">
        <v>502.7999999999999</v>
      </c>
    </row>
    <row r="32" spans="2:5">
      <c r="B32" s="98" t="s">
        <v>201</v>
      </c>
      <c r="C32" s="99" t="s">
        <v>59</v>
      </c>
      <c r="D32" s="99">
        <v>634</v>
      </c>
      <c r="E32" s="99">
        <v>760.8</v>
      </c>
    </row>
    <row r="33" spans="1:5">
      <c r="A33" s="98" t="s">
        <v>128</v>
      </c>
      <c r="B33" s="98" t="s">
        <v>202</v>
      </c>
      <c r="C33" s="99" t="s">
        <v>59</v>
      </c>
      <c r="D33" s="99">
        <v>717</v>
      </c>
      <c r="E33" s="99">
        <v>860.4</v>
      </c>
    </row>
    <row r="34" spans="1:5">
      <c r="B34" s="98" t="s">
        <v>203</v>
      </c>
      <c r="C34" s="99" t="s">
        <v>59</v>
      </c>
      <c r="D34" s="99">
        <v>1035</v>
      </c>
      <c r="E34" s="99">
        <v>1242</v>
      </c>
    </row>
    <row r="35" spans="1:5">
      <c r="B35" s="98" t="s">
        <v>204</v>
      </c>
      <c r="C35" s="99" t="s">
        <v>59</v>
      </c>
      <c r="D35" s="99">
        <v>1186</v>
      </c>
      <c r="E35" s="99">
        <v>1423.2</v>
      </c>
    </row>
    <row r="36" spans="1:5">
      <c r="B36" s="98" t="s">
        <v>205</v>
      </c>
      <c r="C36" s="99" t="s">
        <v>59</v>
      </c>
      <c r="D36" s="99">
        <v>604</v>
      </c>
      <c r="E36" s="99">
        <v>724.8</v>
      </c>
    </row>
    <row r="37" spans="1:5">
      <c r="B37" s="98" t="s">
        <v>206</v>
      </c>
      <c r="C37" s="99" t="s">
        <v>59</v>
      </c>
      <c r="D37" s="99">
        <v>550</v>
      </c>
      <c r="E37" s="99">
        <v>660</v>
      </c>
    </row>
    <row r="38" spans="1:5">
      <c r="B38" s="98" t="s">
        <v>207</v>
      </c>
      <c r="C38" s="99" t="s">
        <v>59</v>
      </c>
      <c r="D38" s="99">
        <v>705</v>
      </c>
      <c r="E38" s="99">
        <v>846</v>
      </c>
    </row>
    <row r="39" spans="1:5">
      <c r="B39" s="98" t="s">
        <v>208</v>
      </c>
      <c r="C39" s="99" t="s">
        <v>59</v>
      </c>
      <c r="D39" s="99">
        <v>852</v>
      </c>
      <c r="E39" s="99">
        <v>1022.4</v>
      </c>
    </row>
    <row r="40" spans="1:5">
      <c r="B40" s="98" t="s">
        <v>209</v>
      </c>
      <c r="C40" s="99" t="s">
        <v>59</v>
      </c>
      <c r="D40" s="99">
        <v>852</v>
      </c>
      <c r="E40" s="99">
        <v>1022.4</v>
      </c>
    </row>
    <row r="41" spans="1:5">
      <c r="B41" s="98" t="s">
        <v>210</v>
      </c>
      <c r="C41" s="99" t="s">
        <v>59</v>
      </c>
      <c r="D41" s="99">
        <v>1041</v>
      </c>
      <c r="E41" s="99">
        <v>1249.2</v>
      </c>
    </row>
    <row r="42" spans="1:5">
      <c r="B42" s="98" t="s">
        <v>211</v>
      </c>
      <c r="C42" s="99" t="s">
        <v>59</v>
      </c>
      <c r="D42" s="99">
        <v>1010</v>
      </c>
      <c r="E42" s="99">
        <v>1212</v>
      </c>
    </row>
    <row r="43" spans="1:5">
      <c r="B43" s="98" t="s">
        <v>212</v>
      </c>
      <c r="C43" s="99" t="s">
        <v>59</v>
      </c>
      <c r="D43" s="99">
        <v>1273</v>
      </c>
      <c r="E43" s="99">
        <v>1527.6</v>
      </c>
    </row>
    <row r="44" spans="1:5">
      <c r="B44" s="98" t="s">
        <v>213</v>
      </c>
      <c r="C44" s="99" t="s">
        <v>59</v>
      </c>
      <c r="D44" s="99">
        <v>723</v>
      </c>
      <c r="E44" s="99">
        <v>867.6</v>
      </c>
    </row>
    <row r="45" spans="1:5">
      <c r="A45" s="98" t="s">
        <v>129</v>
      </c>
      <c r="B45" s="98" t="s">
        <v>214</v>
      </c>
      <c r="C45" s="99" t="s">
        <v>22</v>
      </c>
      <c r="D45" s="99">
        <v>821</v>
      </c>
      <c r="E45" s="99">
        <v>985.19999999999993</v>
      </c>
    </row>
    <row r="46" spans="1:5">
      <c r="B46" s="98" t="s">
        <v>215</v>
      </c>
      <c r="C46" s="99" t="s">
        <v>59</v>
      </c>
      <c r="D46" s="99">
        <v>235</v>
      </c>
      <c r="E46" s="99">
        <v>282</v>
      </c>
    </row>
    <row r="47" spans="1:5">
      <c r="B47" s="98" t="s">
        <v>216</v>
      </c>
      <c r="C47" s="99" t="s">
        <v>59</v>
      </c>
      <c r="D47" s="99">
        <v>712</v>
      </c>
      <c r="E47" s="99">
        <v>854.4</v>
      </c>
    </row>
    <row r="48" spans="1:5">
      <c r="B48" s="98" t="s">
        <v>217</v>
      </c>
      <c r="C48" s="99" t="s">
        <v>59</v>
      </c>
      <c r="D48" s="99">
        <v>450</v>
      </c>
      <c r="E48" s="99">
        <v>540</v>
      </c>
    </row>
    <row r="49" spans="2:5">
      <c r="B49" s="98" t="s">
        <v>218</v>
      </c>
      <c r="C49" s="99" t="s">
        <v>59</v>
      </c>
      <c r="D49" s="99">
        <v>339</v>
      </c>
      <c r="E49" s="99">
        <v>406.8</v>
      </c>
    </row>
    <row r="50" spans="2:5">
      <c r="B50" s="98" t="s">
        <v>219</v>
      </c>
      <c r="C50" s="99" t="s">
        <v>59</v>
      </c>
      <c r="D50" s="99">
        <v>279</v>
      </c>
      <c r="E50" s="99">
        <v>334.8</v>
      </c>
    </row>
    <row r="51" spans="2:5">
      <c r="B51" s="98" t="s">
        <v>220</v>
      </c>
      <c r="C51" s="99" t="s">
        <v>59</v>
      </c>
      <c r="D51" s="99">
        <v>553</v>
      </c>
      <c r="E51" s="99">
        <v>663.6</v>
      </c>
    </row>
    <row r="52" spans="2:5">
      <c r="B52" s="98" t="s">
        <v>221</v>
      </c>
      <c r="C52" s="99" t="s">
        <v>22</v>
      </c>
      <c r="D52" s="99">
        <v>959</v>
      </c>
      <c r="E52" s="99">
        <v>1150.8</v>
      </c>
    </row>
    <row r="53" spans="2:5">
      <c r="B53" s="98" t="s">
        <v>222</v>
      </c>
      <c r="C53" s="99" t="s">
        <v>59</v>
      </c>
      <c r="D53" s="99">
        <v>1176</v>
      </c>
      <c r="E53" s="99">
        <v>1411.2</v>
      </c>
    </row>
    <row r="54" spans="2:5">
      <c r="B54" s="98" t="s">
        <v>223</v>
      </c>
      <c r="C54" s="99" t="s">
        <v>22</v>
      </c>
      <c r="D54" s="99">
        <v>981</v>
      </c>
      <c r="E54" s="99">
        <v>1177.2</v>
      </c>
    </row>
    <row r="55" spans="2:5">
      <c r="B55" s="98" t="s">
        <v>224</v>
      </c>
      <c r="C55" s="99" t="s">
        <v>59</v>
      </c>
      <c r="D55" s="99">
        <v>253</v>
      </c>
      <c r="E55" s="99">
        <v>303.59999999999997</v>
      </c>
    </row>
    <row r="56" spans="2:5">
      <c r="B56" s="98" t="s">
        <v>225</v>
      </c>
      <c r="C56" s="99" t="s">
        <v>59</v>
      </c>
      <c r="D56" s="99">
        <v>543</v>
      </c>
      <c r="E56" s="99">
        <v>651.6</v>
      </c>
    </row>
    <row r="57" spans="2:5">
      <c r="B57" s="98" t="s">
        <v>226</v>
      </c>
      <c r="C57" s="99" t="s">
        <v>59</v>
      </c>
      <c r="D57" s="99">
        <v>793</v>
      </c>
      <c r="E57" s="99">
        <v>951.59999999999991</v>
      </c>
    </row>
    <row r="58" spans="2:5">
      <c r="B58" s="98" t="s">
        <v>227</v>
      </c>
      <c r="C58" s="99" t="s">
        <v>59</v>
      </c>
      <c r="D58" s="99">
        <v>1421</v>
      </c>
      <c r="E58" s="99">
        <v>1705.2</v>
      </c>
    </row>
    <row r="59" spans="2:5">
      <c r="B59" s="98" t="s">
        <v>228</v>
      </c>
      <c r="C59" s="99" t="s">
        <v>59</v>
      </c>
      <c r="D59" s="99">
        <v>663</v>
      </c>
      <c r="E59" s="99">
        <v>795.6</v>
      </c>
    </row>
    <row r="60" spans="2:5">
      <c r="B60" s="98" t="s">
        <v>229</v>
      </c>
      <c r="C60" s="99" t="s">
        <v>59</v>
      </c>
      <c r="D60" s="99">
        <v>841</v>
      </c>
      <c r="E60" s="99">
        <v>1009.1999999999998</v>
      </c>
    </row>
    <row r="61" spans="2:5">
      <c r="B61" s="98" t="s">
        <v>230</v>
      </c>
      <c r="C61" s="99" t="s">
        <v>59</v>
      </c>
      <c r="D61" s="99">
        <v>855</v>
      </c>
      <c r="E61" s="99">
        <v>1026</v>
      </c>
    </row>
    <row r="62" spans="2:5">
      <c r="B62" s="98" t="s">
        <v>231</v>
      </c>
      <c r="C62" s="99" t="s">
        <v>59</v>
      </c>
      <c r="D62" s="99">
        <v>992</v>
      </c>
      <c r="E62" s="99">
        <v>1190.3999999999999</v>
      </c>
    </row>
    <row r="63" spans="2:5">
      <c r="B63" s="98" t="s">
        <v>232</v>
      </c>
      <c r="C63" s="99" t="s">
        <v>59</v>
      </c>
      <c r="D63" s="99">
        <v>936</v>
      </c>
      <c r="E63" s="99">
        <v>1123.2</v>
      </c>
    </row>
    <row r="64" spans="2:5">
      <c r="B64" s="98" t="s">
        <v>233</v>
      </c>
      <c r="C64" s="99" t="s">
        <v>59</v>
      </c>
      <c r="D64" s="99">
        <v>861</v>
      </c>
      <c r="E64" s="99">
        <v>1033.2</v>
      </c>
    </row>
    <row r="65" spans="1:5">
      <c r="B65" s="98" t="s">
        <v>234</v>
      </c>
      <c r="C65" s="99" t="s">
        <v>59</v>
      </c>
      <c r="D65" s="99">
        <v>632</v>
      </c>
      <c r="E65" s="99">
        <v>758.4</v>
      </c>
    </row>
    <row r="66" spans="1:5">
      <c r="B66" s="98" t="s">
        <v>235</v>
      </c>
      <c r="C66" s="99" t="s">
        <v>59</v>
      </c>
      <c r="D66" s="99">
        <v>446</v>
      </c>
      <c r="E66" s="99">
        <v>535.19999999999993</v>
      </c>
    </row>
    <row r="67" spans="1:5">
      <c r="A67" s="98" t="s">
        <v>130</v>
      </c>
      <c r="B67" s="98" t="s">
        <v>236</v>
      </c>
      <c r="C67" s="99" t="s">
        <v>22</v>
      </c>
      <c r="D67" s="99">
        <v>470</v>
      </c>
      <c r="E67" s="99">
        <v>564</v>
      </c>
    </row>
    <row r="68" spans="1:5">
      <c r="B68" s="98" t="s">
        <v>237</v>
      </c>
      <c r="C68" s="99" t="s">
        <v>22</v>
      </c>
      <c r="D68" s="99">
        <v>62</v>
      </c>
      <c r="E68" s="99">
        <v>74.399999999999991</v>
      </c>
    </row>
    <row r="69" spans="1:5">
      <c r="B69" s="98" t="s">
        <v>238</v>
      </c>
      <c r="C69" s="99" t="s">
        <v>22</v>
      </c>
      <c r="D69" s="99">
        <v>466</v>
      </c>
      <c r="E69" s="99">
        <v>559.19999999999993</v>
      </c>
    </row>
    <row r="70" spans="1:5">
      <c r="B70" s="98" t="s">
        <v>239</v>
      </c>
      <c r="C70" s="99" t="s">
        <v>22</v>
      </c>
      <c r="D70" s="99">
        <v>336</v>
      </c>
      <c r="E70" s="99">
        <v>403.2</v>
      </c>
    </row>
    <row r="71" spans="1:5">
      <c r="B71" s="98" t="s">
        <v>240</v>
      </c>
      <c r="C71" s="99" t="s">
        <v>22</v>
      </c>
      <c r="D71" s="99">
        <v>536</v>
      </c>
      <c r="E71" s="99">
        <v>643.19999999999993</v>
      </c>
    </row>
    <row r="72" spans="1:5">
      <c r="B72" s="98" t="s">
        <v>241</v>
      </c>
      <c r="C72" s="99" t="s">
        <v>22</v>
      </c>
      <c r="D72" s="99">
        <v>649</v>
      </c>
      <c r="E72" s="99">
        <v>778.8</v>
      </c>
    </row>
    <row r="73" spans="1:5">
      <c r="B73" s="98" t="s">
        <v>242</v>
      </c>
      <c r="C73" s="99" t="s">
        <v>22</v>
      </c>
      <c r="D73" s="99">
        <v>232</v>
      </c>
      <c r="E73" s="99">
        <v>278.39999999999998</v>
      </c>
    </row>
    <row r="74" spans="1:5">
      <c r="B74" s="98" t="s">
        <v>243</v>
      </c>
      <c r="C74" s="99" t="s">
        <v>22</v>
      </c>
      <c r="D74" s="99">
        <v>460</v>
      </c>
      <c r="E74" s="99">
        <v>552</v>
      </c>
    </row>
    <row r="75" spans="1:5">
      <c r="B75" s="98" t="s">
        <v>244</v>
      </c>
      <c r="C75" s="99" t="s">
        <v>22</v>
      </c>
      <c r="D75" s="99">
        <v>631</v>
      </c>
      <c r="E75" s="99">
        <v>757.19999999999993</v>
      </c>
    </row>
    <row r="76" spans="1:5">
      <c r="B76" s="98" t="s">
        <v>245</v>
      </c>
      <c r="C76" s="99" t="s">
        <v>22</v>
      </c>
      <c r="D76" s="99">
        <v>671</v>
      </c>
      <c r="E76" s="99">
        <v>805.19999999999993</v>
      </c>
    </row>
    <row r="77" spans="1:5">
      <c r="B77" s="98" t="s">
        <v>246</v>
      </c>
      <c r="C77" s="99" t="s">
        <v>22</v>
      </c>
      <c r="D77" s="99">
        <v>628</v>
      </c>
      <c r="E77" s="99">
        <v>753.6</v>
      </c>
    </row>
    <row r="78" spans="1:5">
      <c r="B78" s="98" t="s">
        <v>247</v>
      </c>
      <c r="C78" s="99" t="s">
        <v>22</v>
      </c>
      <c r="D78" s="99">
        <v>424</v>
      </c>
      <c r="E78" s="99">
        <v>508.7999999999999</v>
      </c>
    </row>
    <row r="79" spans="1:5">
      <c r="B79" s="98" t="s">
        <v>248</v>
      </c>
      <c r="C79" s="99" t="s">
        <v>22</v>
      </c>
      <c r="D79" s="99">
        <v>717</v>
      </c>
      <c r="E79" s="99">
        <v>860.4</v>
      </c>
    </row>
    <row r="80" spans="1:5">
      <c r="B80" s="98" t="s">
        <v>249</v>
      </c>
      <c r="C80" s="99" t="s">
        <v>22</v>
      </c>
      <c r="D80" s="99">
        <v>651</v>
      </c>
      <c r="E80" s="99">
        <v>781.19999999999993</v>
      </c>
    </row>
    <row r="81" spans="1:5">
      <c r="B81" s="98" t="s">
        <v>250</v>
      </c>
      <c r="C81" s="99" t="s">
        <v>22</v>
      </c>
      <c r="D81" s="99">
        <v>125</v>
      </c>
      <c r="E81" s="99">
        <v>150</v>
      </c>
    </row>
    <row r="82" spans="1:5">
      <c r="B82" s="98" t="s">
        <v>251</v>
      </c>
      <c r="C82" s="99" t="s">
        <v>22</v>
      </c>
      <c r="D82" s="99">
        <v>450</v>
      </c>
      <c r="E82" s="99">
        <v>540</v>
      </c>
    </row>
    <row r="83" spans="1:5">
      <c r="A83" s="98" t="s">
        <v>131</v>
      </c>
      <c r="B83" s="98" t="s">
        <v>252</v>
      </c>
      <c r="C83" s="99" t="s">
        <v>22</v>
      </c>
      <c r="D83" s="99">
        <v>1629</v>
      </c>
      <c r="E83" s="99">
        <v>1954.8</v>
      </c>
    </row>
    <row r="84" spans="1:5">
      <c r="B84" s="98" t="s">
        <v>253</v>
      </c>
      <c r="C84" s="99" t="s">
        <v>22</v>
      </c>
      <c r="D84" s="99">
        <v>1577</v>
      </c>
      <c r="E84" s="99">
        <v>1892.3999999999999</v>
      </c>
    </row>
    <row r="85" spans="1:5">
      <c r="B85" s="98" t="s">
        <v>254</v>
      </c>
      <c r="C85" s="99" t="s">
        <v>22</v>
      </c>
      <c r="D85" s="99">
        <v>1998</v>
      </c>
      <c r="E85" s="99">
        <v>2397.6</v>
      </c>
    </row>
    <row r="86" spans="1:5">
      <c r="B86" s="98" t="s">
        <v>255</v>
      </c>
      <c r="C86" s="99" t="s">
        <v>22</v>
      </c>
      <c r="D86" s="99">
        <v>1831</v>
      </c>
      <c r="E86" s="99">
        <v>2197.1999999999998</v>
      </c>
    </row>
    <row r="87" spans="1:5">
      <c r="B87" s="98" t="s">
        <v>256</v>
      </c>
      <c r="C87" s="99" t="s">
        <v>22</v>
      </c>
      <c r="D87" s="99">
        <v>1914</v>
      </c>
      <c r="E87" s="99">
        <v>2296.7999999999997</v>
      </c>
    </row>
    <row r="88" spans="1:5">
      <c r="B88" s="98" t="s">
        <v>257</v>
      </c>
      <c r="C88" s="99" t="s">
        <v>22</v>
      </c>
      <c r="D88" s="99">
        <v>1184</v>
      </c>
      <c r="E88" s="99">
        <v>1420.8</v>
      </c>
    </row>
    <row r="89" spans="1:5">
      <c r="B89" s="98" t="s">
        <v>258</v>
      </c>
      <c r="C89" s="99" t="s">
        <v>22</v>
      </c>
      <c r="D89" s="99">
        <v>1477</v>
      </c>
      <c r="E89" s="99">
        <v>1772.3999999999999</v>
      </c>
    </row>
    <row r="90" spans="1:5">
      <c r="B90" s="98" t="s">
        <v>259</v>
      </c>
      <c r="C90" s="99" t="s">
        <v>22</v>
      </c>
      <c r="D90" s="99">
        <v>1996</v>
      </c>
      <c r="E90" s="99">
        <v>2395.1999999999998</v>
      </c>
    </row>
    <row r="91" spans="1:5">
      <c r="A91" s="98" t="s">
        <v>132</v>
      </c>
      <c r="B91" s="98" t="s">
        <v>260</v>
      </c>
      <c r="C91" s="99" t="s">
        <v>22</v>
      </c>
      <c r="D91" s="99">
        <v>1444</v>
      </c>
      <c r="E91" s="99">
        <v>1732.8</v>
      </c>
    </row>
    <row r="92" spans="1:5">
      <c r="B92" s="98" t="s">
        <v>261</v>
      </c>
      <c r="C92" s="99" t="s">
        <v>22</v>
      </c>
      <c r="D92" s="99">
        <v>686</v>
      </c>
      <c r="E92" s="99">
        <v>823.19999999999993</v>
      </c>
    </row>
    <row r="93" spans="1:5">
      <c r="B93" s="98" t="s">
        <v>262</v>
      </c>
      <c r="C93" s="99" t="s">
        <v>22</v>
      </c>
      <c r="D93" s="99">
        <v>1524</v>
      </c>
      <c r="E93" s="99">
        <v>1828.8</v>
      </c>
    </row>
    <row r="94" spans="1:5">
      <c r="B94" s="98" t="s">
        <v>263</v>
      </c>
      <c r="C94" s="99" t="s">
        <v>22</v>
      </c>
      <c r="D94" s="99">
        <v>1053</v>
      </c>
      <c r="E94" s="99">
        <v>1263.5999999999999</v>
      </c>
    </row>
    <row r="95" spans="1:5">
      <c r="B95" s="98" t="s">
        <v>264</v>
      </c>
      <c r="C95" s="99" t="s">
        <v>22</v>
      </c>
      <c r="D95" s="99">
        <v>4568</v>
      </c>
      <c r="E95" s="99">
        <v>5481.5999999999995</v>
      </c>
    </row>
    <row r="96" spans="1:5">
      <c r="B96" s="98" t="s">
        <v>265</v>
      </c>
      <c r="C96" s="99" t="s">
        <v>22</v>
      </c>
      <c r="D96" s="99">
        <v>1352</v>
      </c>
      <c r="E96" s="99">
        <v>1622.3999999999999</v>
      </c>
    </row>
    <row r="97" spans="2:5">
      <c r="B97" s="98" t="s">
        <v>266</v>
      </c>
      <c r="C97" s="99" t="s">
        <v>22</v>
      </c>
      <c r="D97" s="99">
        <v>992</v>
      </c>
      <c r="E97" s="99">
        <v>1190.3999999999999</v>
      </c>
    </row>
    <row r="98" spans="2:5">
      <c r="B98" s="98" t="s">
        <v>267</v>
      </c>
      <c r="C98" s="99" t="s">
        <v>22</v>
      </c>
      <c r="D98" s="99">
        <v>1616</v>
      </c>
      <c r="E98" s="99">
        <v>1939.1999999999998</v>
      </c>
    </row>
    <row r="99" spans="2:5">
      <c r="B99" s="98" t="s">
        <v>268</v>
      </c>
      <c r="C99" s="99" t="s">
        <v>22</v>
      </c>
      <c r="D99" s="99">
        <v>1690</v>
      </c>
      <c r="E99" s="99">
        <v>2028</v>
      </c>
    </row>
    <row r="100" spans="2:5">
      <c r="B100" s="98" t="s">
        <v>269</v>
      </c>
      <c r="C100" s="99" t="s">
        <v>22</v>
      </c>
      <c r="D100" s="99">
        <v>1727</v>
      </c>
      <c r="E100" s="99">
        <v>2072.4</v>
      </c>
    </row>
    <row r="101" spans="2:5">
      <c r="B101" s="98" t="s">
        <v>270</v>
      </c>
      <c r="C101" s="99" t="s">
        <v>22</v>
      </c>
      <c r="D101" s="99">
        <v>1665</v>
      </c>
      <c r="E101" s="99">
        <v>1998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Student</cp:lastModifiedBy>
  <dcterms:created xsi:type="dcterms:W3CDTF">2003-07-09T21:14:27Z</dcterms:created>
  <dcterms:modified xsi:type="dcterms:W3CDTF">2014-11-20T22:32:50Z</dcterms:modified>
</cp:coreProperties>
</file>