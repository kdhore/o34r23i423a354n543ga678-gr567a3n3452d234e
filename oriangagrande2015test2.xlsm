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 defaultThemeVersion="124226"/>
  <bookViews>
    <workbookView xWindow="0" yWindow="60" windowWidth="20730" windowHeight="1170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7" i="7" l="1"/>
  <c r="C29" i="7"/>
  <c r="N48" i="6"/>
  <c r="M48" i="6"/>
  <c r="L48" i="6"/>
  <c r="K48" i="6"/>
  <c r="J48" i="6"/>
  <c r="I48" i="6"/>
  <c r="H48" i="6"/>
  <c r="G48" i="6"/>
  <c r="F48" i="6"/>
  <c r="E48" i="6"/>
  <c r="D48" i="6"/>
  <c r="N47" i="6"/>
  <c r="M47" i="6"/>
  <c r="L47" i="6"/>
  <c r="K47" i="6"/>
  <c r="J47" i="6"/>
  <c r="I47" i="6"/>
  <c r="H47" i="6"/>
  <c r="G47" i="6"/>
  <c r="F47" i="6"/>
  <c r="E47" i="6"/>
  <c r="D47" i="6"/>
  <c r="C47" i="6"/>
  <c r="C48" i="6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  <c r="I6" i="7"/>
</calcChain>
</file>

<file path=xl/sharedStrings.xml><?xml version="1.0" encoding="utf-8"?>
<sst xmlns="http://schemas.openxmlformats.org/spreadsheetml/2006/main" count="516" uniqueCount="168">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</sst>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6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6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7" t="s">
        <v>165</v>
      </c>
      <c r="E4" s="98"/>
      <c r="F4" s="99"/>
    </row>
    <row r="5" spans="2:6" x14ac:dyDescent="0.2">
      <c r="B5" s="6"/>
      <c r="C5" s="7" t="s">
        <v>111</v>
      </c>
      <c r="D5" s="100">
        <v>2015</v>
      </c>
      <c r="E5" s="101"/>
      <c r="F5" s="102"/>
    </row>
    <row r="6" spans="2:6" x14ac:dyDescent="0.2">
      <c r="B6" s="3"/>
      <c r="C6" s="3"/>
      <c r="D6" s="3"/>
      <c r="E6" s="3"/>
      <c r="F6" s="3"/>
    </row>
  </sheetData>
  <sheetProtection algorithmName="SHA-512" hashValue="H5HwKazfE7eYw72bYu0FMdonNxSp/RGB1QBU7GUqr8UBDyVgDoeAxnmPEva9b8X2LM2TIDvVU17iCJG9PgEkXQ==" saltValue="7W73ruX1b3iBkovSzt8wV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defaultColWidth="8.8554687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8.8554687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 x14ac:dyDescent="0.2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 x14ac:dyDescent="0.2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>
        <v>-31000</v>
      </c>
      <c r="D39" s="14">
        <v>35000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 x14ac:dyDescent="0.2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4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4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4">
        <v>0</v>
      </c>
      <c r="D63" s="15">
        <v>10000</v>
      </c>
      <c r="E63" s="15" t="s">
        <v>167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 x14ac:dyDescent="0.2">
      <c r="B64" s="14" t="s">
        <v>47</v>
      </c>
      <c r="C64" s="84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4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4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4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4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4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4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4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4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4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4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4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4">
        <v>-20000</v>
      </c>
      <c r="D76" s="15">
        <v>40000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 x14ac:dyDescent="0.2">
      <c r="B77" s="14" t="s">
        <v>60</v>
      </c>
      <c r="C77" s="84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4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4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4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4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4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4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4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4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4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4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4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4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4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4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4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4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4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4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4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4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4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4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4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4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4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4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4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4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4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KqMXRG2Omwt5upLWrj/o2IBI+4wNa8xNRYzkuCgjB4QotG4x0poY7U9p1o6QmKz7C757VVGO2H+Y95AO9FMjNg==" saltValue="oO/31eLaiN4zDc1Oe2aFa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defaultColWidth="8.8554687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8.8554687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531.37386000000004</v>
      </c>
      <c r="D6" s="86">
        <v>531.37386000000004</v>
      </c>
      <c r="E6" s="86">
        <v>531.37386000000004</v>
      </c>
      <c r="F6" s="86">
        <v>531.37386000000004</v>
      </c>
      <c r="G6" s="86">
        <v>531.37386000000004</v>
      </c>
      <c r="H6" s="86">
        <v>531.37386000000004</v>
      </c>
      <c r="I6" s="86">
        <v>531.37386000000004</v>
      </c>
      <c r="J6" s="86">
        <v>531.37386000000004</v>
      </c>
      <c r="K6" s="86">
        <v>531.37386000000004</v>
      </c>
      <c r="L6" s="86">
        <v>531.37386000000004</v>
      </c>
      <c r="M6" s="86">
        <v>531.37386000000004</v>
      </c>
      <c r="N6" s="86">
        <v>531.37386000000004</v>
      </c>
    </row>
    <row r="7" spans="2:14" x14ac:dyDescent="0.2">
      <c r="B7" s="36" t="s">
        <v>105</v>
      </c>
      <c r="C7" s="87">
        <v>533.05227000000002</v>
      </c>
      <c r="D7" s="87">
        <v>533.05227000000002</v>
      </c>
      <c r="E7" s="87">
        <v>533.05227000000002</v>
      </c>
      <c r="F7" s="87">
        <v>533.05227000000002</v>
      </c>
      <c r="G7" s="87">
        <v>533.05227000000002</v>
      </c>
      <c r="H7" s="87">
        <v>533.05227000000002</v>
      </c>
      <c r="I7" s="87">
        <v>533.05227000000002</v>
      </c>
      <c r="J7" s="87">
        <v>533.05227000000002</v>
      </c>
      <c r="K7" s="87">
        <v>533.05227000000002</v>
      </c>
      <c r="L7" s="87">
        <v>533.05227000000002</v>
      </c>
      <c r="M7" s="87">
        <v>533.05227000000002</v>
      </c>
      <c r="N7" s="87">
        <v>533.05227000000002</v>
      </c>
    </row>
    <row r="8" spans="2:14" x14ac:dyDescent="0.2">
      <c r="B8" s="36" t="s">
        <v>106</v>
      </c>
      <c r="C8" s="87">
        <v>536.27301</v>
      </c>
      <c r="D8" s="87">
        <v>536.27301</v>
      </c>
      <c r="E8" s="87">
        <v>536.27301</v>
      </c>
      <c r="F8" s="87">
        <v>536.27301</v>
      </c>
      <c r="G8" s="87">
        <v>536.27301</v>
      </c>
      <c r="H8" s="87">
        <v>536.27301</v>
      </c>
      <c r="I8" s="87">
        <v>536.27301</v>
      </c>
      <c r="J8" s="87">
        <v>536.27301</v>
      </c>
      <c r="K8" s="87">
        <v>536.27301</v>
      </c>
      <c r="L8" s="87">
        <v>536.27301</v>
      </c>
      <c r="M8" s="87">
        <v>536.27301</v>
      </c>
      <c r="N8" s="87">
        <v>536.27301</v>
      </c>
    </row>
    <row r="9" spans="2:14" x14ac:dyDescent="0.2">
      <c r="B9" s="36" t="s">
        <v>107</v>
      </c>
      <c r="C9" s="87">
        <v>575.71749</v>
      </c>
      <c r="D9" s="87">
        <v>575.71749</v>
      </c>
      <c r="E9" s="87">
        <v>575.71749</v>
      </c>
      <c r="F9" s="87">
        <v>575.71749</v>
      </c>
      <c r="G9" s="87">
        <v>575.71749</v>
      </c>
      <c r="H9" s="87">
        <v>575.71749</v>
      </c>
      <c r="I9" s="87">
        <v>575.71749</v>
      </c>
      <c r="J9" s="87">
        <v>575.71749</v>
      </c>
      <c r="K9" s="87">
        <v>575.71749</v>
      </c>
      <c r="L9" s="87">
        <v>575.71749</v>
      </c>
      <c r="M9" s="87">
        <v>575.71749</v>
      </c>
      <c r="N9" s="87">
        <v>575.71749</v>
      </c>
    </row>
    <row r="10" spans="2:14" x14ac:dyDescent="0.2">
      <c r="B10" s="36" t="s">
        <v>108</v>
      </c>
      <c r="C10" s="87">
        <v>531.37386000000004</v>
      </c>
      <c r="D10" s="87">
        <v>531.37386000000004</v>
      </c>
      <c r="E10" s="87">
        <v>531.37386000000004</v>
      </c>
      <c r="F10" s="87">
        <v>531.37386000000004</v>
      </c>
      <c r="G10" s="87">
        <v>531.37386000000004</v>
      </c>
      <c r="H10" s="87">
        <v>531.37386000000004</v>
      </c>
      <c r="I10" s="87">
        <v>531.37386000000004</v>
      </c>
      <c r="J10" s="87">
        <v>531.37386000000004</v>
      </c>
      <c r="K10" s="87">
        <v>531.37386000000004</v>
      </c>
      <c r="L10" s="87">
        <v>531.37386000000004</v>
      </c>
      <c r="M10" s="87">
        <v>531.37386000000004</v>
      </c>
      <c r="N10" s="87">
        <v>531.37386000000004</v>
      </c>
    </row>
    <row r="11" spans="2:14" x14ac:dyDescent="0.2">
      <c r="B11" s="37" t="s">
        <v>109</v>
      </c>
      <c r="C11" s="87">
        <v>531.37386000000004</v>
      </c>
      <c r="D11" s="87">
        <v>531.37386000000004</v>
      </c>
      <c r="E11" s="87">
        <v>531.37386000000004</v>
      </c>
      <c r="F11" s="87">
        <v>531.37386000000004</v>
      </c>
      <c r="G11" s="87">
        <v>531.37386000000004</v>
      </c>
      <c r="H11" s="87">
        <v>531.37386000000004</v>
      </c>
      <c r="I11" s="87">
        <v>531.37386000000004</v>
      </c>
      <c r="J11" s="87">
        <v>531.37386000000004</v>
      </c>
      <c r="K11" s="87">
        <v>531.37386000000004</v>
      </c>
      <c r="L11" s="87">
        <v>531.37386000000004</v>
      </c>
      <c r="M11" s="87">
        <v>531.37386000000004</v>
      </c>
      <c r="N11" s="87">
        <v>531.37386000000004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89">
        <v>1.2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 x14ac:dyDescent="0.2">
      <c r="B18" s="36" t="s">
        <v>105</v>
      </c>
      <c r="C18" s="89">
        <v>1.2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 x14ac:dyDescent="0.2">
      <c r="B19" s="36" t="s">
        <v>106</v>
      </c>
      <c r="C19" s="89">
        <v>1.2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 x14ac:dyDescent="0.2">
      <c r="B20" s="36" t="s">
        <v>107</v>
      </c>
      <c r="C20" s="89">
        <v>1.2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 x14ac:dyDescent="0.2">
      <c r="B21" s="36" t="s">
        <v>108</v>
      </c>
      <c r="C21" s="89">
        <v>1.2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 x14ac:dyDescent="0.2">
      <c r="B22" s="37" t="s">
        <v>109</v>
      </c>
      <c r="C22" s="89">
        <v>1.2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2015</v>
      </c>
      <c r="D30" s="44">
        <v>0.79134866785137714</v>
      </c>
      <c r="E30" s="35">
        <v>0</v>
      </c>
      <c r="F30" s="47">
        <v>0.78025454004669703</v>
      </c>
      <c r="G30" s="46">
        <v>0</v>
      </c>
      <c r="H30" s="47">
        <v>0.94329895279397902</v>
      </c>
      <c r="I30" s="46">
        <v>0</v>
      </c>
      <c r="J30" s="47">
        <v>0.87493995418983028</v>
      </c>
      <c r="K30" s="46">
        <v>0</v>
      </c>
      <c r="L30" s="47">
        <v>0.78439515503861812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2016</v>
      </c>
      <c r="D31" s="76"/>
      <c r="E31" s="75"/>
      <c r="F31" s="69">
        <v>0.76975257071765368</v>
      </c>
      <c r="G31" s="79">
        <v>0</v>
      </c>
      <c r="H31" s="61">
        <v>0.86235916043001337</v>
      </c>
      <c r="I31" s="62">
        <v>0</v>
      </c>
      <c r="J31" s="61">
        <v>0.83860677402910089</v>
      </c>
      <c r="K31" s="62">
        <v>0</v>
      </c>
      <c r="L31" s="61">
        <v>0.7848152178006883</v>
      </c>
      <c r="M31" s="62">
        <v>0</v>
      </c>
      <c r="N31" s="63">
        <v>0.92524257787922448</v>
      </c>
      <c r="O31" s="88">
        <v>1145.3</v>
      </c>
      <c r="P31" s="63">
        <f>O31+M31+K31+I31+G31</f>
        <v>1145.3</v>
      </c>
    </row>
    <row r="32" spans="2:33" x14ac:dyDescent="0.2">
      <c r="B32" s="36"/>
      <c r="C32" s="47">
        <f>basic_info!$D$5+2</f>
        <v>2017</v>
      </c>
      <c r="D32" s="76"/>
      <c r="E32" s="75"/>
      <c r="F32" s="75"/>
      <c r="G32" s="75"/>
      <c r="H32" s="69">
        <v>0.82723927824938992</v>
      </c>
      <c r="I32" s="79">
        <v>0</v>
      </c>
      <c r="J32" s="61">
        <v>0.78982841454849262</v>
      </c>
      <c r="K32" s="62">
        <v>0</v>
      </c>
      <c r="L32" s="61">
        <v>0.73764396117770215</v>
      </c>
      <c r="M32" s="62">
        <v>8000</v>
      </c>
      <c r="N32" s="63">
        <v>0.89619567162872515</v>
      </c>
      <c r="O32" s="88">
        <v>0</v>
      </c>
      <c r="P32" s="63">
        <f>O32+M32+K32+I32</f>
        <v>8000</v>
      </c>
    </row>
    <row r="33" spans="2:17" x14ac:dyDescent="0.2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0.72411525202691562</v>
      </c>
      <c r="K33" s="79">
        <v>0</v>
      </c>
      <c r="L33" s="61">
        <v>0.71135030767163665</v>
      </c>
      <c r="M33" s="62">
        <v>8000</v>
      </c>
      <c r="N33" s="63">
        <v>0.84236191971130692</v>
      </c>
      <c r="O33" s="88">
        <v>0</v>
      </c>
      <c r="P33" s="63">
        <f>O33+M33+K33</f>
        <v>8000</v>
      </c>
    </row>
    <row r="34" spans="2:17" x14ac:dyDescent="0.2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0.67168145499527454</v>
      </c>
      <c r="M34" s="79">
        <v>8000</v>
      </c>
      <c r="N34" s="63">
        <v>0.80404254385936813</v>
      </c>
      <c r="O34" s="88">
        <v>0</v>
      </c>
      <c r="P34" s="63">
        <f>O34+M34</f>
        <v>8000</v>
      </c>
    </row>
    <row r="35" spans="2:17" x14ac:dyDescent="0.2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0.74553772844970234</v>
      </c>
      <c r="O35" s="88">
        <v>1145.3</v>
      </c>
      <c r="P35" s="65">
        <f>O35</f>
        <v>1145.3</v>
      </c>
    </row>
    <row r="36" spans="2:17" x14ac:dyDescent="0.2">
      <c r="B36" s="41" t="s">
        <v>113</v>
      </c>
      <c r="C36" s="36">
        <f>basic_info!$D$5</f>
        <v>2015</v>
      </c>
      <c r="D36" s="44">
        <v>1.0762337405940841</v>
      </c>
      <c r="E36" s="35">
        <v>0</v>
      </c>
      <c r="F36" s="73">
        <v>1.0404514613486917</v>
      </c>
      <c r="G36" s="74">
        <v>0</v>
      </c>
      <c r="H36" s="73">
        <v>0.89286179766970553</v>
      </c>
      <c r="I36" s="74">
        <v>0</v>
      </c>
      <c r="J36" s="73">
        <v>1.2305005066511776</v>
      </c>
      <c r="K36" s="74">
        <v>0</v>
      </c>
      <c r="L36" s="66">
        <v>1.0549979141770345</v>
      </c>
      <c r="M36" s="67">
        <v>10000</v>
      </c>
      <c r="N36" s="68"/>
      <c r="O36" s="71" t="s">
        <v>162</v>
      </c>
      <c r="P36" s="41">
        <f>M36+K36+I36+E36+G36</f>
        <v>10000</v>
      </c>
      <c r="Q36" s="70"/>
    </row>
    <row r="37" spans="2:17" x14ac:dyDescent="0.2">
      <c r="B37" s="36"/>
      <c r="C37" s="47">
        <f>basic_info!$D$5+1</f>
        <v>2016</v>
      </c>
      <c r="D37" s="76"/>
      <c r="E37" s="75"/>
      <c r="F37" s="69">
        <v>1.0296840787328012</v>
      </c>
      <c r="G37" s="79">
        <v>0</v>
      </c>
      <c r="H37" s="61">
        <v>0.89692452423078717</v>
      </c>
      <c r="I37" s="62">
        <v>0</v>
      </c>
      <c r="J37" s="61">
        <v>1.1330883338899427</v>
      </c>
      <c r="K37" s="62">
        <v>0</v>
      </c>
      <c r="L37" s="61">
        <v>0.96974342417907566</v>
      </c>
      <c r="M37" s="62">
        <v>10500</v>
      </c>
      <c r="N37" s="61">
        <v>1.233785181788428</v>
      </c>
      <c r="O37" s="88">
        <v>0</v>
      </c>
      <c r="P37" s="63">
        <f>O37+M37+K37+I37+G37</f>
        <v>10500</v>
      </c>
    </row>
    <row r="38" spans="2:17" x14ac:dyDescent="0.2">
      <c r="B38" s="36"/>
      <c r="C38" s="47">
        <f>basic_info!$D$5+2</f>
        <v>2017</v>
      </c>
      <c r="D38" s="76"/>
      <c r="E38" s="75"/>
      <c r="F38" s="75"/>
      <c r="G38" s="75"/>
      <c r="H38" s="69">
        <v>0.90603754280275017</v>
      </c>
      <c r="I38" s="79">
        <v>0</v>
      </c>
      <c r="J38" s="61">
        <v>1.0875125598816084</v>
      </c>
      <c r="K38" s="62">
        <v>0</v>
      </c>
      <c r="L38" s="61">
        <v>0.93160995934739854</v>
      </c>
      <c r="M38" s="62">
        <v>11000</v>
      </c>
      <c r="N38" s="61">
        <v>1.1406943529243774</v>
      </c>
      <c r="O38" s="88">
        <v>0</v>
      </c>
      <c r="P38" s="63">
        <f>O38+M38+K38+I38</f>
        <v>11000</v>
      </c>
    </row>
    <row r="39" spans="2:17" x14ac:dyDescent="0.2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0.99511689269542691</v>
      </c>
      <c r="K39" s="79">
        <v>0</v>
      </c>
      <c r="L39" s="61">
        <v>0.88880183448123806</v>
      </c>
      <c r="M39" s="62">
        <v>11500</v>
      </c>
      <c r="N39" s="61">
        <v>1.0484299690065144</v>
      </c>
      <c r="O39" s="88">
        <v>0</v>
      </c>
      <c r="P39" s="63">
        <f>O39+M39+K39</f>
        <v>11500</v>
      </c>
    </row>
    <row r="40" spans="2:17" x14ac:dyDescent="0.2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0.87392979428172113</v>
      </c>
      <c r="M40" s="79">
        <v>12000</v>
      </c>
      <c r="N40" s="61">
        <v>1.0036399921766941</v>
      </c>
      <c r="O40" s="88">
        <v>0</v>
      </c>
      <c r="P40" s="63">
        <f>O40+M40</f>
        <v>12000</v>
      </c>
    </row>
    <row r="41" spans="2:17" x14ac:dyDescent="0.2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0.93049090272188195</v>
      </c>
      <c r="O41" s="88">
        <v>298.27199999999999</v>
      </c>
      <c r="P41" s="64">
        <f>O41</f>
        <v>298.27199999999999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1">
        <f t="shared" ref="C47:N48" si="0">100/12</f>
        <v>8.3333333333333339</v>
      </c>
      <c r="D47" s="91">
        <f t="shared" si="0"/>
        <v>8.3333333333333339</v>
      </c>
      <c r="E47" s="91">
        <f t="shared" si="0"/>
        <v>8.3333333333333339</v>
      </c>
      <c r="F47" s="91">
        <f t="shared" si="0"/>
        <v>8.3333333333333339</v>
      </c>
      <c r="G47" s="91">
        <f t="shared" si="0"/>
        <v>8.3333333333333339</v>
      </c>
      <c r="H47" s="91">
        <f t="shared" si="0"/>
        <v>8.3333333333333339</v>
      </c>
      <c r="I47" s="91">
        <f t="shared" si="0"/>
        <v>8.3333333333333339</v>
      </c>
      <c r="J47" s="91">
        <f t="shared" si="0"/>
        <v>8.3333333333333339</v>
      </c>
      <c r="K47" s="91">
        <f t="shared" si="0"/>
        <v>8.3333333333333339</v>
      </c>
      <c r="L47" s="91">
        <f t="shared" si="0"/>
        <v>8.3333333333333339</v>
      </c>
      <c r="M47" s="91">
        <f t="shared" si="0"/>
        <v>8.3333333333333339</v>
      </c>
      <c r="N47" s="91">
        <f t="shared" si="0"/>
        <v>8.3333333333333339</v>
      </c>
      <c r="O47" s="33">
        <f>SUM(C47:N47)</f>
        <v>99.999999999999986</v>
      </c>
    </row>
    <row r="48" spans="2:17" x14ac:dyDescent="0.2">
      <c r="B48" s="37" t="s">
        <v>113</v>
      </c>
      <c r="C48" s="91">
        <f>100/12</f>
        <v>8.3333333333333339</v>
      </c>
      <c r="D48" s="91">
        <f t="shared" si="0"/>
        <v>8.3333333333333339</v>
      </c>
      <c r="E48" s="91">
        <f t="shared" si="0"/>
        <v>8.3333333333333339</v>
      </c>
      <c r="F48" s="91">
        <f t="shared" si="0"/>
        <v>8.3333333333333339</v>
      </c>
      <c r="G48" s="91">
        <f t="shared" si="0"/>
        <v>8.3333333333333339</v>
      </c>
      <c r="H48" s="91">
        <f t="shared" si="0"/>
        <v>8.3333333333333339</v>
      </c>
      <c r="I48" s="91">
        <f t="shared" si="0"/>
        <v>8.3333333333333339</v>
      </c>
      <c r="J48" s="91">
        <f t="shared" si="0"/>
        <v>8.3333333333333339</v>
      </c>
      <c r="K48" s="91">
        <f t="shared" si="0"/>
        <v>8.3333333333333339</v>
      </c>
      <c r="L48" s="91">
        <f t="shared" si="0"/>
        <v>8.3333333333333339</v>
      </c>
      <c r="M48" s="91">
        <f t="shared" si="0"/>
        <v>8.3333333333333339</v>
      </c>
      <c r="N48" s="91">
        <f t="shared" si="0"/>
        <v>8.3333333333333339</v>
      </c>
      <c r="O48" s="33">
        <f>SUM(C48:N48)</f>
        <v>99.999999999999986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ZgXbRpT4JT6aDb2U/6urarp7FNBnZOpyMQYqq9JcCVnnp+b8KdgqpAEdyFTnDSaf9dk8jJ1v8sSc6nNv+Pt9bg==" saltValue="7WpqXdw2HveakQ7Zb61D2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defaultColWidth="8.85546875" defaultRowHeight="12.75" x14ac:dyDescent="0.2"/>
  <cols>
    <col min="1" max="1" width="4.7109375" style="29" customWidth="1"/>
    <col min="2" max="2" width="17.28515625" style="29" customWidth="1"/>
    <col min="3" max="16384" width="8.85546875" style="29"/>
  </cols>
  <sheetData>
    <row r="2" spans="2:18" x14ac:dyDescent="0.2">
      <c r="B2" s="28" t="s">
        <v>114</v>
      </c>
    </row>
    <row r="3" spans="2:18" x14ac:dyDescent="0.2">
      <c r="B3" s="30" t="s">
        <v>144</v>
      </c>
    </row>
    <row r="4" spans="2:18" x14ac:dyDescent="0.2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 x14ac:dyDescent="0.2">
      <c r="B6" s="45" t="s">
        <v>163</v>
      </c>
      <c r="C6" s="92">
        <v>0</v>
      </c>
      <c r="D6" s="92">
        <v>20</v>
      </c>
      <c r="E6" s="92">
        <v>60</v>
      </c>
      <c r="F6" s="92">
        <v>0</v>
      </c>
      <c r="G6" s="92">
        <v>0</v>
      </c>
      <c r="H6" s="92">
        <v>20</v>
      </c>
      <c r="I6" s="95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 x14ac:dyDescent="0.2">
      <c r="B7" s="45" t="s">
        <v>105</v>
      </c>
      <c r="C7" s="92">
        <v>0</v>
      </c>
      <c r="D7" s="92">
        <v>15</v>
      </c>
      <c r="E7" s="92">
        <v>30</v>
      </c>
      <c r="F7" s="92">
        <v>20</v>
      </c>
      <c r="G7" s="92">
        <v>35</v>
      </c>
      <c r="H7" s="92">
        <v>0</v>
      </c>
      <c r="I7" s="95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 x14ac:dyDescent="0.2">
      <c r="B8" s="45" t="s">
        <v>106</v>
      </c>
      <c r="C8" s="92">
        <v>20</v>
      </c>
      <c r="D8" s="92">
        <v>10</v>
      </c>
      <c r="E8" s="92">
        <v>50</v>
      </c>
      <c r="F8" s="92">
        <v>20</v>
      </c>
      <c r="G8" s="92">
        <v>0</v>
      </c>
      <c r="H8" s="92">
        <v>0</v>
      </c>
      <c r="I8" s="95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 x14ac:dyDescent="0.2">
      <c r="B9" s="45" t="s">
        <v>107</v>
      </c>
      <c r="C9" s="92">
        <v>0</v>
      </c>
      <c r="D9" s="92">
        <v>50</v>
      </c>
      <c r="E9" s="92">
        <v>50</v>
      </c>
      <c r="F9" s="92">
        <v>0</v>
      </c>
      <c r="G9" s="92">
        <v>0</v>
      </c>
      <c r="H9" s="92">
        <v>0</v>
      </c>
      <c r="I9" s="95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 x14ac:dyDescent="0.2">
      <c r="B10" s="45" t="s">
        <v>108</v>
      </c>
      <c r="C10" s="92">
        <v>10</v>
      </c>
      <c r="D10" s="92">
        <v>10</v>
      </c>
      <c r="E10" s="92">
        <v>40</v>
      </c>
      <c r="F10" s="92">
        <v>0</v>
      </c>
      <c r="G10" s="92">
        <v>10</v>
      </c>
      <c r="H10" s="92">
        <v>30</v>
      </c>
      <c r="I10" s="95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 x14ac:dyDescent="0.2">
      <c r="B11" s="45" t="s">
        <v>109</v>
      </c>
      <c r="C11" s="92">
        <v>10</v>
      </c>
      <c r="D11" s="92">
        <v>10</v>
      </c>
      <c r="E11" s="92">
        <v>50</v>
      </c>
      <c r="F11" s="92">
        <v>0</v>
      </c>
      <c r="G11" s="92">
        <v>0</v>
      </c>
      <c r="H11" s="92">
        <v>30</v>
      </c>
      <c r="I11" s="94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 x14ac:dyDescent="0.2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8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3">
        <v>90</v>
      </c>
      <c r="D19" s="44">
        <f>100-$C$19</f>
        <v>10</v>
      </c>
      <c r="E19" s="93">
        <v>90</v>
      </c>
      <c r="F19" s="44">
        <f>100-$E$19</f>
        <v>10</v>
      </c>
      <c r="G19" s="93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2">
        <v>10.3055</v>
      </c>
      <c r="D27" s="92">
        <v>13.3484</v>
      </c>
      <c r="E27" s="92">
        <v>16.442299999999999</v>
      </c>
      <c r="F27" s="92">
        <v>13.260400000000001</v>
      </c>
      <c r="G27" s="92">
        <v>16.520600000000002</v>
      </c>
      <c r="H27" s="92">
        <f>100-H28-H29</f>
        <v>0.25720000000001164</v>
      </c>
      <c r="I27" s="92">
        <v>0.61170000000000002</v>
      </c>
      <c r="P27" s="50"/>
      <c r="Q27" s="50"/>
      <c r="R27" s="50"/>
    </row>
    <row r="28" spans="2:18" x14ac:dyDescent="0.2">
      <c r="B28" s="45" t="s">
        <v>46</v>
      </c>
      <c r="C28" s="92">
        <v>20.696999999999999</v>
      </c>
      <c r="D28" s="92">
        <v>20.7454</v>
      </c>
      <c r="E28" s="92">
        <v>30.608899999999998</v>
      </c>
      <c r="F28" s="92">
        <v>5.4173999999999998</v>
      </c>
      <c r="G28" s="92">
        <v>15.811199999999999</v>
      </c>
      <c r="H28" s="92">
        <v>0.35730000000000001</v>
      </c>
      <c r="I28" s="92">
        <v>1.0652999999999999</v>
      </c>
      <c r="P28" s="50"/>
      <c r="Q28" s="50"/>
      <c r="R28" s="50"/>
    </row>
    <row r="29" spans="2:18" x14ac:dyDescent="0.2">
      <c r="B29" s="45" t="s">
        <v>59</v>
      </c>
      <c r="C29" s="92">
        <f>100-C27-C28</f>
        <v>68.997500000000002</v>
      </c>
      <c r="D29" s="92">
        <v>65.906199999999998</v>
      </c>
      <c r="E29" s="92">
        <v>52.948799999999999</v>
      </c>
      <c r="F29" s="92">
        <v>81.322199999999995</v>
      </c>
      <c r="G29" s="92">
        <v>67.668199999999999</v>
      </c>
      <c r="H29" s="92">
        <v>99.385499999999993</v>
      </c>
      <c r="I29" s="92">
        <v>98.322999999999993</v>
      </c>
      <c r="P29" s="50"/>
      <c r="Q29" s="50"/>
      <c r="R29" s="50"/>
    </row>
    <row r="30" spans="2:18" x14ac:dyDescent="0.2">
      <c r="B30" s="45" t="s">
        <v>150</v>
      </c>
      <c r="C30" s="96">
        <f>SUM($C$27:$C$29)</f>
        <v>100</v>
      </c>
      <c r="D30" s="96">
        <f>SUM($D$27:$D$29)</f>
        <v>100</v>
      </c>
      <c r="E30" s="96">
        <f>SUM($E$27:$E$29)</f>
        <v>100</v>
      </c>
      <c r="F30" s="96">
        <f>SUM($F$27:$F$29)</f>
        <v>100</v>
      </c>
      <c r="G30" s="96">
        <f>SUM($G$27:$G$29)</f>
        <v>100</v>
      </c>
      <c r="H30" s="96">
        <f>SUM($H$27:$H$29)</f>
        <v>100</v>
      </c>
      <c r="I30" s="94">
        <f>SUM($I$27:$I$29)</f>
        <v>100</v>
      </c>
      <c r="P30" s="50"/>
      <c r="Q30" s="50"/>
      <c r="R30" s="50"/>
    </row>
    <row r="31" spans="2:18" x14ac:dyDescent="0.2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 x14ac:dyDescent="0.2">
      <c r="I32" s="50"/>
      <c r="J32" s="50"/>
      <c r="K32" s="50"/>
    </row>
    <row r="33" spans="2:14" x14ac:dyDescent="0.2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 x14ac:dyDescent="0.2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 x14ac:dyDescent="0.2">
      <c r="B37" s="45" t="s">
        <v>22</v>
      </c>
      <c r="C37" s="92">
        <v>70.661500000000004</v>
      </c>
      <c r="D37" s="92">
        <v>70.661500000000004</v>
      </c>
      <c r="E37" s="92">
        <v>70.661500000000004</v>
      </c>
      <c r="F37" s="92">
        <v>70.661500000000004</v>
      </c>
      <c r="G37" s="92">
        <v>70.661500000000004</v>
      </c>
      <c r="H37" s="92">
        <v>70.661500000000004</v>
      </c>
      <c r="I37" s="92">
        <v>70.661500000000004</v>
      </c>
      <c r="J37" s="92">
        <v>70.661500000000004</v>
      </c>
      <c r="K37" s="92">
        <v>70.661500000000004</v>
      </c>
      <c r="L37" s="92">
        <v>70.661500000000004</v>
      </c>
      <c r="M37" s="92">
        <v>70.661500000000004</v>
      </c>
      <c r="N37" s="92">
        <v>70.661500000000004</v>
      </c>
    </row>
    <row r="38" spans="2:14" x14ac:dyDescent="0.2">
      <c r="B38" s="45" t="s">
        <v>46</v>
      </c>
      <c r="C38" s="92">
        <v>66.373500000000007</v>
      </c>
      <c r="D38" s="92">
        <v>66.373500000000007</v>
      </c>
      <c r="E38" s="92">
        <v>66.373500000000007</v>
      </c>
      <c r="F38" s="92">
        <v>66.373500000000007</v>
      </c>
      <c r="G38" s="92">
        <v>66.373500000000007</v>
      </c>
      <c r="H38" s="92">
        <v>66.373500000000007</v>
      </c>
      <c r="I38" s="92">
        <v>66.373500000000007</v>
      </c>
      <c r="J38" s="92">
        <v>66.373500000000007</v>
      </c>
      <c r="K38" s="92">
        <v>66.373500000000007</v>
      </c>
      <c r="L38" s="92">
        <v>66.373500000000007</v>
      </c>
      <c r="M38" s="92">
        <v>66.373500000000007</v>
      </c>
      <c r="N38" s="92">
        <v>66.373500000000007</v>
      </c>
    </row>
    <row r="39" spans="2:14" x14ac:dyDescent="0.2">
      <c r="B39" s="45" t="s">
        <v>59</v>
      </c>
      <c r="C39" s="93">
        <v>61.6295</v>
      </c>
      <c r="D39" s="93">
        <v>61.6295</v>
      </c>
      <c r="E39" s="93">
        <v>61.6295</v>
      </c>
      <c r="F39" s="93">
        <v>61.6295</v>
      </c>
      <c r="G39" s="93">
        <v>61.6295</v>
      </c>
      <c r="H39" s="93">
        <v>61.6295</v>
      </c>
      <c r="I39" s="93">
        <v>61.6295</v>
      </c>
      <c r="J39" s="93">
        <v>61.6295</v>
      </c>
      <c r="K39" s="93">
        <v>61.6295</v>
      </c>
      <c r="L39" s="93">
        <v>61.6295</v>
      </c>
      <c r="M39" s="93">
        <v>61.6295</v>
      </c>
      <c r="N39" s="93">
        <v>61.6295</v>
      </c>
    </row>
    <row r="40" spans="2:14" x14ac:dyDescent="0.2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 x14ac:dyDescent="0.2">
      <c r="I41" s="50"/>
      <c r="J41" s="50"/>
      <c r="K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 x14ac:dyDescent="0.2">
      <c r="P51" s="50"/>
      <c r="Q51" s="50"/>
      <c r="R51" s="50"/>
      <c r="S51" s="50"/>
      <c r="T51" s="50"/>
      <c r="U51" s="50"/>
      <c r="V51" s="50"/>
      <c r="W51" s="50"/>
      <c r="X51" s="50"/>
    </row>
    <row r="63" spans="2:24" x14ac:dyDescent="0.2">
      <c r="I63" s="50"/>
      <c r="J63" s="50"/>
    </row>
    <row r="64" spans="2:24" x14ac:dyDescent="0.2">
      <c r="I64" s="50"/>
      <c r="J64" s="50"/>
    </row>
    <row r="65" spans="9:10" x14ac:dyDescent="0.2">
      <c r="I65" s="50"/>
      <c r="J65" s="50"/>
    </row>
  </sheetData>
  <sheetProtection algorithmName="SHA-512" hashValue="13NChcO9QODVFu4IRRG8oZKe1Oc0h3BTObKJJ21hD5mKCXiby9aIVT1/sQBIwR/NIUMhzFiEdcVddyYb7wjH4A==" saltValue="LxlapNYz3ecLcu2qI/VvX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defaultColWidth="8.8554687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8.8554687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 x14ac:dyDescent="0.2">
      <c r="C7" s="36" t="s">
        <v>127</v>
      </c>
      <c r="D7" s="88">
        <v>3.4</v>
      </c>
      <c r="E7" s="88">
        <v>3.4</v>
      </c>
      <c r="F7" s="88">
        <v>3.4</v>
      </c>
      <c r="G7" s="88">
        <v>3.4</v>
      </c>
      <c r="H7" s="88">
        <v>3.4</v>
      </c>
      <c r="I7" s="88">
        <v>3.4</v>
      </c>
      <c r="J7" s="88">
        <v>3.4</v>
      </c>
      <c r="K7" s="88">
        <v>3.4</v>
      </c>
      <c r="L7" s="88">
        <v>3.4</v>
      </c>
      <c r="M7" s="88">
        <v>3.4</v>
      </c>
      <c r="N7" s="88">
        <v>3.4</v>
      </c>
      <c r="O7" s="88">
        <v>3.4</v>
      </c>
    </row>
    <row r="8" spans="2:15" x14ac:dyDescent="0.2">
      <c r="C8" s="36" t="s">
        <v>128</v>
      </c>
      <c r="D8" s="88">
        <v>3.3</v>
      </c>
      <c r="E8" s="88">
        <v>3.3</v>
      </c>
      <c r="F8" s="88">
        <v>3.3</v>
      </c>
      <c r="G8" s="88">
        <v>3.3</v>
      </c>
      <c r="H8" s="88">
        <v>3.3</v>
      </c>
      <c r="I8" s="88">
        <v>3.3</v>
      </c>
      <c r="J8" s="88">
        <v>3.3</v>
      </c>
      <c r="K8" s="88">
        <v>3.3</v>
      </c>
      <c r="L8" s="88">
        <v>3.3</v>
      </c>
      <c r="M8" s="88">
        <v>3.3</v>
      </c>
      <c r="N8" s="88">
        <v>3.3</v>
      </c>
      <c r="O8" s="88">
        <v>3.3</v>
      </c>
    </row>
    <row r="9" spans="2:15" x14ac:dyDescent="0.2">
      <c r="C9" s="36" t="s">
        <v>129</v>
      </c>
      <c r="D9" s="88">
        <v>3.3</v>
      </c>
      <c r="E9" s="88">
        <v>3.3</v>
      </c>
      <c r="F9" s="88">
        <v>3.3</v>
      </c>
      <c r="G9" s="88">
        <v>3.3</v>
      </c>
      <c r="H9" s="88">
        <v>3.3</v>
      </c>
      <c r="I9" s="88">
        <v>3.3</v>
      </c>
      <c r="J9" s="88">
        <v>3.3</v>
      </c>
      <c r="K9" s="88">
        <v>3.3</v>
      </c>
      <c r="L9" s="88">
        <v>3.3</v>
      </c>
      <c r="M9" s="88">
        <v>3.3</v>
      </c>
      <c r="N9" s="88">
        <v>3.3</v>
      </c>
      <c r="O9" s="88">
        <v>3.3</v>
      </c>
    </row>
    <row r="10" spans="2:15" x14ac:dyDescent="0.2">
      <c r="C10" s="36" t="s">
        <v>130</v>
      </c>
      <c r="D10" s="88">
        <v>2</v>
      </c>
      <c r="E10" s="88">
        <v>2</v>
      </c>
      <c r="F10" s="88">
        <v>2</v>
      </c>
      <c r="G10" s="88">
        <v>2</v>
      </c>
      <c r="H10" s="88">
        <v>2</v>
      </c>
      <c r="I10" s="88">
        <v>2</v>
      </c>
      <c r="J10" s="88">
        <v>2</v>
      </c>
      <c r="K10" s="88">
        <v>2</v>
      </c>
      <c r="L10" s="88">
        <v>2</v>
      </c>
      <c r="M10" s="88">
        <v>2</v>
      </c>
      <c r="N10" s="88">
        <v>2</v>
      </c>
      <c r="O10" s="88">
        <v>2</v>
      </c>
    </row>
    <row r="11" spans="2:15" x14ac:dyDescent="0.2">
      <c r="C11" s="36" t="s">
        <v>131</v>
      </c>
      <c r="D11" s="88">
        <v>2</v>
      </c>
      <c r="E11" s="88">
        <v>2</v>
      </c>
      <c r="F11" s="88">
        <v>2</v>
      </c>
      <c r="G11" s="88">
        <v>2</v>
      </c>
      <c r="H11" s="88">
        <v>2</v>
      </c>
      <c r="I11" s="88">
        <v>2</v>
      </c>
      <c r="J11" s="88">
        <v>2</v>
      </c>
      <c r="K11" s="88">
        <v>2</v>
      </c>
      <c r="L11" s="88">
        <v>2</v>
      </c>
      <c r="M11" s="88">
        <v>2</v>
      </c>
      <c r="N11" s="88">
        <v>2</v>
      </c>
      <c r="O11" s="88">
        <v>2</v>
      </c>
    </row>
    <row r="12" spans="2:15" x14ac:dyDescent="0.2">
      <c r="C12" s="37" t="s">
        <v>132</v>
      </c>
      <c r="D12" s="88">
        <v>3.3</v>
      </c>
      <c r="E12" s="88">
        <v>3.3</v>
      </c>
      <c r="F12" s="88">
        <v>3.3</v>
      </c>
      <c r="G12" s="88">
        <v>3.3</v>
      </c>
      <c r="H12" s="88">
        <v>3.3</v>
      </c>
      <c r="I12" s="88">
        <v>3.3</v>
      </c>
      <c r="J12" s="88">
        <v>3.3</v>
      </c>
      <c r="K12" s="88">
        <v>3.3</v>
      </c>
      <c r="L12" s="88">
        <v>3.3</v>
      </c>
      <c r="M12" s="88">
        <v>3.3</v>
      </c>
      <c r="N12" s="88">
        <v>3.3</v>
      </c>
      <c r="O12" s="88">
        <v>3.3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8">
        <v>2</v>
      </c>
      <c r="E15" s="88">
        <v>2</v>
      </c>
      <c r="F15" s="88">
        <v>2</v>
      </c>
      <c r="G15" s="88">
        <v>2</v>
      </c>
      <c r="H15" s="88">
        <v>2</v>
      </c>
      <c r="I15" s="88">
        <v>2</v>
      </c>
      <c r="J15" s="88">
        <v>2</v>
      </c>
      <c r="K15" s="88">
        <v>2</v>
      </c>
      <c r="L15" s="88">
        <v>2</v>
      </c>
      <c r="M15" s="88">
        <v>2</v>
      </c>
      <c r="N15" s="88">
        <v>2</v>
      </c>
      <c r="O15" s="88">
        <v>2</v>
      </c>
    </row>
    <row r="16" spans="2:15" x14ac:dyDescent="0.2">
      <c r="C16" s="36" t="s">
        <v>127</v>
      </c>
      <c r="D16" s="88">
        <v>2</v>
      </c>
      <c r="E16" s="88">
        <v>2</v>
      </c>
      <c r="F16" s="88">
        <v>2</v>
      </c>
      <c r="G16" s="88">
        <v>2</v>
      </c>
      <c r="H16" s="88">
        <v>2</v>
      </c>
      <c r="I16" s="88">
        <v>2</v>
      </c>
      <c r="J16" s="88">
        <v>2</v>
      </c>
      <c r="K16" s="88">
        <v>2</v>
      </c>
      <c r="L16" s="88">
        <v>2</v>
      </c>
      <c r="M16" s="88">
        <v>2</v>
      </c>
      <c r="N16" s="88">
        <v>2</v>
      </c>
      <c r="O16" s="88">
        <v>2</v>
      </c>
    </row>
    <row r="17" spans="2:15" x14ac:dyDescent="0.2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 x14ac:dyDescent="0.2">
      <c r="C18" s="36" t="s">
        <v>129</v>
      </c>
      <c r="D18" s="88">
        <v>2</v>
      </c>
      <c r="E18" s="88">
        <v>2</v>
      </c>
      <c r="F18" s="88">
        <v>2</v>
      </c>
      <c r="G18" s="88">
        <v>2</v>
      </c>
      <c r="H18" s="88">
        <v>2</v>
      </c>
      <c r="I18" s="88">
        <v>2</v>
      </c>
      <c r="J18" s="88">
        <v>2</v>
      </c>
      <c r="K18" s="88">
        <v>2</v>
      </c>
      <c r="L18" s="88">
        <v>2</v>
      </c>
      <c r="M18" s="88">
        <v>2</v>
      </c>
      <c r="N18" s="88">
        <v>2</v>
      </c>
      <c r="O18" s="88">
        <v>2</v>
      </c>
    </row>
    <row r="19" spans="2:15" x14ac:dyDescent="0.2">
      <c r="C19" s="36" t="s">
        <v>130</v>
      </c>
      <c r="D19" s="88">
        <v>3.4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 x14ac:dyDescent="0.2">
      <c r="C20" s="36" t="s">
        <v>131</v>
      </c>
      <c r="D20" s="88">
        <v>3</v>
      </c>
      <c r="E20" s="88">
        <v>3</v>
      </c>
      <c r="F20" s="88">
        <v>3</v>
      </c>
      <c r="G20" s="88">
        <v>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 x14ac:dyDescent="0.2">
      <c r="C21" s="37" t="s">
        <v>132</v>
      </c>
      <c r="D21" s="88">
        <v>3.4</v>
      </c>
      <c r="E21" s="88">
        <v>3.4</v>
      </c>
      <c r="F21" s="88">
        <v>3.4</v>
      </c>
      <c r="G21" s="88">
        <v>3.4</v>
      </c>
      <c r="H21" s="88">
        <v>3.4</v>
      </c>
      <c r="I21" s="88">
        <v>3.4</v>
      </c>
      <c r="J21" s="88">
        <v>3.4</v>
      </c>
      <c r="K21" s="88">
        <v>3.4</v>
      </c>
      <c r="L21" s="88">
        <v>3.4</v>
      </c>
      <c r="M21" s="88">
        <v>3.4</v>
      </c>
      <c r="N21" s="88">
        <v>3.4</v>
      </c>
      <c r="O21" s="88">
        <v>3.4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8">
        <v>3.3</v>
      </c>
      <c r="E24" s="88">
        <v>3.3</v>
      </c>
      <c r="F24" s="88">
        <v>3.3</v>
      </c>
      <c r="G24" s="88">
        <v>3.3</v>
      </c>
      <c r="H24" s="88">
        <v>3.3</v>
      </c>
      <c r="I24" s="88">
        <v>3.3</v>
      </c>
      <c r="J24" s="88">
        <v>3.3</v>
      </c>
      <c r="K24" s="88">
        <v>3.3</v>
      </c>
      <c r="L24" s="88">
        <v>3.3</v>
      </c>
      <c r="M24" s="88">
        <v>3.3</v>
      </c>
      <c r="N24" s="88">
        <v>3.3</v>
      </c>
      <c r="O24" s="88">
        <v>3.3</v>
      </c>
    </row>
    <row r="25" spans="2:15" x14ac:dyDescent="0.2">
      <c r="C25" s="36" t="s">
        <v>127</v>
      </c>
      <c r="D25" s="88">
        <v>3.3</v>
      </c>
      <c r="E25" s="88">
        <v>3.3</v>
      </c>
      <c r="F25" s="88">
        <v>3.3</v>
      </c>
      <c r="G25" s="88">
        <v>3.3</v>
      </c>
      <c r="H25" s="88">
        <v>3.3</v>
      </c>
      <c r="I25" s="88">
        <v>3.3</v>
      </c>
      <c r="J25" s="88">
        <v>3.3</v>
      </c>
      <c r="K25" s="88">
        <v>3.3</v>
      </c>
      <c r="L25" s="88">
        <v>3.3</v>
      </c>
      <c r="M25" s="88">
        <v>3.3</v>
      </c>
      <c r="N25" s="88">
        <v>3.3</v>
      </c>
      <c r="O25" s="88">
        <v>3.3</v>
      </c>
    </row>
    <row r="26" spans="2:15" x14ac:dyDescent="0.2">
      <c r="C26" s="36" t="s">
        <v>128</v>
      </c>
      <c r="D26" s="88">
        <v>3.4</v>
      </c>
      <c r="E26" s="88">
        <v>3.4</v>
      </c>
      <c r="F26" s="88">
        <v>3.4</v>
      </c>
      <c r="G26" s="88">
        <v>3.4</v>
      </c>
      <c r="H26" s="88">
        <v>3.4</v>
      </c>
      <c r="I26" s="88">
        <v>3.4</v>
      </c>
      <c r="J26" s="88">
        <v>3.4</v>
      </c>
      <c r="K26" s="88">
        <v>3.4</v>
      </c>
      <c r="L26" s="88">
        <v>3.4</v>
      </c>
      <c r="M26" s="88">
        <v>3.4</v>
      </c>
      <c r="N26" s="88">
        <v>3.4</v>
      </c>
      <c r="O26" s="88">
        <v>3.4</v>
      </c>
    </row>
    <row r="27" spans="2:15" x14ac:dyDescent="0.2">
      <c r="C27" s="36" t="s">
        <v>129</v>
      </c>
      <c r="D27" s="88">
        <v>3.4</v>
      </c>
      <c r="E27" s="88">
        <v>3.4</v>
      </c>
      <c r="F27" s="88">
        <v>3.4</v>
      </c>
      <c r="G27" s="88">
        <v>3.4</v>
      </c>
      <c r="H27" s="88">
        <v>3.4</v>
      </c>
      <c r="I27" s="88">
        <v>3.4</v>
      </c>
      <c r="J27" s="88">
        <v>3.4</v>
      </c>
      <c r="K27" s="88">
        <v>3.4</v>
      </c>
      <c r="L27" s="88">
        <v>3.4</v>
      </c>
      <c r="M27" s="88">
        <v>3.4</v>
      </c>
      <c r="N27" s="88">
        <v>3.4</v>
      </c>
      <c r="O27" s="88">
        <v>3.4</v>
      </c>
    </row>
    <row r="28" spans="2:15" x14ac:dyDescent="0.2">
      <c r="C28" s="36" t="s">
        <v>130</v>
      </c>
      <c r="D28" s="88">
        <v>3.3</v>
      </c>
      <c r="E28" s="88">
        <v>3.3</v>
      </c>
      <c r="F28" s="88">
        <v>3.3</v>
      </c>
      <c r="G28" s="88">
        <v>3.3</v>
      </c>
      <c r="H28" s="88">
        <v>3.3</v>
      </c>
      <c r="I28" s="88">
        <v>3.3</v>
      </c>
      <c r="J28" s="88">
        <v>3.3</v>
      </c>
      <c r="K28" s="88">
        <v>3.3</v>
      </c>
      <c r="L28" s="88">
        <v>3.3</v>
      </c>
      <c r="M28" s="88">
        <v>3.3</v>
      </c>
      <c r="N28" s="88">
        <v>3.3</v>
      </c>
      <c r="O28" s="88">
        <v>3.3</v>
      </c>
    </row>
    <row r="29" spans="2:15" x14ac:dyDescent="0.2">
      <c r="C29" s="36" t="s">
        <v>131</v>
      </c>
      <c r="D29" s="88">
        <v>3.3</v>
      </c>
      <c r="E29" s="88">
        <v>3.3</v>
      </c>
      <c r="F29" s="88">
        <v>3.3</v>
      </c>
      <c r="G29" s="88">
        <v>3.3</v>
      </c>
      <c r="H29" s="88">
        <v>3.3</v>
      </c>
      <c r="I29" s="88">
        <v>3.3</v>
      </c>
      <c r="J29" s="88">
        <v>3.3</v>
      </c>
      <c r="K29" s="88">
        <v>3.3</v>
      </c>
      <c r="L29" s="88">
        <v>3.3</v>
      </c>
      <c r="M29" s="88">
        <v>3.3</v>
      </c>
      <c r="N29" s="88">
        <v>3.3</v>
      </c>
      <c r="O29" s="88">
        <v>3.3</v>
      </c>
    </row>
    <row r="30" spans="2:15" x14ac:dyDescent="0.2">
      <c r="C30" s="37" t="s">
        <v>132</v>
      </c>
      <c r="D30" s="88">
        <v>3.3</v>
      </c>
      <c r="E30" s="88">
        <v>3.3</v>
      </c>
      <c r="F30" s="88">
        <v>3.3</v>
      </c>
      <c r="G30" s="88">
        <v>3.3</v>
      </c>
      <c r="H30" s="88">
        <v>3.3</v>
      </c>
      <c r="I30" s="88">
        <v>3.3</v>
      </c>
      <c r="J30" s="88">
        <v>3.3</v>
      </c>
      <c r="K30" s="88">
        <v>3.3</v>
      </c>
      <c r="L30" s="88">
        <v>3.3</v>
      </c>
      <c r="M30" s="88">
        <v>3.3</v>
      </c>
      <c r="N30" s="88">
        <v>3.3</v>
      </c>
      <c r="O30" s="88">
        <v>3.3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8">
        <v>3.3</v>
      </c>
      <c r="E33" s="88">
        <v>3.3</v>
      </c>
      <c r="F33" s="88">
        <v>3.3</v>
      </c>
      <c r="G33" s="88">
        <v>3.3</v>
      </c>
      <c r="H33" s="88">
        <v>3.3</v>
      </c>
      <c r="I33" s="88">
        <v>3.3</v>
      </c>
      <c r="J33" s="88">
        <v>3.3</v>
      </c>
      <c r="K33" s="88">
        <v>3.3</v>
      </c>
      <c r="L33" s="88">
        <v>3.3</v>
      </c>
      <c r="M33" s="88">
        <v>3.3</v>
      </c>
      <c r="N33" s="88">
        <v>3.3</v>
      </c>
      <c r="O33" s="88">
        <v>3.3</v>
      </c>
    </row>
    <row r="34" spans="3:15" x14ac:dyDescent="0.2">
      <c r="C34" s="36" t="s">
        <v>127</v>
      </c>
      <c r="D34" s="88">
        <v>3.3</v>
      </c>
      <c r="E34" s="88">
        <v>3.3</v>
      </c>
      <c r="F34" s="88">
        <v>3.3</v>
      </c>
      <c r="G34" s="88">
        <v>3.3</v>
      </c>
      <c r="H34" s="88">
        <v>3.3</v>
      </c>
      <c r="I34" s="88">
        <v>3.3</v>
      </c>
      <c r="J34" s="88">
        <v>3.3</v>
      </c>
      <c r="K34" s="88">
        <v>3.3</v>
      </c>
      <c r="L34" s="88">
        <v>3.3</v>
      </c>
      <c r="M34" s="88">
        <v>3.3</v>
      </c>
      <c r="N34" s="88">
        <v>3.3</v>
      </c>
      <c r="O34" s="88">
        <v>3.3</v>
      </c>
    </row>
    <row r="35" spans="3:15" x14ac:dyDescent="0.2">
      <c r="C35" s="36" t="s">
        <v>128</v>
      </c>
      <c r="D35" s="88">
        <v>3.4</v>
      </c>
      <c r="E35" s="88">
        <v>3.4</v>
      </c>
      <c r="F35" s="88">
        <v>3.4</v>
      </c>
      <c r="G35" s="88">
        <v>3.4</v>
      </c>
      <c r="H35" s="88">
        <v>3.4</v>
      </c>
      <c r="I35" s="88">
        <v>3.4</v>
      </c>
      <c r="J35" s="88">
        <v>3.4</v>
      </c>
      <c r="K35" s="88">
        <v>3.4</v>
      </c>
      <c r="L35" s="88">
        <v>3.4</v>
      </c>
      <c r="M35" s="88">
        <v>3.4</v>
      </c>
      <c r="N35" s="88">
        <v>3.4</v>
      </c>
      <c r="O35" s="88">
        <v>3.4</v>
      </c>
    </row>
    <row r="36" spans="3:15" x14ac:dyDescent="0.2">
      <c r="C36" s="36" t="s">
        <v>129</v>
      </c>
      <c r="D36" s="88">
        <v>3.4</v>
      </c>
      <c r="E36" s="88">
        <v>3.4</v>
      </c>
      <c r="F36" s="88">
        <v>3.4</v>
      </c>
      <c r="G36" s="88">
        <v>3.4</v>
      </c>
      <c r="H36" s="88">
        <v>3.4</v>
      </c>
      <c r="I36" s="88">
        <v>3.4</v>
      </c>
      <c r="J36" s="88">
        <v>3.4</v>
      </c>
      <c r="K36" s="88">
        <v>3.4</v>
      </c>
      <c r="L36" s="88">
        <v>3.4</v>
      </c>
      <c r="M36" s="88">
        <v>3.4</v>
      </c>
      <c r="N36" s="88">
        <v>3.4</v>
      </c>
      <c r="O36" s="88">
        <v>3.4</v>
      </c>
    </row>
    <row r="37" spans="3:15" x14ac:dyDescent="0.2">
      <c r="C37" s="36" t="s">
        <v>130</v>
      </c>
      <c r="D37" s="88">
        <v>3.3</v>
      </c>
      <c r="E37" s="88">
        <v>3.3</v>
      </c>
      <c r="F37" s="88">
        <v>3.3</v>
      </c>
      <c r="G37" s="88">
        <v>3.3</v>
      </c>
      <c r="H37" s="88">
        <v>3.3</v>
      </c>
      <c r="I37" s="88">
        <v>3.3</v>
      </c>
      <c r="J37" s="88">
        <v>3.3</v>
      </c>
      <c r="K37" s="88">
        <v>3.3</v>
      </c>
      <c r="L37" s="88">
        <v>3.3</v>
      </c>
      <c r="M37" s="88">
        <v>3.3</v>
      </c>
      <c r="N37" s="88">
        <v>3.3</v>
      </c>
      <c r="O37" s="88">
        <v>3.3</v>
      </c>
    </row>
    <row r="38" spans="3:15" x14ac:dyDescent="0.2">
      <c r="C38" s="36" t="s">
        <v>131</v>
      </c>
      <c r="D38" s="88">
        <v>3.3</v>
      </c>
      <c r="E38" s="88">
        <v>3.3</v>
      </c>
      <c r="F38" s="88">
        <v>3.3</v>
      </c>
      <c r="G38" s="88">
        <v>3.3</v>
      </c>
      <c r="H38" s="88">
        <v>3.3</v>
      </c>
      <c r="I38" s="88">
        <v>3.3</v>
      </c>
      <c r="J38" s="88">
        <v>3.3</v>
      </c>
      <c r="K38" s="88">
        <v>3.3</v>
      </c>
      <c r="L38" s="88">
        <v>3.3</v>
      </c>
      <c r="M38" s="88">
        <v>3.3</v>
      </c>
      <c r="N38" s="88">
        <v>3.3</v>
      </c>
      <c r="O38" s="88">
        <v>3.3</v>
      </c>
    </row>
    <row r="39" spans="3:15" x14ac:dyDescent="0.2">
      <c r="C39" s="37" t="s">
        <v>132</v>
      </c>
      <c r="D39" s="88">
        <v>3.3</v>
      </c>
      <c r="E39" s="88">
        <v>3.3</v>
      </c>
      <c r="F39" s="88">
        <v>3.3</v>
      </c>
      <c r="G39" s="88">
        <v>3.3</v>
      </c>
      <c r="H39" s="88">
        <v>3.3</v>
      </c>
      <c r="I39" s="88">
        <v>3.3</v>
      </c>
      <c r="J39" s="88">
        <v>3.3</v>
      </c>
      <c r="K39" s="88">
        <v>3.3</v>
      </c>
      <c r="L39" s="88">
        <v>3.3</v>
      </c>
      <c r="M39" s="88">
        <v>3.3</v>
      </c>
      <c r="N39" s="88">
        <v>3.3</v>
      </c>
      <c r="O39" s="88">
        <v>3.3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x6LrMexS/dMTYE94Kn9i8X98I0Bcm97cEGBogILLcHbLco6mTev3hg65JS3WmyXiLiEKM5MhJ6NoYNatjAoBuQ==" saltValue="GIIypIe2VN/UsZBMSpdly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Shompa</cp:lastModifiedBy>
  <dcterms:created xsi:type="dcterms:W3CDTF">2003-07-09T21:14:27Z</dcterms:created>
  <dcterms:modified xsi:type="dcterms:W3CDTF">2014-11-25T05:41:36Z</dcterms:modified>
</cp:coreProperties>
</file>